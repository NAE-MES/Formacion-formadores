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f7098122147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2065be0fdac74c7c"/>
    <x:sheet xmlns:r="http://schemas.openxmlformats.org/officeDocument/2006/relationships" name="01_Respuestas_Forms" sheetId="2" r:id="Rf5e3e66957d84dc8"/>
    <x:sheet xmlns:r="http://schemas.openxmlformats.org/officeDocument/2006/relationships" name="02_Postulantes" sheetId="3" r:id="R1a144af4550a4f2b"/>
    <x:sheet xmlns:r="http://schemas.openxmlformats.org/officeDocument/2006/relationships" name="03_Admisibilidad" sheetId="4" r:id="R9855493a513c4be8"/>
    <x:sheet xmlns:r="http://schemas.openxmlformats.org/officeDocument/2006/relationships" name="04_Evaluacion" sheetId="5" r:id="R28bd2607dd3c4954"/>
    <x:sheet xmlns:r="http://schemas.openxmlformats.org/officeDocument/2006/relationships" name="05_Validacion" sheetId="6" r:id="Rec638d4afb4348be"/>
    <x:sheet xmlns:r="http://schemas.openxmlformats.org/officeDocument/2006/relationships" name="06_Ranking" sheetId="7" r:id="Rfee7f96e292741a1"/>
    <x:sheet xmlns:r="http://schemas.openxmlformats.org/officeDocument/2006/relationships" name="07_Seleccionados" sheetId="8" r:id="R4f1d1aeb0d6b4ae3"/>
    <x:sheet xmlns:r="http://schemas.openxmlformats.org/officeDocument/2006/relationships" name="08_Reserva" sheetId="9" r:id="Rd1735d54af7b4195"/>
    <x:sheet xmlns:r="http://schemas.openxmlformats.org/officeDocument/2006/relationships" name="09_Notificaciones" sheetId="10" r:id="R4a74617953dc4925"/>
    <x:sheet xmlns:r="http://schemas.openxmlformats.org/officeDocument/2006/relationships" name="10_Catalogos" sheetId="11" r:id="Rc1415340b5724466"/>
    <x:sheet xmlns:r="http://schemas.openxmlformats.org/officeDocument/2006/relationships" name="11_Config" sheetId="12" r:id="Rec837a3c306f4e54"/>
    <x:sheet xmlns:r="http://schemas.openxmlformats.org/officeDocument/2006/relationships" name="12_Log" sheetId="13" r:id="R08e8499b21bd4ca8"/>
    <x:sheet xmlns:r="http://schemas.openxmlformats.org/officeDocument/2006/relationships" name="13_Formulario_Config" sheetId="14" r:id="R121de27f1326411c"/>
    <x:sheet xmlns:r="http://schemas.openxmlformats.org/officeDocument/2006/relationships" name="14_Matriz_Oficial" sheetId="15" r:id="Rbd647a3fa25c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6E8C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4fe2ffd504c30" /><Relationship Type="http://schemas.openxmlformats.org/officeDocument/2006/relationships/theme" Target="/xl/theme/theme1.xml" Id="Rc8fc3d9d70404bc9" /><Relationship Type="http://schemas.openxmlformats.org/officeDocument/2006/relationships/sharedStrings" Target="/xl/sharedStrings.xml" Id="Rf4ad70f4cb6c4048" /><Relationship Type="http://schemas.openxmlformats.org/officeDocument/2006/relationships/worksheet" Target="/xl/worksheets/sheet1.xml" Id="R2065be0fdac74c7c" /><Relationship Type="http://schemas.openxmlformats.org/officeDocument/2006/relationships/worksheet" Target="/xl/worksheets/sheet2.xml" Id="Rf5e3e66957d84dc8" /><Relationship Type="http://schemas.openxmlformats.org/officeDocument/2006/relationships/worksheet" Target="/xl/worksheets/sheet3.xml" Id="R1a144af4550a4f2b" /><Relationship Type="http://schemas.openxmlformats.org/officeDocument/2006/relationships/worksheet" Target="/xl/worksheets/sheet4.xml" Id="R9855493a513c4be8" /><Relationship Type="http://schemas.openxmlformats.org/officeDocument/2006/relationships/worksheet" Target="/xl/worksheets/sheet5.xml" Id="R28bd2607dd3c4954" /><Relationship Type="http://schemas.openxmlformats.org/officeDocument/2006/relationships/worksheet" Target="/xl/worksheets/sheet6.xml" Id="Rec638d4afb4348be" /><Relationship Type="http://schemas.openxmlformats.org/officeDocument/2006/relationships/worksheet" Target="/xl/worksheets/sheet7.xml" Id="Rfee7f96e292741a1" /><Relationship Type="http://schemas.openxmlformats.org/officeDocument/2006/relationships/worksheet" Target="/xl/worksheets/sheet8.xml" Id="R4f1d1aeb0d6b4ae3" /><Relationship Type="http://schemas.openxmlformats.org/officeDocument/2006/relationships/worksheet" Target="/xl/worksheets/sheet9.xml" Id="Rd1735d54af7b4195" /><Relationship Type="http://schemas.openxmlformats.org/officeDocument/2006/relationships/worksheet" Target="/xl/worksheets/sheet10.xml" Id="R4a74617953dc4925" /><Relationship Type="http://schemas.openxmlformats.org/officeDocument/2006/relationships/worksheet" Target="/xl/worksheets/sheet11.xml" Id="Rc1415340b5724466" /><Relationship Type="http://schemas.openxmlformats.org/officeDocument/2006/relationships/worksheet" Target="/xl/worksheets/sheet12.xml" Id="Rec837a3c306f4e54" /><Relationship Type="http://schemas.openxmlformats.org/officeDocument/2006/relationships/worksheet" Target="/xl/worksheets/sheet13.xml" Id="R08e8499b21bd4ca8" /><Relationship Type="http://schemas.openxmlformats.org/officeDocument/2006/relationships/worksheet" Target="/xl/worksheets/sheet14.xml" Id="R121de27f1326411c" /><Relationship Type="http://schemas.openxmlformats.org/officeDocument/2006/relationships/worksheet" Target="/xl/worksheets/sheet15.xml" Id="Rbd647a3fa25c47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58" hidden="0" customWidth="1"/>
  </x:cols>
  <x:sheetData>
    <x:row r="1">
      <x:c r="A1" s="3" t="str">
        <x:v>Sistema FdF 2026 — V2 OFICIAL</x:v>
      </x:c>
      <x:c r="B1" s="3"/>
      <x:c r="C1" s="3"/>
      <x:c r="D1" s="3"/>
    </x:row>
    <x:row r="3">
      <x:c r="A3" s="9" t="str">
        <x:v>Principio</x:v>
      </x:c>
      <x:c r="B3" s="9" t="str">
        <x:v>Descripción</x:v>
      </x:c>
    </x:row>
    <x:row r="4">
      <x:c r="A4" s="14" t="str">
        <x:v>Fuente oficial</x:v>
      </x:c>
      <x:c r="B4" s="14" t="str">
        <x:v>Documento general + Anexo 1 + Anexo 2 aprobados (11.08.2026).</x:v>
      </x:c>
    </x:row>
    <x:row r="5">
      <x:c r="A5" s="14" t="str">
        <x:v>Arquitectura</x:v>
      </x:c>
      <x:c r="B5" s="14" t="str">
        <x:v>Google Forms + Google Sheets + Apps Script + Google Drive + correo FdF.</x:v>
      </x:c>
    </x:row>
    <x:row r="6">
      <x:c r="A6" s="14" t="str">
        <x:v>Selección</x:v>
      </x:c>
      <x:c r="B6" s="14" t="str">
        <x:v>4 formadores por provincia; 64 a nivel provincial incluida Isla de la Juventud.</x:v>
      </x:c>
    </x:row>
    <x:row r="7">
      <x:c r="A7" s="14" t="str">
        <x:v>Pesos</x:v>
      </x:c>
      <x:c r="B7" s="14" t="str">
        <x:v>15% Vinculación; 55% Capacidades; 25% Réplica; 5% Inclusión.</x:v>
      </x:c>
    </x:row>
    <x:row r="8">
      <x:c r="A8" s="14" t="str">
        <x:v>Pendiente</x:v>
      </x:c>
      <x:c r="B8" s="14" t="str">
        <x:v>Hombre=5 en Anexo 1 / Hombre=10 en Anexo 2. No se resuelve arbitrariamente.</x:v>
      </x:c>
    </x:row>
    <x:row r="9">
      <x:c r="A9" s="14" t="str">
        <x:v>Pendiente</x:v>
      </x:c>
      <x:c r="B9" s="14" t="str">
        <x:v>Duración exacta del plazo de subsanación.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9" t="str">
        <x:v>Marca temporal</x:v>
      </x:c>
      <x:c r="B1" s="9" t="str">
        <x:v>Escriba su primer nombre</x:v>
      </x:c>
      <x:c r="C1" s="9" t="str">
        <x:v>Escriba su segundo nombre, si aplica</x:v>
      </x:c>
      <x:c r="D1" s="9" t="str">
        <x:v>Escriba su primer apellido</x:v>
      </x:c>
      <x:c r="E1" s="9" t="str">
        <x:v>Escriba su segundo apellido</x:v>
      </x:c>
      <x:c r="F1" s="9" t="str">
        <x:v>Número de identificación</x:v>
      </x:c>
      <x:c r="G1" s="9" t="str">
        <x:v>Teléfono celular</x:v>
      </x:c>
      <x:c r="H1" s="9" t="str">
        <x:v>Correo electrónico</x:v>
      </x:c>
      <x:c r="I1" s="9" t="str">
        <x:v>Región donde trabaja principalmente</x:v>
      </x:c>
      <x:c r="J1" s="9" t="str">
        <x:v>Provincia donde trabaja principalmente</x:v>
      </x:c>
      <x:c r="K1" s="9" t="str">
        <x:v>Municipio donde trabaja principalmente</x:v>
      </x:c>
      <x:c r="L1" s="9" t="str">
        <x:v>¿Acepta que la información registrada sea utilizada exclusivamente para el proceso de selección FdF?</x:v>
      </x:c>
      <x:c r="M1" s="9" t="str">
        <x:v>Nombre de la institución a la que pertenece</x:v>
      </x:c>
      <x:c r="N1" s="9" t="str">
        <x:v>Tipo de institución</x:v>
      </x:c>
      <x:c r="O1" s="9" t="str">
        <x:v>Cargo o función actual</x:v>
      </x:c>
      <x:c r="P1" s="9" t="str">
        <x:v>Nivel principal de actuación de su institución</x:v>
      </x:c>
      <x:c r="Q1" s="9" t="str">
        <x:v>Describa brevemente las funciones que desempeña actualmente</x:v>
      </x:c>
      <x:c r="R1" s="9" t="str">
        <x:v>¿Qué tan directa es su vinculación institucional con estructuras de apoyo a los NAE?</x:v>
      </x:c>
      <x:c r="S1" s="9" t="str">
        <x:v>¿Su cargo o función actual le permite incidir en procesos de formación, asesoría, mentoría, desarrollo territorial o acompañamiento a NAE?</x:v>
      </x:c>
      <x:c r="T1" s="9" t="str">
        <x:v>¿La institución respalda su participación en el proceso FdF y la réplica posterior?</x:v>
      </x:c>
      <x:c r="U1" s="9" t="str">
        <x:v>Adjunte carta aval institucional</x:v>
      </x:c>
      <x:c r="V1" s="9" t="str">
        <x:v>¿Tiene experiencia en formación, docencia o facilitación?</x:v>
      </x:c>
      <x:c r="W1" s="9" t="str">
        <x:v>Describa brevemente su experiencia en formación, docencia o facilitación</x:v>
      </x:c>
      <x:c r="X1" s="9" t="str">
        <x:v>¿Tiene experiencia en acompañamiento empresarial o desarrollo territorial?</x:v>
      </x:c>
      <x:c r="Y1" s="9" t="str">
        <x:v>Describa brevemente su experiencia en acompañamiento empresarial o desarrollo territorial</x:v>
      </x:c>
      <x:c r="Z1" s="9" t="str">
        <x:v>¿Cuál es su nivel de conocimiento del ecosistema NAE en Cuba?</x:v>
      </x:c>
      <x:c r="AA1" s="9" t="str">
        <x:v>¿Ha utilizado metodologías participativas, herramientas de diagnóstico, guías, plantillas o materiales formativos replicables, o herramientas digitales?</x:v>
      </x:c>
      <x:c r="AB1" s="9" t="str">
        <x:v>Adjunte su currículum vitae actualizado</x:v>
      </x:c>
      <x:c r="AC1" s="9" t="str">
        <x:v>¿Tiene capacidad para convocar, coordinar o articular actores provinciales o municipales para futuras acciones de multiplicación?</x:v>
      </x:c>
      <x:c r="AD1" s="9" t="str">
        <x:v>¿Con qué actores podría articular una futura réplica territorial?</x:v>
      </x:c>
      <x:c r="AE1" s="9" t="str">
        <x:v>¿Se compromete a participar en acciones de multiplicación provincial o territorial luego de la formación?</x:v>
      </x:c>
      <x:c r="AF1" s="9" t="str">
        <x:v>Describa brevemente cómo podría aportar a la multiplicación provincial o territorial</x:v>
      </x:c>
      <x:c r="AG1" s="9" t="str">
        <x:v>¿Tiene disponibilidad para participar en la jornada presencial, acciones sincrónicas, actividades asincrónicas y ejercicios de aplicación?</x:v>
      </x:c>
      <x:c r="AH1" s="9" t="str">
        <x:v>¿Qué condiciones de comunicación tiene para recibir materiales, orientaciones y entregar evidencias?</x:v>
      </x:c>
      <x:c r="AI1" s="9" t="str">
        <x:v>Indique los canales por los cuales puede recibir información del proceso</x:v>
      </x:c>
      <x:c r="AJ1" s="9" t="str">
        <x:v>¿Su participación contribuiría a la representación de su provincia, municipio o institución dentro de la cohorte regional?</x:v>
      </x:c>
      <x:c r="AK1" s="9" t="str">
        <x:v>Género</x:v>
      </x:c>
      <x:c r="AL1" s="9" t="str">
        <x:v>Rango de edad</x:v>
      </x:c>
      <x:c r="AM1" s="9" t="str">
        <x:v>¿Tiene experiencia o interés en igualdad de género, inclusión, liderazgo femenino, juventudes o participación equilibrada?</x:v>
      </x:c>
      <x:c r="AN1" s="9" t="str">
        <x:v>Describa brevemente su experiencia o interés en género, inclusión, juventudes o liderazgo femenino</x:v>
      </x:c>
      <x:c r="AO1" s="9" t="str">
        <x:v>¿Confirma que la información registrada es verídica y puede ser verificada por el equipo responsable de selección?</x:v>
      </x:c>
      <x:c r="AP1" s="9" t="str">
        <x:v>¿Autoriza que su institución pueda ser contactada para validar la información registrada?</x:v>
      </x:c>
      <x:c r="AQ1" s="9" t="str">
        <x:v>Nombre y cargo de la persona referente institucional para validación, si aplica</x:v>
      </x:c>
      <x:c r="AR1" s="9" t="str">
        <x:v>Teléfono o correo de la persona referente institucional para validación, si aplica</x:v>
      </x:c>
      <x:c r="AS1" s="9" t="str">
        <x:v>Comentarios adicionales que considere relevantes para su postulación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</x:cols>
  <x:sheetData>
    <x:row r="1">
      <x:c r="A1" s="9" t="str">
        <x:v>ID_Postulante</x:v>
      </x:c>
      <x:c r="B1" s="9" t="str">
        <x:v>Marca_temporal</x:v>
      </x:c>
      <x:c r="C1" s="9" t="str">
        <x:v>Numero_identificacion</x:v>
      </x:c>
      <x:c r="D1" s="9" t="str">
        <x:v>Nombre_completo</x:v>
      </x:c>
      <x:c r="E1" s="9" t="str">
        <x:v>Telefono</x:v>
      </x:c>
      <x:c r="F1" s="9" t="str">
        <x:v>Correo</x:v>
      </x:c>
      <x:c r="G1" s="9" t="str">
        <x:v>Region_declarada</x:v>
      </x:c>
      <x:c r="H1" s="9" t="str">
        <x:v>Region_validada</x:v>
      </x:c>
      <x:c r="I1" s="9" t="str">
        <x:v>Consistencia_region</x:v>
      </x:c>
      <x:c r="J1" s="9" t="str">
        <x:v>Provincia</x:v>
      </x:c>
      <x:c r="K1" s="9" t="str">
        <x:v>Municipio</x:v>
      </x:c>
      <x:c r="L1" s="9" t="str">
        <x:v>Institucion</x:v>
      </x:c>
      <x:c r="M1" s="9" t="str">
        <x:v>Tipo_institucion</x:v>
      </x:c>
      <x:c r="N1" s="9" t="str">
        <x:v>Cargo</x:v>
      </x:c>
      <x:c r="O1" s="9" t="str">
        <x:v>Carta_aval</x:v>
      </x:c>
      <x:c r="P1" s="9" t="str">
        <x:v>CV</x:v>
      </x:c>
      <x:c r="Q1" s="9" t="str">
        <x:v>Estado_expediente</x:v>
      </x:c>
      <x:c r="R1" s="9" t="str">
        <x:v>Observaciones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>
      <x:c r="A1" s="9" t="str">
        <x:v>ID_Postulante</x:v>
      </x:c>
      <x:c r="B1" s="9" t="str">
        <x:v>Consentimiento</x:v>
      </x:c>
      <x:c r="C1" s="9" t="str">
        <x:v>Vinculo_activo</x:v>
      </x:c>
      <x:c r="D1" s="9" t="str">
        <x:v>Carta_aval</x:v>
      </x:c>
      <x:c r="E1" s="9" t="str">
        <x:v>CV</x:v>
      </x:c>
      <x:c r="F1" s="9" t="str">
        <x:v>Disponibilidad</x:v>
      </x:c>
      <x:c r="G1" s="9" t="str">
        <x:v>Compromiso_multiplicacion</x:v>
      </x:c>
      <x:c r="H1" s="9" t="str">
        <x:v>Veracidad</x:v>
      </x:c>
      <x:c r="I1" s="9" t="str">
        <x:v>Autoriza_validacion</x:v>
      </x:c>
      <x:c r="J1" s="9" t="str">
        <x:v>Estado</x:v>
      </x:c>
      <x:c r="K1" s="9" t="str">
        <x:v>Pendiente/Motivo</x:v>
      </x:c>
      <x:c r="L1" s="9" t="str">
        <x:v>Fecha_revision</x:v>
      </x:c>
      <x:c r="M1" s="9" t="str">
        <x:v>Revisor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</x:cols>
  <x:sheetData>
    <x:row r="1">
      <x:c r="A1" s="9" t="str">
        <x:v>ID_Postulante</x:v>
      </x:c>
      <x:c r="B1" t="str">
        <x:v>Evaluador</x:v>
      </x:c>
      <x:c r="C1" t="str">
        <x:v>Vinculacion_40</x:v>
      </x:c>
      <x:c r="D1" t="str">
        <x:v>Rol_30</x:v>
      </x:c>
      <x:c r="E1" t="str">
        <x:v>Respaldo_30</x:v>
      </x:c>
      <x:c r="F1" t="str">
        <x:v>C1_15</x:v>
      </x:c>
      <x:c r="G1" t="str">
        <x:v>Formacion_35</x:v>
      </x:c>
      <x:c r="H1" t="str">
        <x:v>Acompanamiento_35</x:v>
      </x:c>
      <x:c r="I1" t="str">
        <x:v>Conocimiento_20</x:v>
      </x:c>
      <x:c r="J1" t="str">
        <x:v>Metodologias_10</x:v>
      </x:c>
      <x:c r="K1" t="str">
        <x:v>C2_55</x:v>
      </x:c>
      <x:c r="L1" t="str">
        <x:v>Articulacion_35</x:v>
      </x:c>
      <x:c r="M1" t="str">
        <x:v>Multiplicacion_35</x:v>
      </x:c>
      <x:c r="N1" t="str">
        <x:v>Disponibilidad_20</x:v>
      </x:c>
      <x:c r="O1" t="str">
        <x:v>Comunicacion_10</x:v>
      </x:c>
      <x:c r="P1" t="str">
        <x:v>C3_25</x:v>
      </x:c>
      <x:c r="Q1" t="str">
        <x:v>Juventud_40</x:v>
      </x:c>
      <x:c r="R1" t="str">
        <x:v>Genero</x:v>
      </x:c>
      <x:c r="S1" t="str">
        <x:v>Genero_puntos</x:v>
      </x:c>
      <x:c r="T1" t="str">
        <x:v>Revision_genero</x:v>
      </x:c>
      <x:c r="U1" t="str">
        <x:v>Inclusion_30</x:v>
      </x:c>
      <x:c r="V1" t="str">
        <x:v>C4_5</x:v>
      </x:c>
      <x:c r="W1" t="str">
        <x:v>TOTAL_100</x:v>
      </x:c>
      <x:c r="X1" t="str">
        <x:v>Clasificacion</x:v>
      </x:c>
      <x:c r="Y1" t="str">
        <x:v>Empate</x:v>
      </x:c>
      <x:c r="Z1" t="str">
        <x:v>Observaciones</x:v>
      </x:c>
      <x:c r="AA1" t="str">
        <x:v>Fecha</x:v>
      </x:c>
    </x:row>
    <x:row r="2">
      <x:c r="F2" t="str">
        <x:f>IF(A2="","",(C2*40%+D2*30%+E2*30%)*15%)</x:f>
      </x:c>
      <x:c r="K2" t="str">
        <x:f>IF(A2="","",(G2*35%+H2*35%+I2*20%+J2*10%)*55%)</x:f>
      </x:c>
      <x:c r="P2" t="str">
        <x:f>IF(A2="","",(L2*35%+M2*35%+N2*20%+O2*10%)*25%)</x:f>
      </x:c>
      <x:c r="S2" t="str">
        <x:f>IF(R2="","",IF(R2="Mujer",10,IF(R2="Hombre",'11_Config'!$B$13,0)))</x:f>
      </x:c>
      <x:c r="T2" t="str">
        <x:f>IF(R2="Hombre","REVISAR REGLA OFICIAL","")</x:f>
      </x:c>
      <x:c r="V2" t="str">
        <x:f>IF(A2="","",(Q2*40%+S2*30%+U2*30%)*5%)</x:f>
      </x:c>
      <x:c r="W2" t="str">
        <x:f>IF(A2="","",F2+K2+P2+V2)</x:f>
      </x:c>
      <x:c r="X2" t="str">
        <x:f>IF(W2="","",IF(W2&gt;='11_Config'!$B$9,"Selección prioritaria",IF(W2&gt;='11_Config'!$B$10,"Elegible / reserva",IF(W2&gt;='11_Config'!$B$11,"Elegible condicionado","No recomendado"))))</x:f>
      </x:c>
    </x:row>
    <x:row r="3">
      <x:c r="F3" t="str">
        <x:f>IF(A3="","",(C3*40%+D3*30%+E3*30%)*15%)</x:f>
      </x:c>
      <x:c r="K3" t="str">
        <x:f>IF(A3="","",(G3*35%+H3*35%+I3*20%+J3*10%)*55%)</x:f>
      </x:c>
      <x:c r="P3" t="str">
        <x:f>IF(A3="","",(L3*35%+M3*35%+N3*20%+O3*10%)*25%)</x:f>
      </x:c>
      <x:c r="S3" t="str">
        <x:f>IF(R3="","",IF(R3="Mujer",10,IF(R3="Hombre",'11_Config'!$B$13,0)))</x:f>
      </x:c>
      <x:c r="T3" t="str">
        <x:f>IF(R3="Hombre","REVISAR REGLA OFICIAL","")</x:f>
      </x:c>
      <x:c r="V3" t="str">
        <x:f>IF(A3="","",(Q3*40%+S3*30%+U3*30%)*5%)</x:f>
      </x:c>
      <x:c r="W3" t="str">
        <x:f>IF(A3="","",F3+K3+P3+V3)</x:f>
      </x:c>
      <x:c r="X3" t="str">
        <x:f>IF(W3="","",IF(W3&gt;='11_Config'!$B$9,"Selección prioritaria",IF(W3&gt;='11_Config'!$B$10,"Elegible / reserva",IF(W3&gt;='11_Config'!$B$11,"Elegible condicionado","No recomendado"))))</x:f>
      </x:c>
    </x:row>
    <x:row r="4">
      <x:c r="F4" t="str">
        <x:f>IF(A4="","",(C4*40%+D4*30%+E4*30%)*15%)</x:f>
      </x:c>
      <x:c r="K4" t="str">
        <x:f>IF(A4="","",(G4*35%+H4*35%+I4*20%+J4*10%)*55%)</x:f>
      </x:c>
      <x:c r="P4" t="str">
        <x:f>IF(A4="","",(L4*35%+M4*35%+N4*20%+O4*10%)*25%)</x:f>
      </x:c>
      <x:c r="S4" t="str">
        <x:f>IF(R4="","",IF(R4="Mujer",10,IF(R4="Hombre",'11_Config'!$B$13,0)))</x:f>
      </x:c>
      <x:c r="T4" t="str">
        <x:f>IF(R4="Hombre","REVISAR REGLA OFICIAL","")</x:f>
      </x:c>
      <x:c r="V4" t="str">
        <x:f>IF(A4="","",(Q4*40%+S4*30%+U4*30%)*5%)</x:f>
      </x:c>
      <x:c r="W4" t="str">
        <x:f>IF(A4="","",F4+K4+P4+V4)</x:f>
      </x:c>
      <x:c r="X4" t="str">
        <x:f>IF(W4="","",IF(W4&gt;='11_Config'!$B$9,"Selección prioritaria",IF(W4&gt;='11_Config'!$B$10,"Elegible / reserva",IF(W4&gt;='11_Config'!$B$11,"Elegible condicionado","No recomendado"))))</x:f>
      </x:c>
    </x:row>
    <x:row r="5">
      <x:c r="F5" t="str">
        <x:f>IF(A5="","",(C5*40%+D5*30%+E5*30%)*15%)</x:f>
      </x:c>
      <x:c r="K5" t="str">
        <x:f>IF(A5="","",(G5*35%+H5*35%+I5*20%+J5*10%)*55%)</x:f>
      </x:c>
      <x:c r="P5" t="str">
        <x:f>IF(A5="","",(L5*35%+M5*35%+N5*20%+O5*10%)*25%)</x:f>
      </x:c>
      <x:c r="S5" t="str">
        <x:f>IF(R5="","",IF(R5="Mujer",10,IF(R5="Hombre",'11_Config'!$B$13,0)))</x:f>
      </x:c>
      <x:c r="T5" t="str">
        <x:f>IF(R5="Hombre","REVISAR REGLA OFICIAL","")</x:f>
      </x:c>
      <x:c r="V5" t="str">
        <x:f>IF(A5="","",(Q5*40%+S5*30%+U5*30%)*5%)</x:f>
      </x:c>
      <x:c r="W5" t="str">
        <x:f>IF(A5="","",F5+K5+P5+V5)</x:f>
      </x:c>
      <x:c r="X5" t="str">
        <x:f>IF(W5="","",IF(W5&gt;='11_Config'!$B$9,"Selección prioritaria",IF(W5&gt;='11_Config'!$B$10,"Elegible / reserva",IF(W5&gt;='11_Config'!$B$11,"Elegible condicionado","No recomendado"))))</x:f>
      </x:c>
    </x:row>
    <x:row r="6">
      <x:c r="F6" t="str">
        <x:f>IF(A6="","",(C6*40%+D6*30%+E6*30%)*15%)</x:f>
      </x:c>
      <x:c r="K6" t="str">
        <x:f>IF(A6="","",(G6*35%+H6*35%+I6*20%+J6*10%)*55%)</x:f>
      </x:c>
      <x:c r="P6" t="str">
        <x:f>IF(A6="","",(L6*35%+M6*35%+N6*20%+O6*10%)*25%)</x:f>
      </x:c>
      <x:c r="S6" t="str">
        <x:f>IF(R6="","",IF(R6="Mujer",10,IF(R6="Hombre",'11_Config'!$B$13,0)))</x:f>
      </x:c>
      <x:c r="T6" t="str">
        <x:f>IF(R6="Hombre","REVISAR REGLA OFICIAL","")</x:f>
      </x:c>
      <x:c r="V6" t="str">
        <x:f>IF(A6="","",(Q6*40%+S6*30%+U6*30%)*5%)</x:f>
      </x:c>
      <x:c r="W6" t="str">
        <x:f>IF(A6="","",F6+K6+P6+V6)</x:f>
      </x:c>
      <x:c r="X6" t="str">
        <x:f>IF(W6="","",IF(W6&gt;='11_Config'!$B$9,"Selección prioritaria",IF(W6&gt;='11_Config'!$B$10,"Elegible / reserva",IF(W6&gt;='11_Config'!$B$11,"Elegible condicionado","No recomendado"))))</x:f>
      </x:c>
    </x:row>
    <x:row r="7">
      <x:c r="F7" t="str">
        <x:f>IF(A7="","",(C7*40%+D7*30%+E7*30%)*15%)</x:f>
      </x:c>
      <x:c r="K7" t="str">
        <x:f>IF(A7="","",(G7*35%+H7*35%+I7*20%+J7*10%)*55%)</x:f>
      </x:c>
      <x:c r="P7" t="str">
        <x:f>IF(A7="","",(L7*35%+M7*35%+N7*20%+O7*10%)*25%)</x:f>
      </x:c>
      <x:c r="S7" t="str">
        <x:f>IF(R7="","",IF(R7="Mujer",10,IF(R7="Hombre",'11_Config'!$B$13,0)))</x:f>
      </x:c>
      <x:c r="T7" t="str">
        <x:f>IF(R7="Hombre","REVISAR REGLA OFICIAL","")</x:f>
      </x:c>
      <x:c r="V7" t="str">
        <x:f>IF(A7="","",(Q7*40%+S7*30%+U7*30%)*5%)</x:f>
      </x:c>
      <x:c r="W7" t="str">
        <x:f>IF(A7="","",F7+K7+P7+V7)</x:f>
      </x:c>
      <x:c r="X7" t="str">
        <x:f>IF(W7="","",IF(W7&gt;='11_Config'!$B$9,"Selección prioritaria",IF(W7&gt;='11_Config'!$B$10,"Elegible / reserva",IF(W7&gt;='11_Config'!$B$11,"Elegible condicionado","No recomendado"))))</x:f>
      </x:c>
    </x:row>
    <x:row r="8">
      <x:c r="F8" t="str">
        <x:f>IF(A8="","",(C8*40%+D8*30%+E8*30%)*15%)</x:f>
      </x:c>
      <x:c r="K8" t="str">
        <x:f>IF(A8="","",(G8*35%+H8*35%+I8*20%+J8*10%)*55%)</x:f>
      </x:c>
      <x:c r="P8" t="str">
        <x:f>IF(A8="","",(L8*35%+M8*35%+N8*20%+O8*10%)*25%)</x:f>
      </x:c>
      <x:c r="S8" t="str">
        <x:f>IF(R8="","",IF(R8="Mujer",10,IF(R8="Hombre",'11_Config'!$B$13,0)))</x:f>
      </x:c>
      <x:c r="T8" t="str">
        <x:f>IF(R8="Hombre","REVISAR REGLA OFICIAL","")</x:f>
      </x:c>
      <x:c r="V8" t="str">
        <x:f>IF(A8="","",(Q8*40%+S8*30%+U8*30%)*5%)</x:f>
      </x:c>
      <x:c r="W8" t="str">
        <x:f>IF(A8="","",F8+K8+P8+V8)</x:f>
      </x:c>
      <x:c r="X8" t="str">
        <x:f>IF(W8="","",IF(W8&gt;='11_Config'!$B$9,"Selección prioritaria",IF(W8&gt;='11_Config'!$B$10,"Elegible / reserva",IF(W8&gt;='11_Config'!$B$11,"Elegible condicionado","No recomendado"))))</x:f>
      </x:c>
    </x:row>
    <x:row r="9">
      <x:c r="F9" t="str">
        <x:f>IF(A9="","",(C9*40%+D9*30%+E9*30%)*15%)</x:f>
      </x:c>
      <x:c r="K9" t="str">
        <x:f>IF(A9="","",(G9*35%+H9*35%+I9*20%+J9*10%)*55%)</x:f>
      </x:c>
      <x:c r="P9" t="str">
        <x:f>IF(A9="","",(L9*35%+M9*35%+N9*20%+O9*10%)*25%)</x:f>
      </x:c>
      <x:c r="S9" t="str">
        <x:f>IF(R9="","",IF(R9="Mujer",10,IF(R9="Hombre",'11_Config'!$B$13,0)))</x:f>
      </x:c>
      <x:c r="T9" t="str">
        <x:f>IF(R9="Hombre","REVISAR REGLA OFICIAL","")</x:f>
      </x:c>
      <x:c r="V9" t="str">
        <x:f>IF(A9="","",(Q9*40%+S9*30%+U9*30%)*5%)</x:f>
      </x:c>
      <x:c r="W9" t="str">
        <x:f>IF(A9="","",F9+K9+P9+V9)</x:f>
      </x:c>
      <x:c r="X9" t="str">
        <x:f>IF(W9="","",IF(W9&gt;='11_Config'!$B$9,"Selección prioritaria",IF(W9&gt;='11_Config'!$B$10,"Elegible / reserva",IF(W9&gt;='11_Config'!$B$11,"Elegible condicionado","No recomendado"))))</x:f>
      </x:c>
    </x:row>
    <x:row r="10">
      <x:c r="F10" t="str">
        <x:f>IF(A10="","",(C10*40%+D10*30%+E10*30%)*15%)</x:f>
      </x:c>
      <x:c r="K10" t="str">
        <x:f>IF(A10="","",(G10*35%+H10*35%+I10*20%+J10*10%)*55%)</x:f>
      </x:c>
      <x:c r="P10" t="str">
        <x:f>IF(A10="","",(L10*35%+M10*35%+N10*20%+O10*10%)*25%)</x:f>
      </x:c>
      <x:c r="S10" t="str">
        <x:f>IF(R10="","",IF(R10="Mujer",10,IF(R10="Hombre",'11_Config'!$B$13,0)))</x:f>
      </x:c>
      <x:c r="T10" t="str">
        <x:f>IF(R10="Hombre","REVISAR REGLA OFICIAL","")</x:f>
      </x:c>
      <x:c r="V10" t="str">
        <x:f>IF(A10="","",(Q10*40%+S10*30%+U10*30%)*5%)</x:f>
      </x:c>
      <x:c r="W10" t="str">
        <x:f>IF(A10="","",F10+K10+P10+V10)</x:f>
      </x:c>
      <x:c r="X10" t="str">
        <x:f>IF(W10="","",IF(W10&gt;='11_Config'!$B$9,"Selección prioritaria",IF(W10&gt;='11_Config'!$B$10,"Elegible / reserva",IF(W10&gt;='11_Config'!$B$11,"Elegible condicionado","No recomendado"))))</x:f>
      </x:c>
    </x:row>
    <x:row r="11">
      <x:c r="F11" t="str">
        <x:f>IF(A11="","",(C11*40%+D11*30%+E11*30%)*15%)</x:f>
      </x:c>
      <x:c r="K11" t="str">
        <x:f>IF(A11="","",(G11*35%+H11*35%+I11*20%+J11*10%)*55%)</x:f>
      </x:c>
      <x:c r="P11" t="str">
        <x:f>IF(A11="","",(L11*35%+M11*35%+N11*20%+O11*10%)*25%)</x:f>
      </x:c>
      <x:c r="S11" t="str">
        <x:f>IF(R11="","",IF(R11="Mujer",10,IF(R11="Hombre",'11_Config'!$B$13,0)))</x:f>
      </x:c>
      <x:c r="T11" t="str">
        <x:f>IF(R11="Hombre","REVISAR REGLA OFICIAL","")</x:f>
      </x:c>
      <x:c r="V11" t="str">
        <x:f>IF(A11="","",(Q11*40%+S11*30%+U11*30%)*5%)</x:f>
      </x:c>
      <x:c r="W11" t="str">
        <x:f>IF(A11="","",F11+K11+P11+V11)</x:f>
      </x:c>
      <x:c r="X11" t="str">
        <x:f>IF(W11="","",IF(W11&gt;='11_Config'!$B$9,"Selección prioritaria",IF(W11&gt;='11_Config'!$B$10,"Elegible / reserva",IF(W11&gt;='11_Config'!$B$11,"Elegible condicionado","No recomendado"))))</x:f>
      </x:c>
    </x:row>
    <x:row r="12">
      <x:c r="F12" t="str">
        <x:f>IF(A12="","",(C12*40%+D12*30%+E12*30%)*15%)</x:f>
      </x:c>
      <x:c r="K12" t="str">
        <x:f>IF(A12="","",(G12*35%+H12*35%+I12*20%+J12*10%)*55%)</x:f>
      </x:c>
      <x:c r="P12" t="str">
        <x:f>IF(A12="","",(L12*35%+M12*35%+N12*20%+O12*10%)*25%)</x:f>
      </x:c>
      <x:c r="S12" t="str">
        <x:f>IF(R12="","",IF(R12="Mujer",10,IF(R12="Hombre",'11_Config'!$B$13,0)))</x:f>
      </x:c>
      <x:c r="T12" t="str">
        <x:f>IF(R12="Hombre","REVISAR REGLA OFICIAL","")</x:f>
      </x:c>
      <x:c r="V12" t="str">
        <x:f>IF(A12="","",(Q12*40%+S12*30%+U12*30%)*5%)</x:f>
      </x:c>
      <x:c r="W12" t="str">
        <x:f>IF(A12="","",F12+K12+P12+V12)</x:f>
      </x:c>
      <x:c r="X12" t="str">
        <x:f>IF(W12="","",IF(W12&gt;='11_Config'!$B$9,"Selección prioritaria",IF(W12&gt;='11_Config'!$B$10,"Elegible / reserva",IF(W12&gt;='11_Config'!$B$11,"Elegible condicionado","No recomendado"))))</x:f>
      </x:c>
    </x:row>
    <x:row r="13">
      <x:c r="F13" t="str">
        <x:f>IF(A13="","",(C13*40%+D13*30%+E13*30%)*15%)</x:f>
      </x:c>
      <x:c r="K13" t="str">
        <x:f>IF(A13="","",(G13*35%+H13*35%+I13*20%+J13*10%)*55%)</x:f>
      </x:c>
      <x:c r="P13" t="str">
        <x:f>IF(A13="","",(L13*35%+M13*35%+N13*20%+O13*10%)*25%)</x:f>
      </x:c>
      <x:c r="S13" t="str">
        <x:f>IF(R13="","",IF(R13="Mujer",10,IF(R13="Hombre",'11_Config'!$B$13,0)))</x:f>
      </x:c>
      <x:c r="T13" t="str">
        <x:f>IF(R13="Hombre","REVISAR REGLA OFICIAL","")</x:f>
      </x:c>
      <x:c r="V13" t="str">
        <x:f>IF(A13="","",(Q13*40%+S13*30%+U13*30%)*5%)</x:f>
      </x:c>
      <x:c r="W13" t="str">
        <x:f>IF(A13="","",F13+K13+P13+V13)</x:f>
      </x:c>
      <x:c r="X13" t="str">
        <x:f>IF(W13="","",IF(W13&gt;='11_Config'!$B$9,"Selección prioritaria",IF(W13&gt;='11_Config'!$B$10,"Elegible / reserva",IF(W13&gt;='11_Config'!$B$11,"Elegible condicionado","No recomendado"))))</x:f>
      </x:c>
    </x:row>
    <x:row r="14">
      <x:c r="F14" t="str">
        <x:f>IF(A14="","",(C14*40%+D14*30%+E14*30%)*15%)</x:f>
      </x:c>
      <x:c r="K14" t="str">
        <x:f>IF(A14="","",(G14*35%+H14*35%+I14*20%+J14*10%)*55%)</x:f>
      </x:c>
      <x:c r="P14" t="str">
        <x:f>IF(A14="","",(L14*35%+M14*35%+N14*20%+O14*10%)*25%)</x:f>
      </x:c>
      <x:c r="S14" t="str">
        <x:f>IF(R14="","",IF(R14="Mujer",10,IF(R14="Hombre",'11_Config'!$B$13,0)))</x:f>
      </x:c>
      <x:c r="T14" t="str">
        <x:f>IF(R14="Hombre","REVISAR REGLA OFICIAL","")</x:f>
      </x:c>
      <x:c r="V14" t="str">
        <x:f>IF(A14="","",(Q14*40%+S14*30%+U14*30%)*5%)</x:f>
      </x:c>
      <x:c r="W14" t="str">
        <x:f>IF(A14="","",F14+K14+P14+V14)</x:f>
      </x:c>
      <x:c r="X14" t="str">
        <x:f>IF(W14="","",IF(W14&gt;='11_Config'!$B$9,"Selección prioritaria",IF(W14&gt;='11_Config'!$B$10,"Elegible / reserva",IF(W14&gt;='11_Config'!$B$11,"Elegible condicionado","No recomendado"))))</x:f>
      </x:c>
    </x:row>
    <x:row r="15">
      <x:c r="F15" t="str">
        <x:f>IF(A15="","",(C15*40%+D15*30%+E15*30%)*15%)</x:f>
      </x:c>
      <x:c r="K15" t="str">
        <x:f>IF(A15="","",(G15*35%+H15*35%+I15*20%+J15*10%)*55%)</x:f>
      </x:c>
      <x:c r="P15" t="str">
        <x:f>IF(A15="","",(L15*35%+M15*35%+N15*20%+O15*10%)*25%)</x:f>
      </x:c>
      <x:c r="S15" t="str">
        <x:f>IF(R15="","",IF(R15="Mujer",10,IF(R15="Hombre",'11_Config'!$B$13,0)))</x:f>
      </x:c>
      <x:c r="T15" t="str">
        <x:f>IF(R15="Hombre","REVISAR REGLA OFICIAL","")</x:f>
      </x:c>
      <x:c r="V15" t="str">
        <x:f>IF(A15="","",(Q15*40%+S15*30%+U15*30%)*5%)</x:f>
      </x:c>
      <x:c r="W15" t="str">
        <x:f>IF(A15="","",F15+K15+P15+V15)</x:f>
      </x:c>
      <x:c r="X15" t="str">
        <x:f>IF(W15="","",IF(W15&gt;='11_Config'!$B$9,"Selección prioritaria",IF(W15&gt;='11_Config'!$B$10,"Elegible / reserva",IF(W15&gt;='11_Config'!$B$11,"Elegible condicionado","No recomendado"))))</x:f>
      </x:c>
    </x:row>
    <x:row r="16">
      <x:c r="F16" t="str">
        <x:f>IF(A16="","",(C16*40%+D16*30%+E16*30%)*15%)</x:f>
      </x:c>
      <x:c r="K16" t="str">
        <x:f>IF(A16="","",(G16*35%+H16*35%+I16*20%+J16*10%)*55%)</x:f>
      </x:c>
      <x:c r="P16" t="str">
        <x:f>IF(A16="","",(L16*35%+M16*35%+N16*20%+O16*10%)*25%)</x:f>
      </x:c>
      <x:c r="S16" t="str">
        <x:f>IF(R16="","",IF(R16="Mujer",10,IF(R16="Hombre",'11_Config'!$B$13,0)))</x:f>
      </x:c>
      <x:c r="T16" t="str">
        <x:f>IF(R16="Hombre","REVISAR REGLA OFICIAL","")</x:f>
      </x:c>
      <x:c r="V16" t="str">
        <x:f>IF(A16="","",(Q16*40%+S16*30%+U16*30%)*5%)</x:f>
      </x:c>
      <x:c r="W16" t="str">
        <x:f>IF(A16="","",F16+K16+P16+V16)</x:f>
      </x:c>
      <x:c r="X16" t="str">
        <x:f>IF(W16="","",IF(W16&gt;='11_Config'!$B$9,"Selección prioritaria",IF(W16&gt;='11_Config'!$B$10,"Elegible / reserva",IF(W16&gt;='11_Config'!$B$11,"Elegible condicionado","No recomendado"))))</x:f>
      </x:c>
    </x:row>
    <x:row r="17">
      <x:c r="F17" t="str">
        <x:f>IF(A17="","",(C17*40%+D17*30%+E17*30%)*15%)</x:f>
      </x:c>
      <x:c r="K17" t="str">
        <x:f>IF(A17="","",(G17*35%+H17*35%+I17*20%+J17*10%)*55%)</x:f>
      </x:c>
      <x:c r="P17" t="str">
        <x:f>IF(A17="","",(L17*35%+M17*35%+N17*20%+O17*10%)*25%)</x:f>
      </x:c>
      <x:c r="S17" t="str">
        <x:f>IF(R17="","",IF(R17="Mujer",10,IF(R17="Hombre",'11_Config'!$B$13,0)))</x:f>
      </x:c>
      <x:c r="T17" t="str">
        <x:f>IF(R17="Hombre","REVISAR REGLA OFICIAL","")</x:f>
      </x:c>
      <x:c r="V17" t="str">
        <x:f>IF(A17="","",(Q17*40%+S17*30%+U17*30%)*5%)</x:f>
      </x:c>
      <x:c r="W17" t="str">
        <x:f>IF(A17="","",F17+K17+P17+V17)</x:f>
      </x:c>
      <x:c r="X17" t="str">
        <x:f>IF(W17="","",IF(W17&gt;='11_Config'!$B$9,"Selección prioritaria",IF(W17&gt;='11_Config'!$B$10,"Elegible / reserva",IF(W17&gt;='11_Config'!$B$11,"Elegible condicionado","No recomendado"))))</x:f>
      </x:c>
    </x:row>
    <x:row r="18">
      <x:c r="F18" t="str">
        <x:f>IF(A18="","",(C18*40%+D18*30%+E18*30%)*15%)</x:f>
      </x:c>
      <x:c r="K18" t="str">
        <x:f>IF(A18="","",(G18*35%+H18*35%+I18*20%+J18*10%)*55%)</x:f>
      </x:c>
      <x:c r="P18" t="str">
        <x:f>IF(A18="","",(L18*35%+M18*35%+N18*20%+O18*10%)*25%)</x:f>
      </x:c>
      <x:c r="S18" t="str">
        <x:f>IF(R18="","",IF(R18="Mujer",10,IF(R18="Hombre",'11_Config'!$B$13,0)))</x:f>
      </x:c>
      <x:c r="T18" t="str">
        <x:f>IF(R18="Hombre","REVISAR REGLA OFICIAL","")</x:f>
      </x:c>
      <x:c r="V18" t="str">
        <x:f>IF(A18="","",(Q18*40%+S18*30%+U18*30%)*5%)</x:f>
      </x:c>
      <x:c r="W18" t="str">
        <x:f>IF(A18="","",F18+K18+P18+V18)</x:f>
      </x:c>
      <x:c r="X18" t="str">
        <x:f>IF(W18="","",IF(W18&gt;='11_Config'!$B$9,"Selección prioritaria",IF(W18&gt;='11_Config'!$B$10,"Elegible / reserva",IF(W18&gt;='11_Config'!$B$11,"Elegible condicionado","No recomendado"))))</x:f>
      </x:c>
    </x:row>
    <x:row r="19">
      <x:c r="F19" t="str">
        <x:f>IF(A19="","",(C19*40%+D19*30%+E19*30%)*15%)</x:f>
      </x:c>
      <x:c r="K19" t="str">
        <x:f>IF(A19="","",(G19*35%+H19*35%+I19*20%+J19*10%)*55%)</x:f>
      </x:c>
      <x:c r="P19" t="str">
        <x:f>IF(A19="","",(L19*35%+M19*35%+N19*20%+O19*10%)*25%)</x:f>
      </x:c>
      <x:c r="S19" t="str">
        <x:f>IF(R19="","",IF(R19="Mujer",10,IF(R19="Hombre",'11_Config'!$B$13,0)))</x:f>
      </x:c>
      <x:c r="T19" t="str">
        <x:f>IF(R19="Hombre","REVISAR REGLA OFICIAL","")</x:f>
      </x:c>
      <x:c r="V19" t="str">
        <x:f>IF(A19="","",(Q19*40%+S19*30%+U19*30%)*5%)</x:f>
      </x:c>
      <x:c r="W19" t="str">
        <x:f>IF(A19="","",F19+K19+P19+V19)</x:f>
      </x:c>
      <x:c r="X19" t="str">
        <x:f>IF(W19="","",IF(W19&gt;='11_Config'!$B$9,"Selección prioritaria",IF(W19&gt;='11_Config'!$B$10,"Elegible / reserva",IF(W19&gt;='11_Config'!$B$11,"Elegible condicionado","No recomendado"))))</x:f>
      </x:c>
    </x:row>
    <x:row r="20">
      <x:c r="F20" t="str">
        <x:f>IF(A20="","",(C20*40%+D20*30%+E20*30%)*15%)</x:f>
      </x:c>
      <x:c r="K20" t="str">
        <x:f>IF(A20="","",(G20*35%+H20*35%+I20*20%+J20*10%)*55%)</x:f>
      </x:c>
      <x:c r="P20" t="str">
        <x:f>IF(A20="","",(L20*35%+M20*35%+N20*20%+O20*10%)*25%)</x:f>
      </x:c>
      <x:c r="S20" t="str">
        <x:f>IF(R20="","",IF(R20="Mujer",10,IF(R20="Hombre",'11_Config'!$B$13,0)))</x:f>
      </x:c>
      <x:c r="T20" t="str">
        <x:f>IF(R20="Hombre","REVISAR REGLA OFICIAL","")</x:f>
      </x:c>
      <x:c r="V20" t="str">
        <x:f>IF(A20="","",(Q20*40%+S20*30%+U20*30%)*5%)</x:f>
      </x:c>
      <x:c r="W20" t="str">
        <x:f>IF(A20="","",F20+K20+P20+V20)</x:f>
      </x:c>
      <x:c r="X20" t="str">
        <x:f>IF(W20="","",IF(W20&gt;='11_Config'!$B$9,"Selección prioritaria",IF(W20&gt;='11_Config'!$B$10,"Elegible / reserva",IF(W20&gt;='11_Config'!$B$11,"Elegible condicionado","No recomendado"))))</x:f>
      </x:c>
    </x:row>
    <x:row r="21">
      <x:c r="F21" t="str">
        <x:f>IF(A21="","",(C21*40%+D21*30%+E21*30%)*15%)</x:f>
      </x:c>
      <x:c r="K21" t="str">
        <x:f>IF(A21="","",(G21*35%+H21*35%+I21*20%+J21*10%)*55%)</x:f>
      </x:c>
      <x:c r="P21" t="str">
        <x:f>IF(A21="","",(L21*35%+M21*35%+N21*20%+O21*10%)*25%)</x:f>
      </x:c>
      <x:c r="S21" t="str">
        <x:f>IF(R21="","",IF(R21="Mujer",10,IF(R21="Hombre",'11_Config'!$B$13,0)))</x:f>
      </x:c>
      <x:c r="T21" t="str">
        <x:f>IF(R21="Hombre","REVISAR REGLA OFICIAL","")</x:f>
      </x:c>
      <x:c r="V21" t="str">
        <x:f>IF(A21="","",(Q21*40%+S21*30%+U21*30%)*5%)</x:f>
      </x:c>
      <x:c r="W21" t="str">
        <x:f>IF(A21="","",F21+K21+P21+V21)</x:f>
      </x:c>
      <x:c r="X21" t="str">
        <x:f>IF(W21="","",IF(W21&gt;='11_Config'!$B$9,"Selección prioritaria",IF(W21&gt;='11_Config'!$B$10,"Elegible / reserva",IF(W21&gt;='11_Config'!$B$11,"Elegible condicionado","No recomendado"))))</x:f>
      </x:c>
    </x:row>
    <x:row r="22">
      <x:c r="F22" t="str">
        <x:f>IF(A22="","",(C22*40%+D22*30%+E22*30%)*15%)</x:f>
      </x:c>
      <x:c r="K22" t="str">
        <x:f>IF(A22="","",(G22*35%+H22*35%+I22*20%+J22*10%)*55%)</x:f>
      </x:c>
      <x:c r="P22" t="str">
        <x:f>IF(A22="","",(L22*35%+M22*35%+N22*20%+O22*10%)*25%)</x:f>
      </x:c>
      <x:c r="S22" t="str">
        <x:f>IF(R22="","",IF(R22="Mujer",10,IF(R22="Hombre",'11_Config'!$B$13,0)))</x:f>
      </x:c>
      <x:c r="T22" t="str">
        <x:f>IF(R22="Hombre","REVISAR REGLA OFICIAL","")</x:f>
      </x:c>
      <x:c r="V22" t="str">
        <x:f>IF(A22="","",(Q22*40%+S22*30%+U22*30%)*5%)</x:f>
      </x:c>
      <x:c r="W22" t="str">
        <x:f>IF(A22="","",F22+K22+P22+V22)</x:f>
      </x:c>
      <x:c r="X22" t="str">
        <x:f>IF(W22="","",IF(W22&gt;='11_Config'!$B$9,"Selección prioritaria",IF(W22&gt;='11_Config'!$B$10,"Elegible / reserva",IF(W22&gt;='11_Config'!$B$11,"Elegible condicionado","No recomendado"))))</x:f>
      </x:c>
    </x:row>
    <x:row r="23">
      <x:c r="F23" t="str">
        <x:f>IF(A23="","",(C23*40%+D23*30%+E23*30%)*15%)</x:f>
      </x:c>
      <x:c r="K23" t="str">
        <x:f>IF(A23="","",(G23*35%+H23*35%+I23*20%+J23*10%)*55%)</x:f>
      </x:c>
      <x:c r="P23" t="str">
        <x:f>IF(A23="","",(L23*35%+M23*35%+N23*20%+O23*10%)*25%)</x:f>
      </x:c>
      <x:c r="S23" t="str">
        <x:f>IF(R23="","",IF(R23="Mujer",10,IF(R23="Hombre",'11_Config'!$B$13,0)))</x:f>
      </x:c>
      <x:c r="T23" t="str">
        <x:f>IF(R23="Hombre","REVISAR REGLA OFICIAL","")</x:f>
      </x:c>
      <x:c r="V23" t="str">
        <x:f>IF(A23="","",(Q23*40%+S23*30%+U23*30%)*5%)</x:f>
      </x:c>
      <x:c r="W23" t="str">
        <x:f>IF(A23="","",F23+K23+P23+V23)</x:f>
      </x:c>
      <x:c r="X23" t="str">
        <x:f>IF(W23="","",IF(W23&gt;='11_Config'!$B$9,"Selección prioritaria",IF(W23&gt;='11_Config'!$B$10,"Elegible / reserva",IF(W23&gt;='11_Config'!$B$11,"Elegible condicionado","No recomendado"))))</x:f>
      </x:c>
    </x:row>
    <x:row r="24">
      <x:c r="F24" t="str">
        <x:f>IF(A24="","",(C24*40%+D24*30%+E24*30%)*15%)</x:f>
      </x:c>
      <x:c r="K24" t="str">
        <x:f>IF(A24="","",(G24*35%+H24*35%+I24*20%+J24*10%)*55%)</x:f>
      </x:c>
      <x:c r="P24" t="str">
        <x:f>IF(A24="","",(L24*35%+M24*35%+N24*20%+O24*10%)*25%)</x:f>
      </x:c>
      <x:c r="S24" t="str">
        <x:f>IF(R24="","",IF(R24="Mujer",10,IF(R24="Hombre",'11_Config'!$B$13,0)))</x:f>
      </x:c>
      <x:c r="T24" t="str">
        <x:f>IF(R24="Hombre","REVISAR REGLA OFICIAL","")</x:f>
      </x:c>
      <x:c r="V24" t="str">
        <x:f>IF(A24="","",(Q24*40%+S24*30%+U24*30%)*5%)</x:f>
      </x:c>
      <x:c r="W24" t="str">
        <x:f>IF(A24="","",F24+K24+P24+V24)</x:f>
      </x:c>
      <x:c r="X24" t="str">
        <x:f>IF(W24="","",IF(W24&gt;='11_Config'!$B$9,"Selección prioritaria",IF(W24&gt;='11_Config'!$B$10,"Elegible / reserva",IF(W24&gt;='11_Config'!$B$11,"Elegible condicionado","No recomendado"))))</x:f>
      </x:c>
    </x:row>
    <x:row r="25">
      <x:c r="F25" t="str">
        <x:f>IF(A25="","",(C25*40%+D25*30%+E25*30%)*15%)</x:f>
      </x:c>
      <x:c r="K25" t="str">
        <x:f>IF(A25="","",(G25*35%+H25*35%+I25*20%+J25*10%)*55%)</x:f>
      </x:c>
      <x:c r="P25" t="str">
        <x:f>IF(A25="","",(L25*35%+M25*35%+N25*20%+O25*10%)*25%)</x:f>
      </x:c>
      <x:c r="S25" t="str">
        <x:f>IF(R25="","",IF(R25="Mujer",10,IF(R25="Hombre",'11_Config'!$B$13,0)))</x:f>
      </x:c>
      <x:c r="T25" t="str">
        <x:f>IF(R25="Hombre","REVISAR REGLA OFICIAL","")</x:f>
      </x:c>
      <x:c r="V25" t="str">
        <x:f>IF(A25="","",(Q25*40%+S25*30%+U25*30%)*5%)</x:f>
      </x:c>
      <x:c r="W25" t="str">
        <x:f>IF(A25="","",F25+K25+P25+V25)</x:f>
      </x:c>
      <x:c r="X25" t="str">
        <x:f>IF(W25="","",IF(W25&gt;='11_Config'!$B$9,"Selección prioritaria",IF(W25&gt;='11_Config'!$B$10,"Elegible / reserva",IF(W25&gt;='11_Config'!$B$11,"Elegible condicionado","No recomendado"))))</x:f>
      </x:c>
    </x:row>
    <x:row r="26">
      <x:c r="F26" t="str">
        <x:f>IF(A26="","",(C26*40%+D26*30%+E26*30%)*15%)</x:f>
      </x:c>
      <x:c r="K26" t="str">
        <x:f>IF(A26="","",(G26*35%+H26*35%+I26*20%+J26*10%)*55%)</x:f>
      </x:c>
      <x:c r="P26" t="str">
        <x:f>IF(A26="","",(L26*35%+M26*35%+N26*20%+O26*10%)*25%)</x:f>
      </x:c>
      <x:c r="S26" t="str">
        <x:f>IF(R26="","",IF(R26="Mujer",10,IF(R26="Hombre",'11_Config'!$B$13,0)))</x:f>
      </x:c>
      <x:c r="T26" t="str">
        <x:f>IF(R26="Hombre","REVISAR REGLA OFICIAL","")</x:f>
      </x:c>
      <x:c r="V26" t="str">
        <x:f>IF(A26="","",(Q26*40%+S26*30%+U26*30%)*5%)</x:f>
      </x:c>
      <x:c r="W26" t="str">
        <x:f>IF(A26="","",F26+K26+P26+V26)</x:f>
      </x:c>
      <x:c r="X26" t="str">
        <x:f>IF(W26="","",IF(W26&gt;='11_Config'!$B$9,"Selección prioritaria",IF(W26&gt;='11_Config'!$B$10,"Elegible / reserva",IF(W26&gt;='11_Config'!$B$11,"Elegible condicionado","No recomendado"))))</x:f>
      </x:c>
    </x:row>
    <x:row r="27">
      <x:c r="F27" t="str">
        <x:f>IF(A27="","",(C27*40%+D27*30%+E27*30%)*15%)</x:f>
      </x:c>
      <x:c r="K27" t="str">
        <x:f>IF(A27="","",(G27*35%+H27*35%+I27*20%+J27*10%)*55%)</x:f>
      </x:c>
      <x:c r="P27" t="str">
        <x:f>IF(A27="","",(L27*35%+M27*35%+N27*20%+O27*10%)*25%)</x:f>
      </x:c>
      <x:c r="S27" t="str">
        <x:f>IF(R27="","",IF(R27="Mujer",10,IF(R27="Hombre",'11_Config'!$B$13,0)))</x:f>
      </x:c>
      <x:c r="T27" t="str">
        <x:f>IF(R27="Hombre","REVISAR REGLA OFICIAL","")</x:f>
      </x:c>
      <x:c r="V27" t="str">
        <x:f>IF(A27="","",(Q27*40%+S27*30%+U27*30%)*5%)</x:f>
      </x:c>
      <x:c r="W27" t="str">
        <x:f>IF(A27="","",F27+K27+P27+V27)</x:f>
      </x:c>
      <x:c r="X27" t="str">
        <x:f>IF(W27="","",IF(W27&gt;='11_Config'!$B$9,"Selección prioritaria",IF(W27&gt;='11_Config'!$B$10,"Elegible / reserva",IF(W27&gt;='11_Config'!$B$11,"Elegible condicionado","No recomendado"))))</x:f>
      </x:c>
    </x:row>
    <x:row r="28">
      <x:c r="F28" t="str">
        <x:f>IF(A28="","",(C28*40%+D28*30%+E28*30%)*15%)</x:f>
      </x:c>
      <x:c r="K28" t="str">
        <x:f>IF(A28="","",(G28*35%+H28*35%+I28*20%+J28*10%)*55%)</x:f>
      </x:c>
      <x:c r="P28" t="str">
        <x:f>IF(A28="","",(L28*35%+M28*35%+N28*20%+O28*10%)*25%)</x:f>
      </x:c>
      <x:c r="S28" t="str">
        <x:f>IF(R28="","",IF(R28="Mujer",10,IF(R28="Hombre",'11_Config'!$B$13,0)))</x:f>
      </x:c>
      <x:c r="T28" t="str">
        <x:f>IF(R28="Hombre","REVISAR REGLA OFICIAL","")</x:f>
      </x:c>
      <x:c r="V28" t="str">
        <x:f>IF(A28="","",(Q28*40%+S28*30%+U28*30%)*5%)</x:f>
      </x:c>
      <x:c r="W28" t="str">
        <x:f>IF(A28="","",F28+K28+P28+V28)</x:f>
      </x:c>
      <x:c r="X28" t="str">
        <x:f>IF(W28="","",IF(W28&gt;='11_Config'!$B$9,"Selección prioritaria",IF(W28&gt;='11_Config'!$B$10,"Elegible / reserva",IF(W28&gt;='11_Config'!$B$11,"Elegible condicionado","No recomendado"))))</x:f>
      </x:c>
    </x:row>
    <x:row r="29">
      <x:c r="F29" t="str">
        <x:f>IF(A29="","",(C29*40%+D29*30%+E29*30%)*15%)</x:f>
      </x:c>
      <x:c r="K29" t="str">
        <x:f>IF(A29="","",(G29*35%+H29*35%+I29*20%+J29*10%)*55%)</x:f>
      </x:c>
      <x:c r="P29" t="str">
        <x:f>IF(A29="","",(L29*35%+M29*35%+N29*20%+O29*10%)*25%)</x:f>
      </x:c>
      <x:c r="S29" t="str">
        <x:f>IF(R29="","",IF(R29="Mujer",10,IF(R29="Hombre",'11_Config'!$B$13,0)))</x:f>
      </x:c>
      <x:c r="T29" t="str">
        <x:f>IF(R29="Hombre","REVISAR REGLA OFICIAL","")</x:f>
      </x:c>
      <x:c r="V29" t="str">
        <x:f>IF(A29="","",(Q29*40%+S29*30%+U29*30%)*5%)</x:f>
      </x:c>
      <x:c r="W29" t="str">
        <x:f>IF(A29="","",F29+K29+P29+V29)</x:f>
      </x:c>
      <x:c r="X29" t="str">
        <x:f>IF(W29="","",IF(W29&gt;='11_Config'!$B$9,"Selección prioritaria",IF(W29&gt;='11_Config'!$B$10,"Elegible / reserva",IF(W29&gt;='11_Config'!$B$11,"Elegible condicionado","No recomendado"))))</x:f>
      </x:c>
    </x:row>
    <x:row r="30">
      <x:c r="F30" t="str">
        <x:f>IF(A30="","",(C30*40%+D30*30%+E30*30%)*15%)</x:f>
      </x:c>
      <x:c r="K30" t="str">
        <x:f>IF(A30="","",(G30*35%+H30*35%+I30*20%+J30*10%)*55%)</x:f>
      </x:c>
      <x:c r="P30" t="str">
        <x:f>IF(A30="","",(L30*35%+M30*35%+N30*20%+O30*10%)*25%)</x:f>
      </x:c>
      <x:c r="S30" t="str">
        <x:f>IF(R30="","",IF(R30="Mujer",10,IF(R30="Hombre",'11_Config'!$B$13,0)))</x:f>
      </x:c>
      <x:c r="T30" t="str">
        <x:f>IF(R30="Hombre","REVISAR REGLA OFICIAL","")</x:f>
      </x:c>
      <x:c r="V30" t="str">
        <x:f>IF(A30="","",(Q30*40%+S30*30%+U30*30%)*5%)</x:f>
      </x:c>
      <x:c r="W30" t="str">
        <x:f>IF(A30="","",F30+K30+P30+V30)</x:f>
      </x:c>
      <x:c r="X30" t="str">
        <x:f>IF(W30="","",IF(W30&gt;='11_Config'!$B$9,"Selección prioritaria",IF(W30&gt;='11_Config'!$B$10,"Elegible / reserva",IF(W30&gt;='11_Config'!$B$11,"Elegible condicionado","No recomendado"))))</x:f>
      </x:c>
    </x:row>
    <x:row r="31">
      <x:c r="F31" t="str">
        <x:f>IF(A31="","",(C31*40%+D31*30%+E31*30%)*15%)</x:f>
      </x:c>
      <x:c r="K31" t="str">
        <x:f>IF(A31="","",(G31*35%+H31*35%+I31*20%+J31*10%)*55%)</x:f>
      </x:c>
      <x:c r="P31" t="str">
        <x:f>IF(A31="","",(L31*35%+M31*35%+N31*20%+O31*10%)*25%)</x:f>
      </x:c>
      <x:c r="S31" t="str">
        <x:f>IF(R31="","",IF(R31="Mujer",10,IF(R31="Hombre",'11_Config'!$B$13,0)))</x:f>
      </x:c>
      <x:c r="T31" t="str">
        <x:f>IF(R31="Hombre","REVISAR REGLA OFICIAL","")</x:f>
      </x:c>
      <x:c r="V31" t="str">
        <x:f>IF(A31="","",(Q31*40%+S31*30%+U31*30%)*5%)</x:f>
      </x:c>
      <x:c r="W31" t="str">
        <x:f>IF(A31="","",F31+K31+P31+V31)</x:f>
      </x:c>
      <x:c r="X31" t="str">
        <x:f>IF(W31="","",IF(W31&gt;='11_Config'!$B$9,"Selección prioritaria",IF(W31&gt;='11_Config'!$B$10,"Elegible / reserva",IF(W31&gt;='11_Config'!$B$11,"Elegible condicionado","No recomendado"))))</x:f>
      </x:c>
    </x:row>
    <x:row r="32">
      <x:c r="F32" t="str">
        <x:f>IF(A32="","",(C32*40%+D32*30%+E32*30%)*15%)</x:f>
      </x:c>
      <x:c r="K32" t="str">
        <x:f>IF(A32="","",(G32*35%+H32*35%+I32*20%+J32*10%)*55%)</x:f>
      </x:c>
      <x:c r="P32" t="str">
        <x:f>IF(A32="","",(L32*35%+M32*35%+N32*20%+O32*10%)*25%)</x:f>
      </x:c>
      <x:c r="S32" t="str">
        <x:f>IF(R32="","",IF(R32="Mujer",10,IF(R32="Hombre",'11_Config'!$B$13,0)))</x:f>
      </x:c>
      <x:c r="T32" t="str">
        <x:f>IF(R32="Hombre","REVISAR REGLA OFICIAL","")</x:f>
      </x:c>
      <x:c r="V32" t="str">
        <x:f>IF(A32="","",(Q32*40%+S32*30%+U32*30%)*5%)</x:f>
      </x:c>
      <x:c r="W32" t="str">
        <x:f>IF(A32="","",F32+K32+P32+V32)</x:f>
      </x:c>
      <x:c r="X32" t="str">
        <x:f>IF(W32="","",IF(W32&gt;='11_Config'!$B$9,"Selección prioritaria",IF(W32&gt;='11_Config'!$B$10,"Elegible / reserva",IF(W32&gt;='11_Config'!$B$11,"Elegible condicionado","No recomendado"))))</x:f>
      </x:c>
    </x:row>
    <x:row r="33">
      <x:c r="F33" t="str">
        <x:f>IF(A33="","",(C33*40%+D33*30%+E33*30%)*15%)</x:f>
      </x:c>
      <x:c r="K33" t="str">
        <x:f>IF(A33="","",(G33*35%+H33*35%+I33*20%+J33*10%)*55%)</x:f>
      </x:c>
      <x:c r="P33" t="str">
        <x:f>IF(A33="","",(L33*35%+M33*35%+N33*20%+O33*10%)*25%)</x:f>
      </x:c>
      <x:c r="S33" t="str">
        <x:f>IF(R33="","",IF(R33="Mujer",10,IF(R33="Hombre",'11_Config'!$B$13,0)))</x:f>
      </x:c>
      <x:c r="T33" t="str">
        <x:f>IF(R33="Hombre","REVISAR REGLA OFICIAL","")</x:f>
      </x:c>
      <x:c r="V33" t="str">
        <x:f>IF(A33="","",(Q33*40%+S33*30%+U33*30%)*5%)</x:f>
      </x:c>
      <x:c r="W33" t="str">
        <x:f>IF(A33="","",F33+K33+P33+V33)</x:f>
      </x:c>
      <x:c r="X33" t="str">
        <x:f>IF(W33="","",IF(W33&gt;='11_Config'!$B$9,"Selección prioritaria",IF(W33&gt;='11_Config'!$B$10,"Elegible / reserva",IF(W33&gt;='11_Config'!$B$11,"Elegible condicionado","No recomendado"))))</x:f>
      </x:c>
    </x:row>
    <x:row r="34">
      <x:c r="F34" t="str">
        <x:f>IF(A34="","",(C34*40%+D34*30%+E34*30%)*15%)</x:f>
      </x:c>
      <x:c r="K34" t="str">
        <x:f>IF(A34="","",(G34*35%+H34*35%+I34*20%+J34*10%)*55%)</x:f>
      </x:c>
      <x:c r="P34" t="str">
        <x:f>IF(A34="","",(L34*35%+M34*35%+N34*20%+O34*10%)*25%)</x:f>
      </x:c>
      <x:c r="S34" t="str">
        <x:f>IF(R34="","",IF(R34="Mujer",10,IF(R34="Hombre",'11_Config'!$B$13,0)))</x:f>
      </x:c>
      <x:c r="T34" t="str">
        <x:f>IF(R34="Hombre","REVISAR REGLA OFICIAL","")</x:f>
      </x:c>
      <x:c r="V34" t="str">
        <x:f>IF(A34="","",(Q34*40%+S34*30%+U34*30%)*5%)</x:f>
      </x:c>
      <x:c r="W34" t="str">
        <x:f>IF(A34="","",F34+K34+P34+V34)</x:f>
      </x:c>
      <x:c r="X34" t="str">
        <x:f>IF(W34="","",IF(W34&gt;='11_Config'!$B$9,"Selección prioritaria",IF(W34&gt;='11_Config'!$B$10,"Elegible / reserva",IF(W34&gt;='11_Config'!$B$11,"Elegible condicionado","No recomendado"))))</x:f>
      </x:c>
    </x:row>
    <x:row r="35">
      <x:c r="F35" t="str">
        <x:f>IF(A35="","",(C35*40%+D35*30%+E35*30%)*15%)</x:f>
      </x:c>
      <x:c r="K35" t="str">
        <x:f>IF(A35="","",(G35*35%+H35*35%+I35*20%+J35*10%)*55%)</x:f>
      </x:c>
      <x:c r="P35" t="str">
        <x:f>IF(A35="","",(L35*35%+M35*35%+N35*20%+O35*10%)*25%)</x:f>
      </x:c>
      <x:c r="S35" t="str">
        <x:f>IF(R35="","",IF(R35="Mujer",10,IF(R35="Hombre",'11_Config'!$B$13,0)))</x:f>
      </x:c>
      <x:c r="T35" t="str">
        <x:f>IF(R35="Hombre","REVISAR REGLA OFICIAL","")</x:f>
      </x:c>
      <x:c r="V35" t="str">
        <x:f>IF(A35="","",(Q35*40%+S35*30%+U35*30%)*5%)</x:f>
      </x:c>
      <x:c r="W35" t="str">
        <x:f>IF(A35="","",F35+K35+P35+V35)</x:f>
      </x:c>
      <x:c r="X35" t="str">
        <x:f>IF(W35="","",IF(W35&gt;='11_Config'!$B$9,"Selección prioritaria",IF(W35&gt;='11_Config'!$B$10,"Elegible / reserva",IF(W35&gt;='11_Config'!$B$11,"Elegible condicionado","No recomendado"))))</x:f>
      </x:c>
    </x:row>
    <x:row r="36">
      <x:c r="F36" t="str">
        <x:f>IF(A36="","",(C36*40%+D36*30%+E36*30%)*15%)</x:f>
      </x:c>
      <x:c r="K36" t="str">
        <x:f>IF(A36="","",(G36*35%+H36*35%+I36*20%+J36*10%)*55%)</x:f>
      </x:c>
      <x:c r="P36" t="str">
        <x:f>IF(A36="","",(L36*35%+M36*35%+N36*20%+O36*10%)*25%)</x:f>
      </x:c>
      <x:c r="S36" t="str">
        <x:f>IF(R36="","",IF(R36="Mujer",10,IF(R36="Hombre",'11_Config'!$B$13,0)))</x:f>
      </x:c>
      <x:c r="T36" t="str">
        <x:f>IF(R36="Hombre","REVISAR REGLA OFICIAL","")</x:f>
      </x:c>
      <x:c r="V36" t="str">
        <x:f>IF(A36="","",(Q36*40%+S36*30%+U36*30%)*5%)</x:f>
      </x:c>
      <x:c r="W36" t="str">
        <x:f>IF(A36="","",F36+K36+P36+V36)</x:f>
      </x:c>
      <x:c r="X36" t="str">
        <x:f>IF(W36="","",IF(W36&gt;='11_Config'!$B$9,"Selección prioritaria",IF(W36&gt;='11_Config'!$B$10,"Elegible / reserva",IF(W36&gt;='11_Config'!$B$11,"Elegible condicionado","No recomendado"))))</x:f>
      </x:c>
    </x:row>
    <x:row r="37">
      <x:c r="F37" t="str">
        <x:f>IF(A37="","",(C37*40%+D37*30%+E37*30%)*15%)</x:f>
      </x:c>
      <x:c r="K37" t="str">
        <x:f>IF(A37="","",(G37*35%+H37*35%+I37*20%+J37*10%)*55%)</x:f>
      </x:c>
      <x:c r="P37" t="str">
        <x:f>IF(A37="","",(L37*35%+M37*35%+N37*20%+O37*10%)*25%)</x:f>
      </x:c>
      <x:c r="S37" t="str">
        <x:f>IF(R37="","",IF(R37="Mujer",10,IF(R37="Hombre",'11_Config'!$B$13,0)))</x:f>
      </x:c>
      <x:c r="T37" t="str">
        <x:f>IF(R37="Hombre","REVISAR REGLA OFICIAL","")</x:f>
      </x:c>
      <x:c r="V37" t="str">
        <x:f>IF(A37="","",(Q37*40%+S37*30%+U37*30%)*5%)</x:f>
      </x:c>
      <x:c r="W37" t="str">
        <x:f>IF(A37="","",F37+K37+P37+V37)</x:f>
      </x:c>
      <x:c r="X37" t="str">
        <x:f>IF(W37="","",IF(W37&gt;='11_Config'!$B$9,"Selección prioritaria",IF(W37&gt;='11_Config'!$B$10,"Elegible / reserva",IF(W37&gt;='11_Config'!$B$11,"Elegible condicionado","No recomendado"))))</x:f>
      </x:c>
    </x:row>
    <x:row r="38">
      <x:c r="F38" t="str">
        <x:f>IF(A38="","",(C38*40%+D38*30%+E38*30%)*15%)</x:f>
      </x:c>
      <x:c r="K38" t="str">
        <x:f>IF(A38="","",(G38*35%+H38*35%+I38*20%+J38*10%)*55%)</x:f>
      </x:c>
      <x:c r="P38" t="str">
        <x:f>IF(A38="","",(L38*35%+M38*35%+N38*20%+O38*10%)*25%)</x:f>
      </x:c>
      <x:c r="S38" t="str">
        <x:f>IF(R38="","",IF(R38="Mujer",10,IF(R38="Hombre",'11_Config'!$B$13,0)))</x:f>
      </x:c>
      <x:c r="T38" t="str">
        <x:f>IF(R38="Hombre","REVISAR REGLA OFICIAL","")</x:f>
      </x:c>
      <x:c r="V38" t="str">
        <x:f>IF(A38="","",(Q38*40%+S38*30%+U38*30%)*5%)</x:f>
      </x:c>
      <x:c r="W38" t="str">
        <x:f>IF(A38="","",F38+K38+P38+V38)</x:f>
      </x:c>
      <x:c r="X38" t="str">
        <x:f>IF(W38="","",IF(W38&gt;='11_Config'!$B$9,"Selección prioritaria",IF(W38&gt;='11_Config'!$B$10,"Elegible / reserva",IF(W38&gt;='11_Config'!$B$11,"Elegible condicionado","No recomendado"))))</x:f>
      </x:c>
    </x:row>
    <x:row r="39">
      <x:c r="F39" t="str">
        <x:f>IF(A39="","",(C39*40%+D39*30%+E39*30%)*15%)</x:f>
      </x:c>
      <x:c r="K39" t="str">
        <x:f>IF(A39="","",(G39*35%+H39*35%+I39*20%+J39*10%)*55%)</x:f>
      </x:c>
      <x:c r="P39" t="str">
        <x:f>IF(A39="","",(L39*35%+M39*35%+N39*20%+O39*10%)*25%)</x:f>
      </x:c>
      <x:c r="S39" t="str">
        <x:f>IF(R39="","",IF(R39="Mujer",10,IF(R39="Hombre",'11_Config'!$B$13,0)))</x:f>
      </x:c>
      <x:c r="T39" t="str">
        <x:f>IF(R39="Hombre","REVISAR REGLA OFICIAL","")</x:f>
      </x:c>
      <x:c r="V39" t="str">
        <x:f>IF(A39="","",(Q39*40%+S39*30%+U39*30%)*5%)</x:f>
      </x:c>
      <x:c r="W39" t="str">
        <x:f>IF(A39="","",F39+K39+P39+V39)</x:f>
      </x:c>
      <x:c r="X39" t="str">
        <x:f>IF(W39="","",IF(W39&gt;='11_Config'!$B$9,"Selección prioritaria",IF(W39&gt;='11_Config'!$B$10,"Elegible / reserva",IF(W39&gt;='11_Config'!$B$11,"Elegible condicionado","No recomendado"))))</x:f>
      </x:c>
    </x:row>
    <x:row r="40">
      <x:c r="F40" t="str">
        <x:f>IF(A40="","",(C40*40%+D40*30%+E40*30%)*15%)</x:f>
      </x:c>
      <x:c r="K40" t="str">
        <x:f>IF(A40="","",(G40*35%+H40*35%+I40*20%+J40*10%)*55%)</x:f>
      </x:c>
      <x:c r="P40" t="str">
        <x:f>IF(A40="","",(L40*35%+M40*35%+N40*20%+O40*10%)*25%)</x:f>
      </x:c>
      <x:c r="S40" t="str">
        <x:f>IF(R40="","",IF(R40="Mujer",10,IF(R40="Hombre",'11_Config'!$B$13,0)))</x:f>
      </x:c>
      <x:c r="T40" t="str">
        <x:f>IF(R40="Hombre","REVISAR REGLA OFICIAL","")</x:f>
      </x:c>
      <x:c r="V40" t="str">
        <x:f>IF(A40="","",(Q40*40%+S40*30%+U40*30%)*5%)</x:f>
      </x:c>
      <x:c r="W40" t="str">
        <x:f>IF(A40="","",F40+K40+P40+V40)</x:f>
      </x:c>
      <x:c r="X40" t="str">
        <x:f>IF(W40="","",IF(W40&gt;='11_Config'!$B$9,"Selección prioritaria",IF(W40&gt;='11_Config'!$B$10,"Elegible / reserva",IF(W40&gt;='11_Config'!$B$11,"Elegible condicionado","No recomendado"))))</x:f>
      </x:c>
    </x:row>
    <x:row r="41">
      <x:c r="F41" t="str">
        <x:f>IF(A41="","",(C41*40%+D41*30%+E41*30%)*15%)</x:f>
      </x:c>
      <x:c r="K41" t="str">
        <x:f>IF(A41="","",(G41*35%+H41*35%+I41*20%+J41*10%)*55%)</x:f>
      </x:c>
      <x:c r="P41" t="str">
        <x:f>IF(A41="","",(L41*35%+M41*35%+N41*20%+O41*10%)*25%)</x:f>
      </x:c>
      <x:c r="S41" t="str">
        <x:f>IF(R41="","",IF(R41="Mujer",10,IF(R41="Hombre",'11_Config'!$B$13,0)))</x:f>
      </x:c>
      <x:c r="T41" t="str">
        <x:f>IF(R41="Hombre","REVISAR REGLA OFICIAL","")</x:f>
      </x:c>
      <x:c r="V41" t="str">
        <x:f>IF(A41="","",(Q41*40%+S41*30%+U41*30%)*5%)</x:f>
      </x:c>
      <x:c r="W41" t="str">
        <x:f>IF(A41="","",F41+K41+P41+V41)</x:f>
      </x:c>
      <x:c r="X41" t="str">
        <x:f>IF(W41="","",IF(W41&gt;='11_Config'!$B$9,"Selección prioritaria",IF(W41&gt;='11_Config'!$B$10,"Elegible / reserva",IF(W41&gt;='11_Config'!$B$11,"Elegible condicionado","No recomendado"))))</x:f>
      </x:c>
    </x:row>
    <x:row r="42">
      <x:c r="F42" t="str">
        <x:f>IF(A42="","",(C42*40%+D42*30%+E42*30%)*15%)</x:f>
      </x:c>
      <x:c r="K42" t="str">
        <x:f>IF(A42="","",(G42*35%+H42*35%+I42*20%+J42*10%)*55%)</x:f>
      </x:c>
      <x:c r="P42" t="str">
        <x:f>IF(A42="","",(L42*35%+M42*35%+N42*20%+O42*10%)*25%)</x:f>
      </x:c>
      <x:c r="S42" t="str">
        <x:f>IF(R42="","",IF(R42="Mujer",10,IF(R42="Hombre",'11_Config'!$B$13,0)))</x:f>
      </x:c>
      <x:c r="T42" t="str">
        <x:f>IF(R42="Hombre","REVISAR REGLA OFICIAL","")</x:f>
      </x:c>
      <x:c r="V42" t="str">
        <x:f>IF(A42="","",(Q42*40%+S42*30%+U42*30%)*5%)</x:f>
      </x:c>
      <x:c r="W42" t="str">
        <x:f>IF(A42="","",F42+K42+P42+V42)</x:f>
      </x:c>
      <x:c r="X42" t="str">
        <x:f>IF(W42="","",IF(W42&gt;='11_Config'!$B$9,"Selección prioritaria",IF(W42&gt;='11_Config'!$B$10,"Elegible / reserva",IF(W42&gt;='11_Config'!$B$11,"Elegible condicionado","No recomendado"))))</x:f>
      </x:c>
    </x:row>
    <x:row r="43">
      <x:c r="F43" t="str">
        <x:f>IF(A43="","",(C43*40%+D43*30%+E43*30%)*15%)</x:f>
      </x:c>
      <x:c r="K43" t="str">
        <x:f>IF(A43="","",(G43*35%+H43*35%+I43*20%+J43*10%)*55%)</x:f>
      </x:c>
      <x:c r="P43" t="str">
        <x:f>IF(A43="","",(L43*35%+M43*35%+N43*20%+O43*10%)*25%)</x:f>
      </x:c>
      <x:c r="S43" t="str">
        <x:f>IF(R43="","",IF(R43="Mujer",10,IF(R43="Hombre",'11_Config'!$B$13,0)))</x:f>
      </x:c>
      <x:c r="T43" t="str">
        <x:f>IF(R43="Hombre","REVISAR REGLA OFICIAL","")</x:f>
      </x:c>
      <x:c r="V43" t="str">
        <x:f>IF(A43="","",(Q43*40%+S43*30%+U43*30%)*5%)</x:f>
      </x:c>
      <x:c r="W43" t="str">
        <x:f>IF(A43="","",F43+K43+P43+V43)</x:f>
      </x:c>
      <x:c r="X43" t="str">
        <x:f>IF(W43="","",IF(W43&gt;='11_Config'!$B$9,"Selección prioritaria",IF(W43&gt;='11_Config'!$B$10,"Elegible / reserva",IF(W43&gt;='11_Config'!$B$11,"Elegible condicionado","No recomendado"))))</x:f>
      </x:c>
    </x:row>
    <x:row r="44">
      <x:c r="F44" t="str">
        <x:f>IF(A44="","",(C44*40%+D44*30%+E44*30%)*15%)</x:f>
      </x:c>
      <x:c r="K44" t="str">
        <x:f>IF(A44="","",(G44*35%+H44*35%+I44*20%+J44*10%)*55%)</x:f>
      </x:c>
      <x:c r="P44" t="str">
        <x:f>IF(A44="","",(L44*35%+M44*35%+N44*20%+O44*10%)*25%)</x:f>
      </x:c>
      <x:c r="S44" t="str">
        <x:f>IF(R44="","",IF(R44="Mujer",10,IF(R44="Hombre",'11_Config'!$B$13,0)))</x:f>
      </x:c>
      <x:c r="T44" t="str">
        <x:f>IF(R44="Hombre","REVISAR REGLA OFICIAL","")</x:f>
      </x:c>
      <x:c r="V44" t="str">
        <x:f>IF(A44="","",(Q44*40%+S44*30%+U44*30%)*5%)</x:f>
      </x:c>
      <x:c r="W44" t="str">
        <x:f>IF(A44="","",F44+K44+P44+V44)</x:f>
      </x:c>
      <x:c r="X44" t="str">
        <x:f>IF(W44="","",IF(W44&gt;='11_Config'!$B$9,"Selección prioritaria",IF(W44&gt;='11_Config'!$B$10,"Elegible / reserva",IF(W44&gt;='11_Config'!$B$11,"Elegible condicionado","No recomendado"))))</x:f>
      </x:c>
    </x:row>
    <x:row r="45">
      <x:c r="F45" t="str">
        <x:f>IF(A45="","",(C45*40%+D45*30%+E45*30%)*15%)</x:f>
      </x:c>
      <x:c r="K45" t="str">
        <x:f>IF(A45="","",(G45*35%+H45*35%+I45*20%+J45*10%)*55%)</x:f>
      </x:c>
      <x:c r="P45" t="str">
        <x:f>IF(A45="","",(L45*35%+M45*35%+N45*20%+O45*10%)*25%)</x:f>
      </x:c>
      <x:c r="S45" t="str">
        <x:f>IF(R45="","",IF(R45="Mujer",10,IF(R45="Hombre",'11_Config'!$B$13,0)))</x:f>
      </x:c>
      <x:c r="T45" t="str">
        <x:f>IF(R45="Hombre","REVISAR REGLA OFICIAL","")</x:f>
      </x:c>
      <x:c r="V45" t="str">
        <x:f>IF(A45="","",(Q45*40%+S45*30%+U45*30%)*5%)</x:f>
      </x:c>
      <x:c r="W45" t="str">
        <x:f>IF(A45="","",F45+K45+P45+V45)</x:f>
      </x:c>
      <x:c r="X45" t="str">
        <x:f>IF(W45="","",IF(W45&gt;='11_Config'!$B$9,"Selección prioritaria",IF(W45&gt;='11_Config'!$B$10,"Elegible / reserva",IF(W45&gt;='11_Config'!$B$11,"Elegible condicionado","No recomendado"))))</x:f>
      </x:c>
    </x:row>
    <x:row r="46">
      <x:c r="F46" t="str">
        <x:f>IF(A46="","",(C46*40%+D46*30%+E46*30%)*15%)</x:f>
      </x:c>
      <x:c r="K46" t="str">
        <x:f>IF(A46="","",(G46*35%+H46*35%+I46*20%+J46*10%)*55%)</x:f>
      </x:c>
      <x:c r="P46" t="str">
        <x:f>IF(A46="","",(L46*35%+M46*35%+N46*20%+O46*10%)*25%)</x:f>
      </x:c>
      <x:c r="S46" t="str">
        <x:f>IF(R46="","",IF(R46="Mujer",10,IF(R46="Hombre",'11_Config'!$B$13,0)))</x:f>
      </x:c>
      <x:c r="T46" t="str">
        <x:f>IF(R46="Hombre","REVISAR REGLA OFICIAL","")</x:f>
      </x:c>
      <x:c r="V46" t="str">
        <x:f>IF(A46="","",(Q46*40%+S46*30%+U46*30%)*5%)</x:f>
      </x:c>
      <x:c r="W46" t="str">
        <x:f>IF(A46="","",F46+K46+P46+V46)</x:f>
      </x:c>
      <x:c r="X46" t="str">
        <x:f>IF(W46="","",IF(W46&gt;='11_Config'!$B$9,"Selección prioritaria",IF(W46&gt;='11_Config'!$B$10,"Elegible / reserva",IF(W46&gt;='11_Config'!$B$11,"Elegible condicionado","No recomendado"))))</x:f>
      </x:c>
    </x:row>
    <x:row r="47">
      <x:c r="F47" t="str">
        <x:f>IF(A47="","",(C47*40%+D47*30%+E47*30%)*15%)</x:f>
      </x:c>
      <x:c r="K47" t="str">
        <x:f>IF(A47="","",(G47*35%+H47*35%+I47*20%+J47*10%)*55%)</x:f>
      </x:c>
      <x:c r="P47" t="str">
        <x:f>IF(A47="","",(L47*35%+M47*35%+N47*20%+O47*10%)*25%)</x:f>
      </x:c>
      <x:c r="S47" t="str">
        <x:f>IF(R47="","",IF(R47="Mujer",10,IF(R47="Hombre",'11_Config'!$B$13,0)))</x:f>
      </x:c>
      <x:c r="T47" t="str">
        <x:f>IF(R47="Hombre","REVISAR REGLA OFICIAL","")</x:f>
      </x:c>
      <x:c r="V47" t="str">
        <x:f>IF(A47="","",(Q47*40%+S47*30%+U47*30%)*5%)</x:f>
      </x:c>
      <x:c r="W47" t="str">
        <x:f>IF(A47="","",F47+K47+P47+V47)</x:f>
      </x:c>
      <x:c r="X47" t="str">
        <x:f>IF(W47="","",IF(W47&gt;='11_Config'!$B$9,"Selección prioritaria",IF(W47&gt;='11_Config'!$B$10,"Elegible / reserva",IF(W47&gt;='11_Config'!$B$11,"Elegible condicionado","No recomendado"))))</x:f>
      </x:c>
    </x:row>
    <x:row r="48">
      <x:c r="F48" t="str">
        <x:f>IF(A48="","",(C48*40%+D48*30%+E48*30%)*15%)</x:f>
      </x:c>
      <x:c r="K48" t="str">
        <x:f>IF(A48="","",(G48*35%+H48*35%+I48*20%+J48*10%)*55%)</x:f>
      </x:c>
      <x:c r="P48" t="str">
        <x:f>IF(A48="","",(L48*35%+M48*35%+N48*20%+O48*10%)*25%)</x:f>
      </x:c>
      <x:c r="S48" t="str">
        <x:f>IF(R48="","",IF(R48="Mujer",10,IF(R48="Hombre",'11_Config'!$B$13,0)))</x:f>
      </x:c>
      <x:c r="T48" t="str">
        <x:f>IF(R48="Hombre","REVISAR REGLA OFICIAL","")</x:f>
      </x:c>
      <x:c r="V48" t="str">
        <x:f>IF(A48="","",(Q48*40%+S48*30%+U48*30%)*5%)</x:f>
      </x:c>
      <x:c r="W48" t="str">
        <x:f>IF(A48="","",F48+K48+P48+V48)</x:f>
      </x:c>
      <x:c r="X48" t="str">
        <x:f>IF(W48="","",IF(W48&gt;='11_Config'!$B$9,"Selección prioritaria",IF(W48&gt;='11_Config'!$B$10,"Elegible / reserva",IF(W48&gt;='11_Config'!$B$11,"Elegible condicionado","No recomendado"))))</x:f>
      </x:c>
    </x:row>
    <x:row r="49">
      <x:c r="F49" t="str">
        <x:f>IF(A49="","",(C49*40%+D49*30%+E49*30%)*15%)</x:f>
      </x:c>
      <x:c r="K49" t="str">
        <x:f>IF(A49="","",(G49*35%+H49*35%+I49*20%+J49*10%)*55%)</x:f>
      </x:c>
      <x:c r="P49" t="str">
        <x:f>IF(A49="","",(L49*35%+M49*35%+N49*20%+O49*10%)*25%)</x:f>
      </x:c>
      <x:c r="S49" t="str">
        <x:f>IF(R49="","",IF(R49="Mujer",10,IF(R49="Hombre",'11_Config'!$B$13,0)))</x:f>
      </x:c>
      <x:c r="T49" t="str">
        <x:f>IF(R49="Hombre","REVISAR REGLA OFICIAL","")</x:f>
      </x:c>
      <x:c r="V49" t="str">
        <x:f>IF(A49="","",(Q49*40%+S49*30%+U49*30%)*5%)</x:f>
      </x:c>
      <x:c r="W49" t="str">
        <x:f>IF(A49="","",F49+K49+P49+V49)</x:f>
      </x:c>
      <x:c r="X49" t="str">
        <x:f>IF(W49="","",IF(W49&gt;='11_Config'!$B$9,"Selección prioritaria",IF(W49&gt;='11_Config'!$B$10,"Elegible / reserva",IF(W49&gt;='11_Config'!$B$11,"Elegible condicionado","No recomendado"))))</x:f>
      </x:c>
    </x:row>
    <x:row r="50">
      <x:c r="F50" t="str">
        <x:f>IF(A50="","",(C50*40%+D50*30%+E50*30%)*15%)</x:f>
      </x:c>
      <x:c r="K50" t="str">
        <x:f>IF(A50="","",(G50*35%+H50*35%+I50*20%+J50*10%)*55%)</x:f>
      </x:c>
      <x:c r="P50" t="str">
        <x:f>IF(A50="","",(L50*35%+M50*35%+N50*20%+O50*10%)*25%)</x:f>
      </x:c>
      <x:c r="S50" t="str">
        <x:f>IF(R50="","",IF(R50="Mujer",10,IF(R50="Hombre",'11_Config'!$B$13,0)))</x:f>
      </x:c>
      <x:c r="T50" t="str">
        <x:f>IF(R50="Hombre","REVISAR REGLA OFICIAL","")</x:f>
      </x:c>
      <x:c r="V50" t="str">
        <x:f>IF(A50="","",(Q50*40%+S50*30%+U50*30%)*5%)</x:f>
      </x:c>
      <x:c r="W50" t="str">
        <x:f>IF(A50="","",F50+K50+P50+V50)</x:f>
      </x:c>
      <x:c r="X50" t="str">
        <x:f>IF(W50="","",IF(W50&gt;='11_Config'!$B$9,"Selección prioritaria",IF(W50&gt;='11_Config'!$B$10,"Elegible / reserva",IF(W50&gt;='11_Config'!$B$11,"Elegible condicionado","No recomendado"))))</x:f>
      </x:c>
    </x:row>
    <x:row r="51">
      <x:c r="F51" t="str">
        <x:f>IF(A51="","",(C51*40%+D51*30%+E51*30%)*15%)</x:f>
      </x:c>
      <x:c r="K51" t="str">
        <x:f>IF(A51="","",(G51*35%+H51*35%+I51*20%+J51*10%)*55%)</x:f>
      </x:c>
      <x:c r="P51" t="str">
        <x:f>IF(A51="","",(L51*35%+M51*35%+N51*20%+O51*10%)*25%)</x:f>
      </x:c>
      <x:c r="S51" t="str">
        <x:f>IF(R51="","",IF(R51="Mujer",10,IF(R51="Hombre",'11_Config'!$B$13,0)))</x:f>
      </x:c>
      <x:c r="T51" t="str">
        <x:f>IF(R51="Hombre","REVISAR REGLA OFICIAL","")</x:f>
      </x:c>
      <x:c r="V51" t="str">
        <x:f>IF(A51="","",(Q51*40%+S51*30%+U51*30%)*5%)</x:f>
      </x:c>
      <x:c r="W51" t="str">
        <x:f>IF(A51="","",F51+K51+P51+V51)</x:f>
      </x:c>
      <x:c r="X51" t="str">
        <x:f>IF(W51="","",IF(W51&gt;='11_Config'!$B$9,"Selección prioritaria",IF(W51&gt;='11_Config'!$B$10,"Elegible / reserva",IF(W51&gt;='11_Config'!$B$11,"Elegible condicionado","No recomendado"))))</x:f>
      </x:c>
    </x:row>
    <x:row r="52">
      <x:c r="F52" t="str">
        <x:f>IF(A52="","",(C52*40%+D52*30%+E52*30%)*15%)</x:f>
      </x:c>
      <x:c r="K52" t="str">
        <x:f>IF(A52="","",(G52*35%+H52*35%+I52*20%+J52*10%)*55%)</x:f>
      </x:c>
      <x:c r="P52" t="str">
        <x:f>IF(A52="","",(L52*35%+M52*35%+N52*20%+O52*10%)*25%)</x:f>
      </x:c>
      <x:c r="S52" t="str">
        <x:f>IF(R52="","",IF(R52="Mujer",10,IF(R52="Hombre",'11_Config'!$B$13,0)))</x:f>
      </x:c>
      <x:c r="T52" t="str">
        <x:f>IF(R52="Hombre","REVISAR REGLA OFICIAL","")</x:f>
      </x:c>
      <x:c r="V52" t="str">
        <x:f>IF(A52="","",(Q52*40%+S52*30%+U52*30%)*5%)</x:f>
      </x:c>
      <x:c r="W52" t="str">
        <x:f>IF(A52="","",F52+K52+P52+V52)</x:f>
      </x:c>
      <x:c r="X52" t="str">
        <x:f>IF(W52="","",IF(W52&gt;='11_Config'!$B$9,"Selección prioritaria",IF(W52&gt;='11_Config'!$B$10,"Elegible / reserva",IF(W52&gt;='11_Config'!$B$11,"Elegible condicionado","No recomendado"))))</x:f>
      </x:c>
    </x:row>
    <x:row r="53">
      <x:c r="F53" t="str">
        <x:f>IF(A53="","",(C53*40%+D53*30%+E53*30%)*15%)</x:f>
      </x:c>
      <x:c r="K53" t="str">
        <x:f>IF(A53="","",(G53*35%+H53*35%+I53*20%+J53*10%)*55%)</x:f>
      </x:c>
      <x:c r="P53" t="str">
        <x:f>IF(A53="","",(L53*35%+M53*35%+N53*20%+O53*10%)*25%)</x:f>
      </x:c>
      <x:c r="S53" t="str">
        <x:f>IF(R53="","",IF(R53="Mujer",10,IF(R53="Hombre",'11_Config'!$B$13,0)))</x:f>
      </x:c>
      <x:c r="T53" t="str">
        <x:f>IF(R53="Hombre","REVISAR REGLA OFICIAL","")</x:f>
      </x:c>
      <x:c r="V53" t="str">
        <x:f>IF(A53="","",(Q53*40%+S53*30%+U53*30%)*5%)</x:f>
      </x:c>
      <x:c r="W53" t="str">
        <x:f>IF(A53="","",F53+K53+P53+V53)</x:f>
      </x:c>
      <x:c r="X53" t="str">
        <x:f>IF(W53="","",IF(W53&gt;='11_Config'!$B$9,"Selección prioritaria",IF(W53&gt;='11_Config'!$B$10,"Elegible / reserva",IF(W53&gt;='11_Config'!$B$11,"Elegible condicionado","No recomendado"))))</x:f>
      </x:c>
    </x:row>
    <x:row r="54">
      <x:c r="F54" t="str">
        <x:f>IF(A54="","",(C54*40%+D54*30%+E54*30%)*15%)</x:f>
      </x:c>
      <x:c r="K54" t="str">
        <x:f>IF(A54="","",(G54*35%+H54*35%+I54*20%+J54*10%)*55%)</x:f>
      </x:c>
      <x:c r="P54" t="str">
        <x:f>IF(A54="","",(L54*35%+M54*35%+N54*20%+O54*10%)*25%)</x:f>
      </x:c>
      <x:c r="S54" t="str">
        <x:f>IF(R54="","",IF(R54="Mujer",10,IF(R54="Hombre",'11_Config'!$B$13,0)))</x:f>
      </x:c>
      <x:c r="T54" t="str">
        <x:f>IF(R54="Hombre","REVISAR REGLA OFICIAL","")</x:f>
      </x:c>
      <x:c r="V54" t="str">
        <x:f>IF(A54="","",(Q54*40%+S54*30%+U54*30%)*5%)</x:f>
      </x:c>
      <x:c r="W54" t="str">
        <x:f>IF(A54="","",F54+K54+P54+V54)</x:f>
      </x:c>
      <x:c r="X54" t="str">
        <x:f>IF(W54="","",IF(W54&gt;='11_Config'!$B$9,"Selección prioritaria",IF(W54&gt;='11_Config'!$B$10,"Elegible / reserva",IF(W54&gt;='11_Config'!$B$11,"Elegible condicionado","No recomendado"))))</x:f>
      </x:c>
    </x:row>
    <x:row r="55">
      <x:c r="F55" t="str">
        <x:f>IF(A55="","",(C55*40%+D55*30%+E55*30%)*15%)</x:f>
      </x:c>
      <x:c r="K55" t="str">
        <x:f>IF(A55="","",(G55*35%+H55*35%+I55*20%+J55*10%)*55%)</x:f>
      </x:c>
      <x:c r="P55" t="str">
        <x:f>IF(A55="","",(L55*35%+M55*35%+N55*20%+O55*10%)*25%)</x:f>
      </x:c>
      <x:c r="S55" t="str">
        <x:f>IF(R55="","",IF(R55="Mujer",10,IF(R55="Hombre",'11_Config'!$B$13,0)))</x:f>
      </x:c>
      <x:c r="T55" t="str">
        <x:f>IF(R55="Hombre","REVISAR REGLA OFICIAL","")</x:f>
      </x:c>
      <x:c r="V55" t="str">
        <x:f>IF(A55="","",(Q55*40%+S55*30%+U55*30%)*5%)</x:f>
      </x:c>
      <x:c r="W55" t="str">
        <x:f>IF(A55="","",F55+K55+P55+V55)</x:f>
      </x:c>
      <x:c r="X55" t="str">
        <x:f>IF(W55="","",IF(W55&gt;='11_Config'!$B$9,"Selección prioritaria",IF(W55&gt;='11_Config'!$B$10,"Elegible / reserva",IF(W55&gt;='11_Config'!$B$11,"Elegible condicionado","No recomendado"))))</x:f>
      </x:c>
    </x:row>
    <x:row r="56">
      <x:c r="F56" t="str">
        <x:f>IF(A56="","",(C56*40%+D56*30%+E56*30%)*15%)</x:f>
      </x:c>
      <x:c r="K56" t="str">
        <x:f>IF(A56="","",(G56*35%+H56*35%+I56*20%+J56*10%)*55%)</x:f>
      </x:c>
      <x:c r="P56" t="str">
        <x:f>IF(A56="","",(L56*35%+M56*35%+N56*20%+O56*10%)*25%)</x:f>
      </x:c>
      <x:c r="S56" t="str">
        <x:f>IF(R56="","",IF(R56="Mujer",10,IF(R56="Hombre",'11_Config'!$B$13,0)))</x:f>
      </x:c>
      <x:c r="T56" t="str">
        <x:f>IF(R56="Hombre","REVISAR REGLA OFICIAL","")</x:f>
      </x:c>
      <x:c r="V56" t="str">
        <x:f>IF(A56="","",(Q56*40%+S56*30%+U56*30%)*5%)</x:f>
      </x:c>
      <x:c r="W56" t="str">
        <x:f>IF(A56="","",F56+K56+P56+V56)</x:f>
      </x:c>
      <x:c r="X56" t="str">
        <x:f>IF(W56="","",IF(W56&gt;='11_Config'!$B$9,"Selección prioritaria",IF(W56&gt;='11_Config'!$B$10,"Elegible / reserva",IF(W56&gt;='11_Config'!$B$11,"Elegible condicionado","No recomendado"))))</x:f>
      </x:c>
    </x:row>
    <x:row r="57">
      <x:c r="F57" t="str">
        <x:f>IF(A57="","",(C57*40%+D57*30%+E57*30%)*15%)</x:f>
      </x:c>
      <x:c r="K57" t="str">
        <x:f>IF(A57="","",(G57*35%+H57*35%+I57*20%+J57*10%)*55%)</x:f>
      </x:c>
      <x:c r="P57" t="str">
        <x:f>IF(A57="","",(L57*35%+M57*35%+N57*20%+O57*10%)*25%)</x:f>
      </x:c>
      <x:c r="S57" t="str">
        <x:f>IF(R57="","",IF(R57="Mujer",10,IF(R57="Hombre",'11_Config'!$B$13,0)))</x:f>
      </x:c>
      <x:c r="T57" t="str">
        <x:f>IF(R57="Hombre","REVISAR REGLA OFICIAL","")</x:f>
      </x:c>
      <x:c r="V57" t="str">
        <x:f>IF(A57="","",(Q57*40%+S57*30%+U57*30%)*5%)</x:f>
      </x:c>
      <x:c r="W57" t="str">
        <x:f>IF(A57="","",F57+K57+P57+V57)</x:f>
      </x:c>
      <x:c r="X57" t="str">
        <x:f>IF(W57="","",IF(W57&gt;='11_Config'!$B$9,"Selección prioritaria",IF(W57&gt;='11_Config'!$B$10,"Elegible / reserva",IF(W57&gt;='11_Config'!$B$11,"Elegible condicionado","No recomendado"))))</x:f>
      </x:c>
    </x:row>
    <x:row r="58">
      <x:c r="F58" t="str">
        <x:f>IF(A58="","",(C58*40%+D58*30%+E58*30%)*15%)</x:f>
      </x:c>
      <x:c r="K58" t="str">
        <x:f>IF(A58="","",(G58*35%+H58*35%+I58*20%+J58*10%)*55%)</x:f>
      </x:c>
      <x:c r="P58" t="str">
        <x:f>IF(A58="","",(L58*35%+M58*35%+N58*20%+O58*10%)*25%)</x:f>
      </x:c>
      <x:c r="S58" t="str">
        <x:f>IF(R58="","",IF(R58="Mujer",10,IF(R58="Hombre",'11_Config'!$B$13,0)))</x:f>
      </x:c>
      <x:c r="T58" t="str">
        <x:f>IF(R58="Hombre","REVISAR REGLA OFICIAL","")</x:f>
      </x:c>
      <x:c r="V58" t="str">
        <x:f>IF(A58="","",(Q58*40%+S58*30%+U58*30%)*5%)</x:f>
      </x:c>
      <x:c r="W58" t="str">
        <x:f>IF(A58="","",F58+K58+P58+V58)</x:f>
      </x:c>
      <x:c r="X58" t="str">
        <x:f>IF(W58="","",IF(W58&gt;='11_Config'!$B$9,"Selección prioritaria",IF(W58&gt;='11_Config'!$B$10,"Elegible / reserva",IF(W58&gt;='11_Config'!$B$11,"Elegible condicionado","No recomendado"))))</x:f>
      </x:c>
    </x:row>
    <x:row r="59">
      <x:c r="F59" t="str">
        <x:f>IF(A59="","",(C59*40%+D59*30%+E59*30%)*15%)</x:f>
      </x:c>
      <x:c r="K59" t="str">
        <x:f>IF(A59="","",(G59*35%+H59*35%+I59*20%+J59*10%)*55%)</x:f>
      </x:c>
      <x:c r="P59" t="str">
        <x:f>IF(A59="","",(L59*35%+M59*35%+N59*20%+O59*10%)*25%)</x:f>
      </x:c>
      <x:c r="S59" t="str">
        <x:f>IF(R59="","",IF(R59="Mujer",10,IF(R59="Hombre",'11_Config'!$B$13,0)))</x:f>
      </x:c>
      <x:c r="T59" t="str">
        <x:f>IF(R59="Hombre","REVISAR REGLA OFICIAL","")</x:f>
      </x:c>
      <x:c r="V59" t="str">
        <x:f>IF(A59="","",(Q59*40%+S59*30%+U59*30%)*5%)</x:f>
      </x:c>
      <x:c r="W59" t="str">
        <x:f>IF(A59="","",F59+K59+P59+V59)</x:f>
      </x:c>
      <x:c r="X59" t="str">
        <x:f>IF(W59="","",IF(W59&gt;='11_Config'!$B$9,"Selección prioritaria",IF(W59&gt;='11_Config'!$B$10,"Elegible / reserva",IF(W59&gt;='11_Config'!$B$11,"Elegible condicionado","No recomendado"))))</x:f>
      </x:c>
    </x:row>
    <x:row r="60">
      <x:c r="F60" t="str">
        <x:f>IF(A60="","",(C60*40%+D60*30%+E60*30%)*15%)</x:f>
      </x:c>
      <x:c r="K60" t="str">
        <x:f>IF(A60="","",(G60*35%+H60*35%+I60*20%+J60*10%)*55%)</x:f>
      </x:c>
      <x:c r="P60" t="str">
        <x:f>IF(A60="","",(L60*35%+M60*35%+N60*20%+O60*10%)*25%)</x:f>
      </x:c>
      <x:c r="S60" t="str">
        <x:f>IF(R60="","",IF(R60="Mujer",10,IF(R60="Hombre",'11_Config'!$B$13,0)))</x:f>
      </x:c>
      <x:c r="T60" t="str">
        <x:f>IF(R60="Hombre","REVISAR REGLA OFICIAL","")</x:f>
      </x:c>
      <x:c r="V60" t="str">
        <x:f>IF(A60="","",(Q60*40%+S60*30%+U60*30%)*5%)</x:f>
      </x:c>
      <x:c r="W60" t="str">
        <x:f>IF(A60="","",F60+K60+P60+V60)</x:f>
      </x:c>
      <x:c r="X60" t="str">
        <x:f>IF(W60="","",IF(W60&gt;='11_Config'!$B$9,"Selección prioritaria",IF(W60&gt;='11_Config'!$B$10,"Elegible / reserva",IF(W60&gt;='11_Config'!$B$11,"Elegible condicionado","No recomendado"))))</x:f>
      </x:c>
    </x:row>
    <x:row r="61">
      <x:c r="F61" t="str">
        <x:f>IF(A61="","",(C61*40%+D61*30%+E61*30%)*15%)</x:f>
      </x:c>
      <x:c r="K61" t="str">
        <x:f>IF(A61="","",(G61*35%+H61*35%+I61*20%+J61*10%)*55%)</x:f>
      </x:c>
      <x:c r="P61" t="str">
        <x:f>IF(A61="","",(L61*35%+M61*35%+N61*20%+O61*10%)*25%)</x:f>
      </x:c>
      <x:c r="S61" t="str">
        <x:f>IF(R61="","",IF(R61="Mujer",10,IF(R61="Hombre",'11_Config'!$B$13,0)))</x:f>
      </x:c>
      <x:c r="T61" t="str">
        <x:f>IF(R61="Hombre","REVISAR REGLA OFICIAL","")</x:f>
      </x:c>
      <x:c r="V61" t="str">
        <x:f>IF(A61="","",(Q61*40%+S61*30%+U61*30%)*5%)</x:f>
      </x:c>
      <x:c r="W61" t="str">
        <x:f>IF(A61="","",F61+K61+P61+V61)</x:f>
      </x:c>
      <x:c r="X61" t="str">
        <x:f>IF(W61="","",IF(W61&gt;='11_Config'!$B$9,"Selección prioritaria",IF(W61&gt;='11_Config'!$B$10,"Elegible / reserva",IF(W61&gt;='11_Config'!$B$11,"Elegible condicionado","No recomendado"))))</x:f>
      </x:c>
    </x:row>
    <x:row r="62">
      <x:c r="F62" t="str">
        <x:f>IF(A62="","",(C62*40%+D62*30%+E62*30%)*15%)</x:f>
      </x:c>
      <x:c r="K62" t="str">
        <x:f>IF(A62="","",(G62*35%+H62*35%+I62*20%+J62*10%)*55%)</x:f>
      </x:c>
      <x:c r="P62" t="str">
        <x:f>IF(A62="","",(L62*35%+M62*35%+N62*20%+O62*10%)*25%)</x:f>
      </x:c>
      <x:c r="S62" t="str">
        <x:f>IF(R62="","",IF(R62="Mujer",10,IF(R62="Hombre",'11_Config'!$B$13,0)))</x:f>
      </x:c>
      <x:c r="T62" t="str">
        <x:f>IF(R62="Hombre","REVISAR REGLA OFICIAL","")</x:f>
      </x:c>
      <x:c r="V62" t="str">
        <x:f>IF(A62="","",(Q62*40%+S62*30%+U62*30%)*5%)</x:f>
      </x:c>
      <x:c r="W62" t="str">
        <x:f>IF(A62="","",F62+K62+P62+V62)</x:f>
      </x:c>
      <x:c r="X62" t="str">
        <x:f>IF(W62="","",IF(W62&gt;='11_Config'!$B$9,"Selección prioritaria",IF(W62&gt;='11_Config'!$B$10,"Elegible / reserva",IF(W62&gt;='11_Config'!$B$11,"Elegible condicionado","No recomendado"))))</x:f>
      </x:c>
    </x:row>
    <x:row r="63">
      <x:c r="F63" t="str">
        <x:f>IF(A63="","",(C63*40%+D63*30%+E63*30%)*15%)</x:f>
      </x:c>
      <x:c r="K63" t="str">
        <x:f>IF(A63="","",(G63*35%+H63*35%+I63*20%+J63*10%)*55%)</x:f>
      </x:c>
      <x:c r="P63" t="str">
        <x:f>IF(A63="","",(L63*35%+M63*35%+N63*20%+O63*10%)*25%)</x:f>
      </x:c>
      <x:c r="S63" t="str">
        <x:f>IF(R63="","",IF(R63="Mujer",10,IF(R63="Hombre",'11_Config'!$B$13,0)))</x:f>
      </x:c>
      <x:c r="T63" t="str">
        <x:f>IF(R63="Hombre","REVISAR REGLA OFICIAL","")</x:f>
      </x:c>
      <x:c r="V63" t="str">
        <x:f>IF(A63="","",(Q63*40%+S63*30%+U63*30%)*5%)</x:f>
      </x:c>
      <x:c r="W63" t="str">
        <x:f>IF(A63="","",F63+K63+P63+V63)</x:f>
      </x:c>
      <x:c r="X63" t="str">
        <x:f>IF(W63="","",IF(W63&gt;='11_Config'!$B$9,"Selección prioritaria",IF(W63&gt;='11_Config'!$B$10,"Elegible / reserva",IF(W63&gt;='11_Config'!$B$11,"Elegible condicionado","No recomendado"))))</x:f>
      </x:c>
    </x:row>
    <x:row r="64">
      <x:c r="F64" t="str">
        <x:f>IF(A64="","",(C64*40%+D64*30%+E64*30%)*15%)</x:f>
      </x:c>
      <x:c r="K64" t="str">
        <x:f>IF(A64="","",(G64*35%+H64*35%+I64*20%+J64*10%)*55%)</x:f>
      </x:c>
      <x:c r="P64" t="str">
        <x:f>IF(A64="","",(L64*35%+M64*35%+N64*20%+O64*10%)*25%)</x:f>
      </x:c>
      <x:c r="S64" t="str">
        <x:f>IF(R64="","",IF(R64="Mujer",10,IF(R64="Hombre",'11_Config'!$B$13,0)))</x:f>
      </x:c>
      <x:c r="T64" t="str">
        <x:f>IF(R64="Hombre","REVISAR REGLA OFICIAL","")</x:f>
      </x:c>
      <x:c r="V64" t="str">
        <x:f>IF(A64="","",(Q64*40%+S64*30%+U64*30%)*5%)</x:f>
      </x:c>
      <x:c r="W64" t="str">
        <x:f>IF(A64="","",F64+K64+P64+V64)</x:f>
      </x:c>
      <x:c r="X64" t="str">
        <x:f>IF(W64="","",IF(W64&gt;='11_Config'!$B$9,"Selección prioritaria",IF(W64&gt;='11_Config'!$B$10,"Elegible / reserva",IF(W64&gt;='11_Config'!$B$11,"Elegible condicionado","No recomendado"))))</x:f>
      </x:c>
    </x:row>
    <x:row r="65">
      <x:c r="F65" t="str">
        <x:f>IF(A65="","",(C65*40%+D65*30%+E65*30%)*15%)</x:f>
      </x:c>
      <x:c r="K65" t="str">
        <x:f>IF(A65="","",(G65*35%+H65*35%+I65*20%+J65*10%)*55%)</x:f>
      </x:c>
      <x:c r="P65" t="str">
        <x:f>IF(A65="","",(L65*35%+M65*35%+N65*20%+O65*10%)*25%)</x:f>
      </x:c>
      <x:c r="S65" t="str">
        <x:f>IF(R65="","",IF(R65="Mujer",10,IF(R65="Hombre",'11_Config'!$B$13,0)))</x:f>
      </x:c>
      <x:c r="T65" t="str">
        <x:f>IF(R65="Hombre","REVISAR REGLA OFICIAL","")</x:f>
      </x:c>
      <x:c r="V65" t="str">
        <x:f>IF(A65="","",(Q65*40%+S65*30%+U65*30%)*5%)</x:f>
      </x:c>
      <x:c r="W65" t="str">
        <x:f>IF(A65="","",F65+K65+P65+V65)</x:f>
      </x:c>
      <x:c r="X65" t="str">
        <x:f>IF(W65="","",IF(W65&gt;='11_Config'!$B$9,"Selección prioritaria",IF(W65&gt;='11_Config'!$B$10,"Elegible / reserva",IF(W65&gt;='11_Config'!$B$11,"Elegible condicionado","No recomendado"))))</x:f>
      </x:c>
    </x:row>
    <x:row r="66">
      <x:c r="F66" t="str">
        <x:f>IF(A66="","",(C66*40%+D66*30%+E66*30%)*15%)</x:f>
      </x:c>
      <x:c r="K66" t="str">
        <x:f>IF(A66="","",(G66*35%+H66*35%+I66*20%+J66*10%)*55%)</x:f>
      </x:c>
      <x:c r="P66" t="str">
        <x:f>IF(A66="","",(L66*35%+M66*35%+N66*20%+O66*10%)*25%)</x:f>
      </x:c>
      <x:c r="S66" t="str">
        <x:f>IF(R66="","",IF(R66="Mujer",10,IF(R66="Hombre",'11_Config'!$B$13,0)))</x:f>
      </x:c>
      <x:c r="T66" t="str">
        <x:f>IF(R66="Hombre","REVISAR REGLA OFICIAL","")</x:f>
      </x:c>
      <x:c r="V66" t="str">
        <x:f>IF(A66="","",(Q66*40%+S66*30%+U66*30%)*5%)</x:f>
      </x:c>
      <x:c r="W66" t="str">
        <x:f>IF(A66="","",F66+K66+P66+V66)</x:f>
      </x:c>
      <x:c r="X66" t="str">
        <x:f>IF(W66="","",IF(W66&gt;='11_Config'!$B$9,"Selección prioritaria",IF(W66&gt;='11_Config'!$B$10,"Elegible / reserva",IF(W66&gt;='11_Config'!$B$11,"Elegible condicionado","No recomendado"))))</x:f>
      </x:c>
    </x:row>
    <x:row r="67">
      <x:c r="F67" t="str">
        <x:f>IF(A67="","",(C67*40%+D67*30%+E67*30%)*15%)</x:f>
      </x:c>
      <x:c r="K67" t="str">
        <x:f>IF(A67="","",(G67*35%+H67*35%+I67*20%+J67*10%)*55%)</x:f>
      </x:c>
      <x:c r="P67" t="str">
        <x:f>IF(A67="","",(L67*35%+M67*35%+N67*20%+O67*10%)*25%)</x:f>
      </x:c>
      <x:c r="S67" t="str">
        <x:f>IF(R67="","",IF(R67="Mujer",10,IF(R67="Hombre",'11_Config'!$B$13,0)))</x:f>
      </x:c>
      <x:c r="T67" t="str">
        <x:f>IF(R67="Hombre","REVISAR REGLA OFICIAL","")</x:f>
      </x:c>
      <x:c r="V67" t="str">
        <x:f>IF(A67="","",(Q67*40%+S67*30%+U67*30%)*5%)</x:f>
      </x:c>
      <x:c r="W67" t="str">
        <x:f>IF(A67="","",F67+K67+P67+V67)</x:f>
      </x:c>
      <x:c r="X67" t="str">
        <x:f>IF(W67="","",IF(W67&gt;='11_Config'!$B$9,"Selección prioritaria",IF(W67&gt;='11_Config'!$B$10,"Elegible / reserva",IF(W67&gt;='11_Config'!$B$11,"Elegible condicionado","No recomendado"))))</x:f>
      </x:c>
    </x:row>
    <x:row r="68">
      <x:c r="F68" t="str">
        <x:f>IF(A68="","",(C68*40%+D68*30%+E68*30%)*15%)</x:f>
      </x:c>
      <x:c r="K68" t="str">
        <x:f>IF(A68="","",(G68*35%+H68*35%+I68*20%+J68*10%)*55%)</x:f>
      </x:c>
      <x:c r="P68" t="str">
        <x:f>IF(A68="","",(L68*35%+M68*35%+N68*20%+O68*10%)*25%)</x:f>
      </x:c>
      <x:c r="S68" t="str">
        <x:f>IF(R68="","",IF(R68="Mujer",10,IF(R68="Hombre",'11_Config'!$B$13,0)))</x:f>
      </x:c>
      <x:c r="T68" t="str">
        <x:f>IF(R68="Hombre","REVISAR REGLA OFICIAL","")</x:f>
      </x:c>
      <x:c r="V68" t="str">
        <x:f>IF(A68="","",(Q68*40%+S68*30%+U68*30%)*5%)</x:f>
      </x:c>
      <x:c r="W68" t="str">
        <x:f>IF(A68="","",F68+K68+P68+V68)</x:f>
      </x:c>
      <x:c r="X68" t="str">
        <x:f>IF(W68="","",IF(W68&gt;='11_Config'!$B$9,"Selección prioritaria",IF(W68&gt;='11_Config'!$B$10,"Elegible / reserva",IF(W68&gt;='11_Config'!$B$11,"Elegible condicionado","No recomendado"))))</x:f>
      </x:c>
    </x:row>
    <x:row r="69">
      <x:c r="F69" t="str">
        <x:f>IF(A69="","",(C69*40%+D69*30%+E69*30%)*15%)</x:f>
      </x:c>
      <x:c r="K69" t="str">
        <x:f>IF(A69="","",(G69*35%+H69*35%+I69*20%+J69*10%)*55%)</x:f>
      </x:c>
      <x:c r="P69" t="str">
        <x:f>IF(A69="","",(L69*35%+M69*35%+N69*20%+O69*10%)*25%)</x:f>
      </x:c>
      <x:c r="S69" t="str">
        <x:f>IF(R69="","",IF(R69="Mujer",10,IF(R69="Hombre",'11_Config'!$B$13,0)))</x:f>
      </x:c>
      <x:c r="T69" t="str">
        <x:f>IF(R69="Hombre","REVISAR REGLA OFICIAL","")</x:f>
      </x:c>
      <x:c r="V69" t="str">
        <x:f>IF(A69="","",(Q69*40%+S69*30%+U69*30%)*5%)</x:f>
      </x:c>
      <x:c r="W69" t="str">
        <x:f>IF(A69="","",F69+K69+P69+V69)</x:f>
      </x:c>
      <x:c r="X69" t="str">
        <x:f>IF(W69="","",IF(W69&gt;='11_Config'!$B$9,"Selección prioritaria",IF(W69&gt;='11_Config'!$B$10,"Elegible / reserva",IF(W69&gt;='11_Config'!$B$11,"Elegible condicionado","No recomendado"))))</x:f>
      </x:c>
    </x:row>
    <x:row r="70">
      <x:c r="F70" t="str">
        <x:f>IF(A70="","",(C70*40%+D70*30%+E70*30%)*15%)</x:f>
      </x:c>
      <x:c r="K70" t="str">
        <x:f>IF(A70="","",(G70*35%+H70*35%+I70*20%+J70*10%)*55%)</x:f>
      </x:c>
      <x:c r="P70" t="str">
        <x:f>IF(A70="","",(L70*35%+M70*35%+N70*20%+O70*10%)*25%)</x:f>
      </x:c>
      <x:c r="S70" t="str">
        <x:f>IF(R70="","",IF(R70="Mujer",10,IF(R70="Hombre",'11_Config'!$B$13,0)))</x:f>
      </x:c>
      <x:c r="T70" t="str">
        <x:f>IF(R70="Hombre","REVISAR REGLA OFICIAL","")</x:f>
      </x:c>
      <x:c r="V70" t="str">
        <x:f>IF(A70="","",(Q70*40%+S70*30%+U70*30%)*5%)</x:f>
      </x:c>
      <x:c r="W70" t="str">
        <x:f>IF(A70="","",F70+K70+P70+V70)</x:f>
      </x:c>
      <x:c r="X70" t="str">
        <x:f>IF(W70="","",IF(W70&gt;='11_Config'!$B$9,"Selección prioritaria",IF(W70&gt;='11_Config'!$B$10,"Elegible / reserva",IF(W70&gt;='11_Config'!$B$11,"Elegible condicionado","No recomendado"))))</x:f>
      </x:c>
    </x:row>
    <x:row r="71">
      <x:c r="F71" t="str">
        <x:f>IF(A71="","",(C71*40%+D71*30%+E71*30%)*15%)</x:f>
      </x:c>
      <x:c r="K71" t="str">
        <x:f>IF(A71="","",(G71*35%+H71*35%+I71*20%+J71*10%)*55%)</x:f>
      </x:c>
      <x:c r="P71" t="str">
        <x:f>IF(A71="","",(L71*35%+M71*35%+N71*20%+O71*10%)*25%)</x:f>
      </x:c>
      <x:c r="S71" t="str">
        <x:f>IF(R71="","",IF(R71="Mujer",10,IF(R71="Hombre",'11_Config'!$B$13,0)))</x:f>
      </x:c>
      <x:c r="T71" t="str">
        <x:f>IF(R71="Hombre","REVISAR REGLA OFICIAL","")</x:f>
      </x:c>
      <x:c r="V71" t="str">
        <x:f>IF(A71="","",(Q71*40%+S71*30%+U71*30%)*5%)</x:f>
      </x:c>
      <x:c r="W71" t="str">
        <x:f>IF(A71="","",F71+K71+P71+V71)</x:f>
      </x:c>
      <x:c r="X71" t="str">
        <x:f>IF(W71="","",IF(W71&gt;='11_Config'!$B$9,"Selección prioritaria",IF(W71&gt;='11_Config'!$B$10,"Elegible / reserva",IF(W71&gt;='11_Config'!$B$11,"Elegible condicionado","No recomendado"))))</x:f>
      </x:c>
    </x:row>
    <x:row r="72">
      <x:c r="F72" t="str">
        <x:f>IF(A72="","",(C72*40%+D72*30%+E72*30%)*15%)</x:f>
      </x:c>
      <x:c r="K72" t="str">
        <x:f>IF(A72="","",(G72*35%+H72*35%+I72*20%+J72*10%)*55%)</x:f>
      </x:c>
      <x:c r="P72" t="str">
        <x:f>IF(A72="","",(L72*35%+M72*35%+N72*20%+O72*10%)*25%)</x:f>
      </x:c>
      <x:c r="S72" t="str">
        <x:f>IF(R72="","",IF(R72="Mujer",10,IF(R72="Hombre",'11_Config'!$B$13,0)))</x:f>
      </x:c>
      <x:c r="T72" t="str">
        <x:f>IF(R72="Hombre","REVISAR REGLA OFICIAL","")</x:f>
      </x:c>
      <x:c r="V72" t="str">
        <x:f>IF(A72="","",(Q72*40%+S72*30%+U72*30%)*5%)</x:f>
      </x:c>
      <x:c r="W72" t="str">
        <x:f>IF(A72="","",F72+K72+P72+V72)</x:f>
      </x:c>
      <x:c r="X72" t="str">
        <x:f>IF(W72="","",IF(W72&gt;='11_Config'!$B$9,"Selección prioritaria",IF(W72&gt;='11_Config'!$B$10,"Elegible / reserva",IF(W72&gt;='11_Config'!$B$11,"Elegible condicionado","No recomendado"))))</x:f>
      </x:c>
    </x:row>
    <x:row r="73">
      <x:c r="F73" t="str">
        <x:f>IF(A73="","",(C73*40%+D73*30%+E73*30%)*15%)</x:f>
      </x:c>
      <x:c r="K73" t="str">
        <x:f>IF(A73="","",(G73*35%+H73*35%+I73*20%+J73*10%)*55%)</x:f>
      </x:c>
      <x:c r="P73" t="str">
        <x:f>IF(A73="","",(L73*35%+M73*35%+N73*20%+O73*10%)*25%)</x:f>
      </x:c>
      <x:c r="S73" t="str">
        <x:f>IF(R73="","",IF(R73="Mujer",10,IF(R73="Hombre",'11_Config'!$B$13,0)))</x:f>
      </x:c>
      <x:c r="T73" t="str">
        <x:f>IF(R73="Hombre","REVISAR REGLA OFICIAL","")</x:f>
      </x:c>
      <x:c r="V73" t="str">
        <x:f>IF(A73="","",(Q73*40%+S73*30%+U73*30%)*5%)</x:f>
      </x:c>
      <x:c r="W73" t="str">
        <x:f>IF(A73="","",F73+K73+P73+V73)</x:f>
      </x:c>
      <x:c r="X73" t="str">
        <x:f>IF(W73="","",IF(W73&gt;='11_Config'!$B$9,"Selección prioritaria",IF(W73&gt;='11_Config'!$B$10,"Elegible / reserva",IF(W73&gt;='11_Config'!$B$11,"Elegible condicionado","No recomendado"))))</x:f>
      </x:c>
    </x:row>
    <x:row r="74">
      <x:c r="F74" t="str">
        <x:f>IF(A74="","",(C74*40%+D74*30%+E74*30%)*15%)</x:f>
      </x:c>
      <x:c r="K74" t="str">
        <x:f>IF(A74="","",(G74*35%+H74*35%+I74*20%+J74*10%)*55%)</x:f>
      </x:c>
      <x:c r="P74" t="str">
        <x:f>IF(A74="","",(L74*35%+M74*35%+N74*20%+O74*10%)*25%)</x:f>
      </x:c>
      <x:c r="S74" t="str">
        <x:f>IF(R74="","",IF(R74="Mujer",10,IF(R74="Hombre",'11_Config'!$B$13,0)))</x:f>
      </x:c>
      <x:c r="T74" t="str">
        <x:f>IF(R74="Hombre","REVISAR REGLA OFICIAL","")</x:f>
      </x:c>
      <x:c r="V74" t="str">
        <x:f>IF(A74="","",(Q74*40%+S74*30%+U74*30%)*5%)</x:f>
      </x:c>
      <x:c r="W74" t="str">
        <x:f>IF(A74="","",F74+K74+P74+V74)</x:f>
      </x:c>
      <x:c r="X74" t="str">
        <x:f>IF(W74="","",IF(W74&gt;='11_Config'!$B$9,"Selección prioritaria",IF(W74&gt;='11_Config'!$B$10,"Elegible / reserva",IF(W74&gt;='11_Config'!$B$11,"Elegible condicionado","No recomendado"))))</x:f>
      </x:c>
    </x:row>
    <x:row r="75">
      <x:c r="F75" t="str">
        <x:f>IF(A75="","",(C75*40%+D75*30%+E75*30%)*15%)</x:f>
      </x:c>
      <x:c r="K75" t="str">
        <x:f>IF(A75="","",(G75*35%+H75*35%+I75*20%+J75*10%)*55%)</x:f>
      </x:c>
      <x:c r="P75" t="str">
        <x:f>IF(A75="","",(L75*35%+M75*35%+N75*20%+O75*10%)*25%)</x:f>
      </x:c>
      <x:c r="S75" t="str">
        <x:f>IF(R75="","",IF(R75="Mujer",10,IF(R75="Hombre",'11_Config'!$B$13,0)))</x:f>
      </x:c>
      <x:c r="T75" t="str">
        <x:f>IF(R75="Hombre","REVISAR REGLA OFICIAL","")</x:f>
      </x:c>
      <x:c r="V75" t="str">
        <x:f>IF(A75="","",(Q75*40%+S75*30%+U75*30%)*5%)</x:f>
      </x:c>
      <x:c r="W75" t="str">
        <x:f>IF(A75="","",F75+K75+P75+V75)</x:f>
      </x:c>
      <x:c r="X75" t="str">
        <x:f>IF(W75="","",IF(W75&gt;='11_Config'!$B$9,"Selección prioritaria",IF(W75&gt;='11_Config'!$B$10,"Elegible / reserva",IF(W75&gt;='11_Config'!$B$11,"Elegible condicionado","No recomendado"))))</x:f>
      </x:c>
    </x:row>
    <x:row r="76">
      <x:c r="F76" t="str">
        <x:f>IF(A76="","",(C76*40%+D76*30%+E76*30%)*15%)</x:f>
      </x:c>
      <x:c r="K76" t="str">
        <x:f>IF(A76="","",(G76*35%+H76*35%+I76*20%+J76*10%)*55%)</x:f>
      </x:c>
      <x:c r="P76" t="str">
        <x:f>IF(A76="","",(L76*35%+M76*35%+N76*20%+O76*10%)*25%)</x:f>
      </x:c>
      <x:c r="S76" t="str">
        <x:f>IF(R76="","",IF(R76="Mujer",10,IF(R76="Hombre",'11_Config'!$B$13,0)))</x:f>
      </x:c>
      <x:c r="T76" t="str">
        <x:f>IF(R76="Hombre","REVISAR REGLA OFICIAL","")</x:f>
      </x:c>
      <x:c r="V76" t="str">
        <x:f>IF(A76="","",(Q76*40%+S76*30%+U76*30%)*5%)</x:f>
      </x:c>
      <x:c r="W76" t="str">
        <x:f>IF(A76="","",F76+K76+P76+V76)</x:f>
      </x:c>
      <x:c r="X76" t="str">
        <x:f>IF(W76="","",IF(W76&gt;='11_Config'!$B$9,"Selección prioritaria",IF(W76&gt;='11_Config'!$B$10,"Elegible / reserva",IF(W76&gt;='11_Config'!$B$11,"Elegible condicionado","No recomendado"))))</x:f>
      </x:c>
    </x:row>
    <x:row r="77">
      <x:c r="F77" t="str">
        <x:f>IF(A77="","",(C77*40%+D77*30%+E77*30%)*15%)</x:f>
      </x:c>
      <x:c r="K77" t="str">
        <x:f>IF(A77="","",(G77*35%+H77*35%+I77*20%+J77*10%)*55%)</x:f>
      </x:c>
      <x:c r="P77" t="str">
        <x:f>IF(A77="","",(L77*35%+M77*35%+N77*20%+O77*10%)*25%)</x:f>
      </x:c>
      <x:c r="S77" t="str">
        <x:f>IF(R77="","",IF(R77="Mujer",10,IF(R77="Hombre",'11_Config'!$B$13,0)))</x:f>
      </x:c>
      <x:c r="T77" t="str">
        <x:f>IF(R77="Hombre","REVISAR REGLA OFICIAL","")</x:f>
      </x:c>
      <x:c r="V77" t="str">
        <x:f>IF(A77="","",(Q77*40%+S77*30%+U77*30%)*5%)</x:f>
      </x:c>
      <x:c r="W77" t="str">
        <x:f>IF(A77="","",F77+K77+P77+V77)</x:f>
      </x:c>
      <x:c r="X77" t="str">
        <x:f>IF(W77="","",IF(W77&gt;='11_Config'!$B$9,"Selección prioritaria",IF(W77&gt;='11_Config'!$B$10,"Elegible / reserva",IF(W77&gt;='11_Config'!$B$11,"Elegible condicionado","No recomendado"))))</x:f>
      </x:c>
    </x:row>
    <x:row r="78">
      <x:c r="F78" t="str">
        <x:f>IF(A78="","",(C78*40%+D78*30%+E78*30%)*15%)</x:f>
      </x:c>
      <x:c r="K78" t="str">
        <x:f>IF(A78="","",(G78*35%+H78*35%+I78*20%+J78*10%)*55%)</x:f>
      </x:c>
      <x:c r="P78" t="str">
        <x:f>IF(A78="","",(L78*35%+M78*35%+N78*20%+O78*10%)*25%)</x:f>
      </x:c>
      <x:c r="S78" t="str">
        <x:f>IF(R78="","",IF(R78="Mujer",10,IF(R78="Hombre",'11_Config'!$B$13,0)))</x:f>
      </x:c>
      <x:c r="T78" t="str">
        <x:f>IF(R78="Hombre","REVISAR REGLA OFICIAL","")</x:f>
      </x:c>
      <x:c r="V78" t="str">
        <x:f>IF(A78="","",(Q78*40%+S78*30%+U78*30%)*5%)</x:f>
      </x:c>
      <x:c r="W78" t="str">
        <x:f>IF(A78="","",F78+K78+P78+V78)</x:f>
      </x:c>
      <x:c r="X78" t="str">
        <x:f>IF(W78="","",IF(W78&gt;='11_Config'!$B$9,"Selección prioritaria",IF(W78&gt;='11_Config'!$B$10,"Elegible / reserva",IF(W78&gt;='11_Config'!$B$11,"Elegible condicionado","No recomendado"))))</x:f>
      </x:c>
    </x:row>
    <x:row r="79">
      <x:c r="F79" t="str">
        <x:f>IF(A79="","",(C79*40%+D79*30%+E79*30%)*15%)</x:f>
      </x:c>
      <x:c r="K79" t="str">
        <x:f>IF(A79="","",(G79*35%+H79*35%+I79*20%+J79*10%)*55%)</x:f>
      </x:c>
      <x:c r="P79" t="str">
        <x:f>IF(A79="","",(L79*35%+M79*35%+N79*20%+O79*10%)*25%)</x:f>
      </x:c>
      <x:c r="S79" t="str">
        <x:f>IF(R79="","",IF(R79="Mujer",10,IF(R79="Hombre",'11_Config'!$B$13,0)))</x:f>
      </x:c>
      <x:c r="T79" t="str">
        <x:f>IF(R79="Hombre","REVISAR REGLA OFICIAL","")</x:f>
      </x:c>
      <x:c r="V79" t="str">
        <x:f>IF(A79="","",(Q79*40%+S79*30%+U79*30%)*5%)</x:f>
      </x:c>
      <x:c r="W79" t="str">
        <x:f>IF(A79="","",F79+K79+P79+V79)</x:f>
      </x:c>
      <x:c r="X79" t="str">
        <x:f>IF(W79="","",IF(W79&gt;='11_Config'!$B$9,"Selección prioritaria",IF(W79&gt;='11_Config'!$B$10,"Elegible / reserva",IF(W79&gt;='11_Config'!$B$11,"Elegible condicionado","No recomendado"))))</x:f>
      </x:c>
    </x:row>
    <x:row r="80">
      <x:c r="F80" t="str">
        <x:f>IF(A80="","",(C80*40%+D80*30%+E80*30%)*15%)</x:f>
      </x:c>
      <x:c r="K80" t="str">
        <x:f>IF(A80="","",(G80*35%+H80*35%+I80*20%+J80*10%)*55%)</x:f>
      </x:c>
      <x:c r="P80" t="str">
        <x:f>IF(A80="","",(L80*35%+M80*35%+N80*20%+O80*10%)*25%)</x:f>
      </x:c>
      <x:c r="S80" t="str">
        <x:f>IF(R80="","",IF(R80="Mujer",10,IF(R80="Hombre",'11_Config'!$B$13,0)))</x:f>
      </x:c>
      <x:c r="T80" t="str">
        <x:f>IF(R80="Hombre","REVISAR REGLA OFICIAL","")</x:f>
      </x:c>
      <x:c r="V80" t="str">
        <x:f>IF(A80="","",(Q80*40%+S80*30%+U80*30%)*5%)</x:f>
      </x:c>
      <x:c r="W80" t="str">
        <x:f>IF(A80="","",F80+K80+P80+V80)</x:f>
      </x:c>
      <x:c r="X80" t="str">
        <x:f>IF(W80="","",IF(W80&gt;='11_Config'!$B$9,"Selección prioritaria",IF(W80&gt;='11_Config'!$B$10,"Elegible / reserva",IF(W80&gt;='11_Config'!$B$11,"Elegible condicionado","No recomendado"))))</x:f>
      </x:c>
    </x:row>
    <x:row r="81">
      <x:c r="F81" t="str">
        <x:f>IF(A81="","",(C81*40%+D81*30%+E81*30%)*15%)</x:f>
      </x:c>
      <x:c r="K81" t="str">
        <x:f>IF(A81="","",(G81*35%+H81*35%+I81*20%+J81*10%)*55%)</x:f>
      </x:c>
      <x:c r="P81" t="str">
        <x:f>IF(A81="","",(L81*35%+M81*35%+N81*20%+O81*10%)*25%)</x:f>
      </x:c>
      <x:c r="S81" t="str">
        <x:f>IF(R81="","",IF(R81="Mujer",10,IF(R81="Hombre",'11_Config'!$B$13,0)))</x:f>
      </x:c>
      <x:c r="T81" t="str">
        <x:f>IF(R81="Hombre","REVISAR REGLA OFICIAL","")</x:f>
      </x:c>
      <x:c r="V81" t="str">
        <x:f>IF(A81="","",(Q81*40%+S81*30%+U81*30%)*5%)</x:f>
      </x:c>
      <x:c r="W81" t="str">
        <x:f>IF(A81="","",F81+K81+P81+V81)</x:f>
      </x:c>
      <x:c r="X81" t="str">
        <x:f>IF(W81="","",IF(W81&gt;='11_Config'!$B$9,"Selección prioritaria",IF(W81&gt;='11_Config'!$B$10,"Elegible / reserva",IF(W81&gt;='11_Config'!$B$11,"Elegible condicionado","No recomendado"))))</x:f>
      </x:c>
    </x:row>
    <x:row r="82">
      <x:c r="F82" t="str">
        <x:f>IF(A82="","",(C82*40%+D82*30%+E82*30%)*15%)</x:f>
      </x:c>
      <x:c r="K82" t="str">
        <x:f>IF(A82="","",(G82*35%+H82*35%+I82*20%+J82*10%)*55%)</x:f>
      </x:c>
      <x:c r="P82" t="str">
        <x:f>IF(A82="","",(L82*35%+M82*35%+N82*20%+O82*10%)*25%)</x:f>
      </x:c>
      <x:c r="S82" t="str">
        <x:f>IF(R82="","",IF(R82="Mujer",10,IF(R82="Hombre",'11_Config'!$B$13,0)))</x:f>
      </x:c>
      <x:c r="T82" t="str">
        <x:f>IF(R82="Hombre","REVISAR REGLA OFICIAL","")</x:f>
      </x:c>
      <x:c r="V82" t="str">
        <x:f>IF(A82="","",(Q82*40%+S82*30%+U82*30%)*5%)</x:f>
      </x:c>
      <x:c r="W82" t="str">
        <x:f>IF(A82="","",F82+K82+P82+V82)</x:f>
      </x:c>
      <x:c r="X82" t="str">
        <x:f>IF(W82="","",IF(W82&gt;='11_Config'!$B$9,"Selección prioritaria",IF(W82&gt;='11_Config'!$B$10,"Elegible / reserva",IF(W82&gt;='11_Config'!$B$11,"Elegible condicionado","No recomendado"))))</x:f>
      </x:c>
    </x:row>
    <x:row r="83">
      <x:c r="F83" t="str">
        <x:f>IF(A83="","",(C83*40%+D83*30%+E83*30%)*15%)</x:f>
      </x:c>
      <x:c r="K83" t="str">
        <x:f>IF(A83="","",(G83*35%+H83*35%+I83*20%+J83*10%)*55%)</x:f>
      </x:c>
      <x:c r="P83" t="str">
        <x:f>IF(A83="","",(L83*35%+M83*35%+N83*20%+O83*10%)*25%)</x:f>
      </x:c>
      <x:c r="S83" t="str">
        <x:f>IF(R83="","",IF(R83="Mujer",10,IF(R83="Hombre",'11_Config'!$B$13,0)))</x:f>
      </x:c>
      <x:c r="T83" t="str">
        <x:f>IF(R83="Hombre","REVISAR REGLA OFICIAL","")</x:f>
      </x:c>
      <x:c r="V83" t="str">
        <x:f>IF(A83="","",(Q83*40%+S83*30%+U83*30%)*5%)</x:f>
      </x:c>
      <x:c r="W83" t="str">
        <x:f>IF(A83="","",F83+K83+P83+V83)</x:f>
      </x:c>
      <x:c r="X83" t="str">
        <x:f>IF(W83="","",IF(W83&gt;='11_Config'!$B$9,"Selección prioritaria",IF(W83&gt;='11_Config'!$B$10,"Elegible / reserva",IF(W83&gt;='11_Config'!$B$11,"Elegible condicionado","No recomendado"))))</x:f>
      </x:c>
    </x:row>
    <x:row r="84">
      <x:c r="F84" t="str">
        <x:f>IF(A84="","",(C84*40%+D84*30%+E84*30%)*15%)</x:f>
      </x:c>
      <x:c r="K84" t="str">
        <x:f>IF(A84="","",(G84*35%+H84*35%+I84*20%+J84*10%)*55%)</x:f>
      </x:c>
      <x:c r="P84" t="str">
        <x:f>IF(A84="","",(L84*35%+M84*35%+N84*20%+O84*10%)*25%)</x:f>
      </x:c>
      <x:c r="S84" t="str">
        <x:f>IF(R84="","",IF(R84="Mujer",10,IF(R84="Hombre",'11_Config'!$B$13,0)))</x:f>
      </x:c>
      <x:c r="T84" t="str">
        <x:f>IF(R84="Hombre","REVISAR REGLA OFICIAL","")</x:f>
      </x:c>
      <x:c r="V84" t="str">
        <x:f>IF(A84="","",(Q84*40%+S84*30%+U84*30%)*5%)</x:f>
      </x:c>
      <x:c r="W84" t="str">
        <x:f>IF(A84="","",F84+K84+P84+V84)</x:f>
      </x:c>
      <x:c r="X84" t="str">
        <x:f>IF(W84="","",IF(W84&gt;='11_Config'!$B$9,"Selección prioritaria",IF(W84&gt;='11_Config'!$B$10,"Elegible / reserva",IF(W84&gt;='11_Config'!$B$11,"Elegible condicionado","No recomendado"))))</x:f>
      </x:c>
    </x:row>
    <x:row r="85">
      <x:c r="F85" t="str">
        <x:f>IF(A85="","",(C85*40%+D85*30%+E85*30%)*15%)</x:f>
      </x:c>
      <x:c r="K85" t="str">
        <x:f>IF(A85="","",(G85*35%+H85*35%+I85*20%+J85*10%)*55%)</x:f>
      </x:c>
      <x:c r="P85" t="str">
        <x:f>IF(A85="","",(L85*35%+M85*35%+N85*20%+O85*10%)*25%)</x:f>
      </x:c>
      <x:c r="S85" t="str">
        <x:f>IF(R85="","",IF(R85="Mujer",10,IF(R85="Hombre",'11_Config'!$B$13,0)))</x:f>
      </x:c>
      <x:c r="T85" t="str">
        <x:f>IF(R85="Hombre","REVISAR REGLA OFICIAL","")</x:f>
      </x:c>
      <x:c r="V85" t="str">
        <x:f>IF(A85="","",(Q85*40%+S85*30%+U85*30%)*5%)</x:f>
      </x:c>
      <x:c r="W85" t="str">
        <x:f>IF(A85="","",F85+K85+P85+V85)</x:f>
      </x:c>
      <x:c r="X85" t="str">
        <x:f>IF(W85="","",IF(W85&gt;='11_Config'!$B$9,"Selección prioritaria",IF(W85&gt;='11_Config'!$B$10,"Elegible / reserva",IF(W85&gt;='11_Config'!$B$11,"Elegible condicionado","No recomendado"))))</x:f>
      </x:c>
    </x:row>
    <x:row r="86">
      <x:c r="F86" t="str">
        <x:f>IF(A86="","",(C86*40%+D86*30%+E86*30%)*15%)</x:f>
      </x:c>
      <x:c r="K86" t="str">
        <x:f>IF(A86="","",(G86*35%+H86*35%+I86*20%+J86*10%)*55%)</x:f>
      </x:c>
      <x:c r="P86" t="str">
        <x:f>IF(A86="","",(L86*35%+M86*35%+N86*20%+O86*10%)*25%)</x:f>
      </x:c>
      <x:c r="S86" t="str">
        <x:f>IF(R86="","",IF(R86="Mujer",10,IF(R86="Hombre",'11_Config'!$B$13,0)))</x:f>
      </x:c>
      <x:c r="T86" t="str">
        <x:f>IF(R86="Hombre","REVISAR REGLA OFICIAL","")</x:f>
      </x:c>
      <x:c r="V86" t="str">
        <x:f>IF(A86="","",(Q86*40%+S86*30%+U86*30%)*5%)</x:f>
      </x:c>
      <x:c r="W86" t="str">
        <x:f>IF(A86="","",F86+K86+P86+V86)</x:f>
      </x:c>
      <x:c r="X86" t="str">
        <x:f>IF(W86="","",IF(W86&gt;='11_Config'!$B$9,"Selección prioritaria",IF(W86&gt;='11_Config'!$B$10,"Elegible / reserva",IF(W86&gt;='11_Config'!$B$11,"Elegible condicionado","No recomendado"))))</x:f>
      </x:c>
    </x:row>
    <x:row r="87">
      <x:c r="F87" t="str">
        <x:f>IF(A87="","",(C87*40%+D87*30%+E87*30%)*15%)</x:f>
      </x:c>
      <x:c r="K87" t="str">
        <x:f>IF(A87="","",(G87*35%+H87*35%+I87*20%+J87*10%)*55%)</x:f>
      </x:c>
      <x:c r="P87" t="str">
        <x:f>IF(A87="","",(L87*35%+M87*35%+N87*20%+O87*10%)*25%)</x:f>
      </x:c>
      <x:c r="S87" t="str">
        <x:f>IF(R87="","",IF(R87="Mujer",10,IF(R87="Hombre",'11_Config'!$B$13,0)))</x:f>
      </x:c>
      <x:c r="T87" t="str">
        <x:f>IF(R87="Hombre","REVISAR REGLA OFICIAL","")</x:f>
      </x:c>
      <x:c r="V87" t="str">
        <x:f>IF(A87="","",(Q87*40%+S87*30%+U87*30%)*5%)</x:f>
      </x:c>
      <x:c r="W87" t="str">
        <x:f>IF(A87="","",F87+K87+P87+V87)</x:f>
      </x:c>
      <x:c r="X87" t="str">
        <x:f>IF(W87="","",IF(W87&gt;='11_Config'!$B$9,"Selección prioritaria",IF(W87&gt;='11_Config'!$B$10,"Elegible / reserva",IF(W87&gt;='11_Config'!$B$11,"Elegible condicionado","No recomendado"))))</x:f>
      </x:c>
    </x:row>
    <x:row r="88">
      <x:c r="F88" t="str">
        <x:f>IF(A88="","",(C88*40%+D88*30%+E88*30%)*15%)</x:f>
      </x:c>
      <x:c r="K88" t="str">
        <x:f>IF(A88="","",(G88*35%+H88*35%+I88*20%+J88*10%)*55%)</x:f>
      </x:c>
      <x:c r="P88" t="str">
        <x:f>IF(A88="","",(L88*35%+M88*35%+N88*20%+O88*10%)*25%)</x:f>
      </x:c>
      <x:c r="S88" t="str">
        <x:f>IF(R88="","",IF(R88="Mujer",10,IF(R88="Hombre",'11_Config'!$B$13,0)))</x:f>
      </x:c>
      <x:c r="T88" t="str">
        <x:f>IF(R88="Hombre","REVISAR REGLA OFICIAL","")</x:f>
      </x:c>
      <x:c r="V88" t="str">
        <x:f>IF(A88="","",(Q88*40%+S88*30%+U88*30%)*5%)</x:f>
      </x:c>
      <x:c r="W88" t="str">
        <x:f>IF(A88="","",F88+K88+P88+V88)</x:f>
      </x:c>
      <x:c r="X88" t="str">
        <x:f>IF(W88="","",IF(W88&gt;='11_Config'!$B$9,"Selección prioritaria",IF(W88&gt;='11_Config'!$B$10,"Elegible / reserva",IF(W88&gt;='11_Config'!$B$11,"Elegible condicionado","No recomendado"))))</x:f>
      </x:c>
    </x:row>
    <x:row r="89">
      <x:c r="F89" t="str">
        <x:f>IF(A89="","",(C89*40%+D89*30%+E89*30%)*15%)</x:f>
      </x:c>
      <x:c r="K89" t="str">
        <x:f>IF(A89="","",(G89*35%+H89*35%+I89*20%+J89*10%)*55%)</x:f>
      </x:c>
      <x:c r="P89" t="str">
        <x:f>IF(A89="","",(L89*35%+M89*35%+N89*20%+O89*10%)*25%)</x:f>
      </x:c>
      <x:c r="S89" t="str">
        <x:f>IF(R89="","",IF(R89="Mujer",10,IF(R89="Hombre",'11_Config'!$B$13,0)))</x:f>
      </x:c>
      <x:c r="T89" t="str">
        <x:f>IF(R89="Hombre","REVISAR REGLA OFICIAL","")</x:f>
      </x:c>
      <x:c r="V89" t="str">
        <x:f>IF(A89="","",(Q89*40%+S89*30%+U89*30%)*5%)</x:f>
      </x:c>
      <x:c r="W89" t="str">
        <x:f>IF(A89="","",F89+K89+P89+V89)</x:f>
      </x:c>
      <x:c r="X89" t="str">
        <x:f>IF(W89="","",IF(W89&gt;='11_Config'!$B$9,"Selección prioritaria",IF(W89&gt;='11_Config'!$B$10,"Elegible / reserva",IF(W89&gt;='11_Config'!$B$11,"Elegible condicionado","No recomendado"))))</x:f>
      </x:c>
    </x:row>
    <x:row r="90">
      <x:c r="F90" t="str">
        <x:f>IF(A90="","",(C90*40%+D90*30%+E90*30%)*15%)</x:f>
      </x:c>
      <x:c r="K90" t="str">
        <x:f>IF(A90="","",(G90*35%+H90*35%+I90*20%+J90*10%)*55%)</x:f>
      </x:c>
      <x:c r="P90" t="str">
        <x:f>IF(A90="","",(L90*35%+M90*35%+N90*20%+O90*10%)*25%)</x:f>
      </x:c>
      <x:c r="S90" t="str">
        <x:f>IF(R90="","",IF(R90="Mujer",10,IF(R90="Hombre",'11_Config'!$B$13,0)))</x:f>
      </x:c>
      <x:c r="T90" t="str">
        <x:f>IF(R90="Hombre","REVISAR REGLA OFICIAL","")</x:f>
      </x:c>
      <x:c r="V90" t="str">
        <x:f>IF(A90="","",(Q90*40%+S90*30%+U90*30%)*5%)</x:f>
      </x:c>
      <x:c r="W90" t="str">
        <x:f>IF(A90="","",F90+K90+P90+V90)</x:f>
      </x:c>
      <x:c r="X90" t="str">
        <x:f>IF(W90="","",IF(W90&gt;='11_Config'!$B$9,"Selección prioritaria",IF(W90&gt;='11_Config'!$B$10,"Elegible / reserva",IF(W90&gt;='11_Config'!$B$11,"Elegible condicionado","No recomendado"))))</x:f>
      </x:c>
    </x:row>
    <x:row r="91">
      <x:c r="F91" t="str">
        <x:f>IF(A91="","",(C91*40%+D91*30%+E91*30%)*15%)</x:f>
      </x:c>
      <x:c r="K91" t="str">
        <x:f>IF(A91="","",(G91*35%+H91*35%+I91*20%+J91*10%)*55%)</x:f>
      </x:c>
      <x:c r="P91" t="str">
        <x:f>IF(A91="","",(L91*35%+M91*35%+N91*20%+O91*10%)*25%)</x:f>
      </x:c>
      <x:c r="S91" t="str">
        <x:f>IF(R91="","",IF(R91="Mujer",10,IF(R91="Hombre",'11_Config'!$B$13,0)))</x:f>
      </x:c>
      <x:c r="T91" t="str">
        <x:f>IF(R91="Hombre","REVISAR REGLA OFICIAL","")</x:f>
      </x:c>
      <x:c r="V91" t="str">
        <x:f>IF(A91="","",(Q91*40%+S91*30%+U91*30%)*5%)</x:f>
      </x:c>
      <x:c r="W91" t="str">
        <x:f>IF(A91="","",F91+K91+P91+V91)</x:f>
      </x:c>
      <x:c r="X91" t="str">
        <x:f>IF(W91="","",IF(W91&gt;='11_Config'!$B$9,"Selección prioritaria",IF(W91&gt;='11_Config'!$B$10,"Elegible / reserva",IF(W91&gt;='11_Config'!$B$11,"Elegible condicionado","No recomendado"))))</x:f>
      </x:c>
    </x:row>
    <x:row r="92">
      <x:c r="F92" t="str">
        <x:f>IF(A92="","",(C92*40%+D92*30%+E92*30%)*15%)</x:f>
      </x:c>
      <x:c r="K92" t="str">
        <x:f>IF(A92="","",(G92*35%+H92*35%+I92*20%+J92*10%)*55%)</x:f>
      </x:c>
      <x:c r="P92" t="str">
        <x:f>IF(A92="","",(L92*35%+M92*35%+N92*20%+O92*10%)*25%)</x:f>
      </x:c>
      <x:c r="S92" t="str">
        <x:f>IF(R92="","",IF(R92="Mujer",10,IF(R92="Hombre",'11_Config'!$B$13,0)))</x:f>
      </x:c>
      <x:c r="T92" t="str">
        <x:f>IF(R92="Hombre","REVISAR REGLA OFICIAL","")</x:f>
      </x:c>
      <x:c r="V92" t="str">
        <x:f>IF(A92="","",(Q92*40%+S92*30%+U92*30%)*5%)</x:f>
      </x:c>
      <x:c r="W92" t="str">
        <x:f>IF(A92="","",F92+K92+P92+V92)</x:f>
      </x:c>
      <x:c r="X92" t="str">
        <x:f>IF(W92="","",IF(W92&gt;='11_Config'!$B$9,"Selección prioritaria",IF(W92&gt;='11_Config'!$B$10,"Elegible / reserva",IF(W92&gt;='11_Config'!$B$11,"Elegible condicionado","No recomendado"))))</x:f>
      </x:c>
    </x:row>
    <x:row r="93">
      <x:c r="F93" t="str">
        <x:f>IF(A93="","",(C93*40%+D93*30%+E93*30%)*15%)</x:f>
      </x:c>
      <x:c r="K93" t="str">
        <x:f>IF(A93="","",(G93*35%+H93*35%+I93*20%+J93*10%)*55%)</x:f>
      </x:c>
      <x:c r="P93" t="str">
        <x:f>IF(A93="","",(L93*35%+M93*35%+N93*20%+O93*10%)*25%)</x:f>
      </x:c>
      <x:c r="S93" t="str">
        <x:f>IF(R93="","",IF(R93="Mujer",10,IF(R93="Hombre",'11_Config'!$B$13,0)))</x:f>
      </x:c>
      <x:c r="T93" t="str">
        <x:f>IF(R93="Hombre","REVISAR REGLA OFICIAL","")</x:f>
      </x:c>
      <x:c r="V93" t="str">
        <x:f>IF(A93="","",(Q93*40%+S93*30%+U93*30%)*5%)</x:f>
      </x:c>
      <x:c r="W93" t="str">
        <x:f>IF(A93="","",F93+K93+P93+V93)</x:f>
      </x:c>
      <x:c r="X93" t="str">
        <x:f>IF(W93="","",IF(W93&gt;='11_Config'!$B$9,"Selección prioritaria",IF(W93&gt;='11_Config'!$B$10,"Elegible / reserva",IF(W93&gt;='11_Config'!$B$11,"Elegible condicionado","No recomendado"))))</x:f>
      </x:c>
    </x:row>
    <x:row r="94">
      <x:c r="F94" t="str">
        <x:f>IF(A94="","",(C94*40%+D94*30%+E94*30%)*15%)</x:f>
      </x:c>
      <x:c r="K94" t="str">
        <x:f>IF(A94="","",(G94*35%+H94*35%+I94*20%+J94*10%)*55%)</x:f>
      </x:c>
      <x:c r="P94" t="str">
        <x:f>IF(A94="","",(L94*35%+M94*35%+N94*20%+O94*10%)*25%)</x:f>
      </x:c>
      <x:c r="S94" t="str">
        <x:f>IF(R94="","",IF(R94="Mujer",10,IF(R94="Hombre",'11_Config'!$B$13,0)))</x:f>
      </x:c>
      <x:c r="T94" t="str">
        <x:f>IF(R94="Hombre","REVISAR REGLA OFICIAL","")</x:f>
      </x:c>
      <x:c r="V94" t="str">
        <x:f>IF(A94="","",(Q94*40%+S94*30%+U94*30%)*5%)</x:f>
      </x:c>
      <x:c r="W94" t="str">
        <x:f>IF(A94="","",F94+K94+P94+V94)</x:f>
      </x:c>
      <x:c r="X94" t="str">
        <x:f>IF(W94="","",IF(W94&gt;='11_Config'!$B$9,"Selección prioritaria",IF(W94&gt;='11_Config'!$B$10,"Elegible / reserva",IF(W94&gt;='11_Config'!$B$11,"Elegible condicionado","No recomendado"))))</x:f>
      </x:c>
    </x:row>
    <x:row r="95">
      <x:c r="F95" t="str">
        <x:f>IF(A95="","",(C95*40%+D95*30%+E95*30%)*15%)</x:f>
      </x:c>
      <x:c r="K95" t="str">
        <x:f>IF(A95="","",(G95*35%+H95*35%+I95*20%+J95*10%)*55%)</x:f>
      </x:c>
      <x:c r="P95" t="str">
        <x:f>IF(A95="","",(L95*35%+M95*35%+N95*20%+O95*10%)*25%)</x:f>
      </x:c>
      <x:c r="S95" t="str">
        <x:f>IF(R95="","",IF(R95="Mujer",10,IF(R95="Hombre",'11_Config'!$B$13,0)))</x:f>
      </x:c>
      <x:c r="T95" t="str">
        <x:f>IF(R95="Hombre","REVISAR REGLA OFICIAL","")</x:f>
      </x:c>
      <x:c r="V95" t="str">
        <x:f>IF(A95="","",(Q95*40%+S95*30%+U95*30%)*5%)</x:f>
      </x:c>
      <x:c r="W95" t="str">
        <x:f>IF(A95="","",F95+K95+P95+V95)</x:f>
      </x:c>
      <x:c r="X95" t="str">
        <x:f>IF(W95="","",IF(W95&gt;='11_Config'!$B$9,"Selección prioritaria",IF(W95&gt;='11_Config'!$B$10,"Elegible / reserva",IF(W95&gt;='11_Config'!$B$11,"Elegible condicionado","No recomendado"))))</x:f>
      </x:c>
    </x:row>
    <x:row r="96">
      <x:c r="F96" t="str">
        <x:f>IF(A96="","",(C96*40%+D96*30%+E96*30%)*15%)</x:f>
      </x:c>
      <x:c r="K96" t="str">
        <x:f>IF(A96="","",(G96*35%+H96*35%+I96*20%+J96*10%)*55%)</x:f>
      </x:c>
      <x:c r="P96" t="str">
        <x:f>IF(A96="","",(L96*35%+M96*35%+N96*20%+O96*10%)*25%)</x:f>
      </x:c>
      <x:c r="S96" t="str">
        <x:f>IF(R96="","",IF(R96="Mujer",10,IF(R96="Hombre",'11_Config'!$B$13,0)))</x:f>
      </x:c>
      <x:c r="T96" t="str">
        <x:f>IF(R96="Hombre","REVISAR REGLA OFICIAL","")</x:f>
      </x:c>
      <x:c r="V96" t="str">
        <x:f>IF(A96="","",(Q96*40%+S96*30%+U96*30%)*5%)</x:f>
      </x:c>
      <x:c r="W96" t="str">
        <x:f>IF(A96="","",F96+K96+P96+V96)</x:f>
      </x:c>
      <x:c r="X96" t="str">
        <x:f>IF(W96="","",IF(W96&gt;='11_Config'!$B$9,"Selección prioritaria",IF(W96&gt;='11_Config'!$B$10,"Elegible / reserva",IF(W96&gt;='11_Config'!$B$11,"Elegible condicionado","No recomendado"))))</x:f>
      </x:c>
    </x:row>
    <x:row r="97">
      <x:c r="F97" t="str">
        <x:f>IF(A97="","",(C97*40%+D97*30%+E97*30%)*15%)</x:f>
      </x:c>
      <x:c r="K97" t="str">
        <x:f>IF(A97="","",(G97*35%+H97*35%+I97*20%+J97*10%)*55%)</x:f>
      </x:c>
      <x:c r="P97" t="str">
        <x:f>IF(A97="","",(L97*35%+M97*35%+N97*20%+O97*10%)*25%)</x:f>
      </x:c>
      <x:c r="S97" t="str">
        <x:f>IF(R97="","",IF(R97="Mujer",10,IF(R97="Hombre",'11_Config'!$B$13,0)))</x:f>
      </x:c>
      <x:c r="T97" t="str">
        <x:f>IF(R97="Hombre","REVISAR REGLA OFICIAL","")</x:f>
      </x:c>
      <x:c r="V97" t="str">
        <x:f>IF(A97="","",(Q97*40%+S97*30%+U97*30%)*5%)</x:f>
      </x:c>
      <x:c r="W97" t="str">
        <x:f>IF(A97="","",F97+K97+P97+V97)</x:f>
      </x:c>
      <x:c r="X97" t="str">
        <x:f>IF(W97="","",IF(W97&gt;='11_Config'!$B$9,"Selección prioritaria",IF(W97&gt;='11_Config'!$B$10,"Elegible / reserva",IF(W97&gt;='11_Config'!$B$11,"Elegible condicionado","No recomendado"))))</x:f>
      </x:c>
    </x:row>
    <x:row r="98">
      <x:c r="F98" t="str">
        <x:f>IF(A98="","",(C98*40%+D98*30%+E98*30%)*15%)</x:f>
      </x:c>
      <x:c r="K98" t="str">
        <x:f>IF(A98="","",(G98*35%+H98*35%+I98*20%+J98*10%)*55%)</x:f>
      </x:c>
      <x:c r="P98" t="str">
        <x:f>IF(A98="","",(L98*35%+M98*35%+N98*20%+O98*10%)*25%)</x:f>
      </x:c>
      <x:c r="S98" t="str">
        <x:f>IF(R98="","",IF(R98="Mujer",10,IF(R98="Hombre",'11_Config'!$B$13,0)))</x:f>
      </x:c>
      <x:c r="T98" t="str">
        <x:f>IF(R98="Hombre","REVISAR REGLA OFICIAL","")</x:f>
      </x:c>
      <x:c r="V98" t="str">
        <x:f>IF(A98="","",(Q98*40%+S98*30%+U98*30%)*5%)</x:f>
      </x:c>
      <x:c r="W98" t="str">
        <x:f>IF(A98="","",F98+K98+P98+V98)</x:f>
      </x:c>
      <x:c r="X98" t="str">
        <x:f>IF(W98="","",IF(W98&gt;='11_Config'!$B$9,"Selección prioritaria",IF(W98&gt;='11_Config'!$B$10,"Elegible / reserva",IF(W98&gt;='11_Config'!$B$11,"Elegible condicionado","No recomendado"))))</x:f>
      </x:c>
    </x:row>
    <x:row r="99">
      <x:c r="F99" t="str">
        <x:f>IF(A99="","",(C99*40%+D99*30%+E99*30%)*15%)</x:f>
      </x:c>
      <x:c r="K99" t="str">
        <x:f>IF(A99="","",(G99*35%+H99*35%+I99*20%+J99*10%)*55%)</x:f>
      </x:c>
      <x:c r="P99" t="str">
        <x:f>IF(A99="","",(L99*35%+M99*35%+N99*20%+O99*10%)*25%)</x:f>
      </x:c>
      <x:c r="S99" t="str">
        <x:f>IF(R99="","",IF(R99="Mujer",10,IF(R99="Hombre",'11_Config'!$B$13,0)))</x:f>
      </x:c>
      <x:c r="T99" t="str">
        <x:f>IF(R99="Hombre","REVISAR REGLA OFICIAL","")</x:f>
      </x:c>
      <x:c r="V99" t="str">
        <x:f>IF(A99="","",(Q99*40%+S99*30%+U99*30%)*5%)</x:f>
      </x:c>
      <x:c r="W99" t="str">
        <x:f>IF(A99="","",F99+K99+P99+V99)</x:f>
      </x:c>
      <x:c r="X99" t="str">
        <x:f>IF(W99="","",IF(W99&gt;='11_Config'!$B$9,"Selección prioritaria",IF(W99&gt;='11_Config'!$B$10,"Elegible / reserva",IF(W99&gt;='11_Config'!$B$11,"Elegible condicionado","No recomendado"))))</x:f>
      </x:c>
    </x:row>
    <x:row r="100">
      <x:c r="F100" t="str">
        <x:f>IF(A100="","",(C100*40%+D100*30%+E100*30%)*15%)</x:f>
      </x:c>
      <x:c r="K100" t="str">
        <x:f>IF(A100="","",(G100*35%+H100*35%+I100*20%+J100*10%)*55%)</x:f>
      </x:c>
      <x:c r="P100" t="str">
        <x:f>IF(A100="","",(L100*35%+M100*35%+N100*20%+O100*10%)*25%)</x:f>
      </x:c>
      <x:c r="S100" t="str">
        <x:f>IF(R100="","",IF(R100="Mujer",10,IF(R100="Hombre",'11_Config'!$B$13,0)))</x:f>
      </x:c>
      <x:c r="T100" t="str">
        <x:f>IF(R100="Hombre","REVISAR REGLA OFICIAL","")</x:f>
      </x:c>
      <x:c r="V100" t="str">
        <x:f>IF(A100="","",(Q100*40%+S100*30%+U100*30%)*5%)</x:f>
      </x:c>
      <x:c r="W100" t="str">
        <x:f>IF(A100="","",F100+K100+P100+V100)</x:f>
      </x:c>
      <x:c r="X100" t="str">
        <x:f>IF(W100="","",IF(W100&gt;='11_Config'!$B$9,"Selección prioritaria",IF(W100&gt;='11_Config'!$B$10,"Elegible / reserva",IF(W100&gt;='11_Config'!$B$11,"Elegible condicionado","No recomendado"))))</x:f>
      </x:c>
    </x:row>
    <x:row r="101">
      <x:c r="F101" t="str">
        <x:f>IF(A101="","",(C101*40%+D101*30%+E101*30%)*15%)</x:f>
      </x:c>
      <x:c r="K101" t="str">
        <x:f>IF(A101="","",(G101*35%+H101*35%+I101*20%+J101*10%)*55%)</x:f>
      </x:c>
      <x:c r="P101" t="str">
        <x:f>IF(A101="","",(L101*35%+M101*35%+N101*20%+O101*10%)*25%)</x:f>
      </x:c>
      <x:c r="S101" t="str">
        <x:f>IF(R101="","",IF(R101="Mujer",10,IF(R101="Hombre",'11_Config'!$B$13,0)))</x:f>
      </x:c>
      <x:c r="T101" t="str">
        <x:f>IF(R101="Hombre","REVISAR REGLA OFICIAL","")</x:f>
      </x:c>
      <x:c r="V101" t="str">
        <x:f>IF(A101="","",(Q101*40%+S101*30%+U101*30%)*5%)</x:f>
      </x:c>
      <x:c r="W101" t="str">
        <x:f>IF(A101="","",F101+K101+P101+V101)</x:f>
      </x:c>
      <x:c r="X101" t="str">
        <x:f>IF(W101="","",IF(W101&gt;='11_Config'!$B$9,"Selección prioritaria",IF(W101&gt;='11_Config'!$B$10,"Elegible / reserva",IF(W101&gt;='11_Config'!$B$11,"Elegible condicionado","No recomendado"))))</x:f>
      </x:c>
    </x:row>
    <x:row r="102">
      <x:c r="F102" t="str">
        <x:f>IF(A102="","",(C102*40%+D102*30%+E102*30%)*15%)</x:f>
      </x:c>
      <x:c r="K102" t="str">
        <x:f>IF(A102="","",(G102*35%+H102*35%+I102*20%+J102*10%)*55%)</x:f>
      </x:c>
      <x:c r="P102" t="str">
        <x:f>IF(A102="","",(L102*35%+M102*35%+N102*20%+O102*10%)*25%)</x:f>
      </x:c>
      <x:c r="S102" t="str">
        <x:f>IF(R102="","",IF(R102="Mujer",10,IF(R102="Hombre",'11_Config'!$B$13,0)))</x:f>
      </x:c>
      <x:c r="T102" t="str">
        <x:f>IF(R102="Hombre","REVISAR REGLA OFICIAL","")</x:f>
      </x:c>
      <x:c r="V102" t="str">
        <x:f>IF(A102="","",(Q102*40%+S102*30%+U102*30%)*5%)</x:f>
      </x:c>
      <x:c r="W102" t="str">
        <x:f>IF(A102="","",F102+K102+P102+V102)</x:f>
      </x:c>
      <x:c r="X102" t="str">
        <x:f>IF(W102="","",IF(W102&gt;='11_Config'!$B$9,"Selección prioritaria",IF(W102&gt;='11_Config'!$B$10,"Elegible / reserva",IF(W102&gt;='11_Config'!$B$11,"Elegible condicionado","No recomendado"))))</x:f>
      </x:c>
    </x:row>
    <x:row r="103">
      <x:c r="F103" t="str">
        <x:f>IF(A103="","",(C103*40%+D103*30%+E103*30%)*15%)</x:f>
      </x:c>
      <x:c r="K103" t="str">
        <x:f>IF(A103="","",(G103*35%+H103*35%+I103*20%+J103*10%)*55%)</x:f>
      </x:c>
      <x:c r="P103" t="str">
        <x:f>IF(A103="","",(L103*35%+M103*35%+N103*20%+O103*10%)*25%)</x:f>
      </x:c>
      <x:c r="S103" t="str">
        <x:f>IF(R103="","",IF(R103="Mujer",10,IF(R103="Hombre",'11_Config'!$B$13,0)))</x:f>
      </x:c>
      <x:c r="T103" t="str">
        <x:f>IF(R103="Hombre","REVISAR REGLA OFICIAL","")</x:f>
      </x:c>
      <x:c r="V103" t="str">
        <x:f>IF(A103="","",(Q103*40%+S103*30%+U103*30%)*5%)</x:f>
      </x:c>
      <x:c r="W103" t="str">
        <x:f>IF(A103="","",F103+K103+P103+V103)</x:f>
      </x:c>
      <x:c r="X103" t="str">
        <x:f>IF(W103="","",IF(W103&gt;='11_Config'!$B$9,"Selección prioritaria",IF(W103&gt;='11_Config'!$B$10,"Elegible / reserva",IF(W103&gt;='11_Config'!$B$11,"Elegible condicionado","No recomendado"))))</x:f>
      </x:c>
    </x:row>
    <x:row r="104">
      <x:c r="F104" t="str">
        <x:f>IF(A104="","",(C104*40%+D104*30%+E104*30%)*15%)</x:f>
      </x:c>
      <x:c r="K104" t="str">
        <x:f>IF(A104="","",(G104*35%+H104*35%+I104*20%+J104*10%)*55%)</x:f>
      </x:c>
      <x:c r="P104" t="str">
        <x:f>IF(A104="","",(L104*35%+M104*35%+N104*20%+O104*10%)*25%)</x:f>
      </x:c>
      <x:c r="S104" t="str">
        <x:f>IF(R104="","",IF(R104="Mujer",10,IF(R104="Hombre",'11_Config'!$B$13,0)))</x:f>
      </x:c>
      <x:c r="T104" t="str">
        <x:f>IF(R104="Hombre","REVISAR REGLA OFICIAL","")</x:f>
      </x:c>
      <x:c r="V104" t="str">
        <x:f>IF(A104="","",(Q104*40%+S104*30%+U104*30%)*5%)</x:f>
      </x:c>
      <x:c r="W104" t="str">
        <x:f>IF(A104="","",F104+K104+P104+V104)</x:f>
      </x:c>
      <x:c r="X104" t="str">
        <x:f>IF(W104="","",IF(W104&gt;='11_Config'!$B$9,"Selección prioritaria",IF(W104&gt;='11_Config'!$B$10,"Elegible / reserva",IF(W104&gt;='11_Config'!$B$11,"Elegible condicionado","No recomendado"))))</x:f>
      </x:c>
    </x:row>
    <x:row r="105">
      <x:c r="F105" t="str">
        <x:f>IF(A105="","",(C105*40%+D105*30%+E105*30%)*15%)</x:f>
      </x:c>
      <x:c r="K105" t="str">
        <x:f>IF(A105="","",(G105*35%+H105*35%+I105*20%+J105*10%)*55%)</x:f>
      </x:c>
      <x:c r="P105" t="str">
        <x:f>IF(A105="","",(L105*35%+M105*35%+N105*20%+O105*10%)*25%)</x:f>
      </x:c>
      <x:c r="S105" t="str">
        <x:f>IF(R105="","",IF(R105="Mujer",10,IF(R105="Hombre",'11_Config'!$B$13,0)))</x:f>
      </x:c>
      <x:c r="T105" t="str">
        <x:f>IF(R105="Hombre","REVISAR REGLA OFICIAL","")</x:f>
      </x:c>
      <x:c r="V105" t="str">
        <x:f>IF(A105="","",(Q105*40%+S105*30%+U105*30%)*5%)</x:f>
      </x:c>
      <x:c r="W105" t="str">
        <x:f>IF(A105="","",F105+K105+P105+V105)</x:f>
      </x:c>
      <x:c r="X105" t="str">
        <x:f>IF(W105="","",IF(W105&gt;='11_Config'!$B$9,"Selección prioritaria",IF(W105&gt;='11_Config'!$B$10,"Elegible / reserva",IF(W105&gt;='11_Config'!$B$11,"Elegible condicionado","No recomendado"))))</x:f>
      </x:c>
    </x:row>
    <x:row r="106">
      <x:c r="F106" t="str">
        <x:f>IF(A106="","",(C106*40%+D106*30%+E106*30%)*15%)</x:f>
      </x:c>
      <x:c r="K106" t="str">
        <x:f>IF(A106="","",(G106*35%+H106*35%+I106*20%+J106*10%)*55%)</x:f>
      </x:c>
      <x:c r="P106" t="str">
        <x:f>IF(A106="","",(L106*35%+M106*35%+N106*20%+O106*10%)*25%)</x:f>
      </x:c>
      <x:c r="S106" t="str">
        <x:f>IF(R106="","",IF(R106="Mujer",10,IF(R106="Hombre",'11_Config'!$B$13,0)))</x:f>
      </x:c>
      <x:c r="T106" t="str">
        <x:f>IF(R106="Hombre","REVISAR REGLA OFICIAL","")</x:f>
      </x:c>
      <x:c r="V106" t="str">
        <x:f>IF(A106="","",(Q106*40%+S106*30%+U106*30%)*5%)</x:f>
      </x:c>
      <x:c r="W106" t="str">
        <x:f>IF(A106="","",F106+K106+P106+V106)</x:f>
      </x:c>
      <x:c r="X106" t="str">
        <x:f>IF(W106="","",IF(W106&gt;='11_Config'!$B$9,"Selección prioritaria",IF(W106&gt;='11_Config'!$B$10,"Elegible / reserva",IF(W106&gt;='11_Config'!$B$11,"Elegible condicionado","No recomendado"))))</x:f>
      </x:c>
    </x:row>
    <x:row r="107">
      <x:c r="F107" t="str">
        <x:f>IF(A107="","",(C107*40%+D107*30%+E107*30%)*15%)</x:f>
      </x:c>
      <x:c r="K107" t="str">
        <x:f>IF(A107="","",(G107*35%+H107*35%+I107*20%+J107*10%)*55%)</x:f>
      </x:c>
      <x:c r="P107" t="str">
        <x:f>IF(A107="","",(L107*35%+M107*35%+N107*20%+O107*10%)*25%)</x:f>
      </x:c>
      <x:c r="S107" t="str">
        <x:f>IF(R107="","",IF(R107="Mujer",10,IF(R107="Hombre",'11_Config'!$B$13,0)))</x:f>
      </x:c>
      <x:c r="T107" t="str">
        <x:f>IF(R107="Hombre","REVISAR REGLA OFICIAL","")</x:f>
      </x:c>
      <x:c r="V107" t="str">
        <x:f>IF(A107="","",(Q107*40%+S107*30%+U107*30%)*5%)</x:f>
      </x:c>
      <x:c r="W107" t="str">
        <x:f>IF(A107="","",F107+K107+P107+V107)</x:f>
      </x:c>
      <x:c r="X107" t="str">
        <x:f>IF(W107="","",IF(W107&gt;='11_Config'!$B$9,"Selección prioritaria",IF(W107&gt;='11_Config'!$B$10,"Elegible / reserva",IF(W107&gt;='11_Config'!$B$11,"Elegible condicionado","No recomendado"))))</x:f>
      </x:c>
    </x:row>
    <x:row r="108">
      <x:c r="F108" t="str">
        <x:f>IF(A108="","",(C108*40%+D108*30%+E108*30%)*15%)</x:f>
      </x:c>
      <x:c r="K108" t="str">
        <x:f>IF(A108="","",(G108*35%+H108*35%+I108*20%+J108*10%)*55%)</x:f>
      </x:c>
      <x:c r="P108" t="str">
        <x:f>IF(A108="","",(L108*35%+M108*35%+N108*20%+O108*10%)*25%)</x:f>
      </x:c>
      <x:c r="S108" t="str">
        <x:f>IF(R108="","",IF(R108="Mujer",10,IF(R108="Hombre",'11_Config'!$B$13,0)))</x:f>
      </x:c>
      <x:c r="T108" t="str">
        <x:f>IF(R108="Hombre","REVISAR REGLA OFICIAL","")</x:f>
      </x:c>
      <x:c r="V108" t="str">
        <x:f>IF(A108="","",(Q108*40%+S108*30%+U108*30%)*5%)</x:f>
      </x:c>
      <x:c r="W108" t="str">
        <x:f>IF(A108="","",F108+K108+P108+V108)</x:f>
      </x:c>
      <x:c r="X108" t="str">
        <x:f>IF(W108="","",IF(W108&gt;='11_Config'!$B$9,"Selección prioritaria",IF(W108&gt;='11_Config'!$B$10,"Elegible / reserva",IF(W108&gt;='11_Config'!$B$11,"Elegible condicionado","No recomendado"))))</x:f>
      </x:c>
    </x:row>
    <x:row r="109">
      <x:c r="F109" t="str">
        <x:f>IF(A109="","",(C109*40%+D109*30%+E109*30%)*15%)</x:f>
      </x:c>
      <x:c r="K109" t="str">
        <x:f>IF(A109="","",(G109*35%+H109*35%+I109*20%+J109*10%)*55%)</x:f>
      </x:c>
      <x:c r="P109" t="str">
        <x:f>IF(A109="","",(L109*35%+M109*35%+N109*20%+O109*10%)*25%)</x:f>
      </x:c>
      <x:c r="S109" t="str">
        <x:f>IF(R109="","",IF(R109="Mujer",10,IF(R109="Hombre",'11_Config'!$B$13,0)))</x:f>
      </x:c>
      <x:c r="T109" t="str">
        <x:f>IF(R109="Hombre","REVISAR REGLA OFICIAL","")</x:f>
      </x:c>
      <x:c r="V109" t="str">
        <x:f>IF(A109="","",(Q109*40%+S109*30%+U109*30%)*5%)</x:f>
      </x:c>
      <x:c r="W109" t="str">
        <x:f>IF(A109="","",F109+K109+P109+V109)</x:f>
      </x:c>
      <x:c r="X109" t="str">
        <x:f>IF(W109="","",IF(W109&gt;='11_Config'!$B$9,"Selección prioritaria",IF(W109&gt;='11_Config'!$B$10,"Elegible / reserva",IF(W109&gt;='11_Config'!$B$11,"Elegible condicionado","No recomendado"))))</x:f>
      </x:c>
    </x:row>
    <x:row r="110">
      <x:c r="F110" t="str">
        <x:f>IF(A110="","",(C110*40%+D110*30%+E110*30%)*15%)</x:f>
      </x:c>
      <x:c r="K110" t="str">
        <x:f>IF(A110="","",(G110*35%+H110*35%+I110*20%+J110*10%)*55%)</x:f>
      </x:c>
      <x:c r="P110" t="str">
        <x:f>IF(A110="","",(L110*35%+M110*35%+N110*20%+O110*10%)*25%)</x:f>
      </x:c>
      <x:c r="S110" t="str">
        <x:f>IF(R110="","",IF(R110="Mujer",10,IF(R110="Hombre",'11_Config'!$B$13,0)))</x:f>
      </x:c>
      <x:c r="T110" t="str">
        <x:f>IF(R110="Hombre","REVISAR REGLA OFICIAL","")</x:f>
      </x:c>
      <x:c r="V110" t="str">
        <x:f>IF(A110="","",(Q110*40%+S110*30%+U110*30%)*5%)</x:f>
      </x:c>
      <x:c r="W110" t="str">
        <x:f>IF(A110="","",F110+K110+P110+V110)</x:f>
      </x:c>
      <x:c r="X110" t="str">
        <x:f>IF(W110="","",IF(W110&gt;='11_Config'!$B$9,"Selección prioritaria",IF(W110&gt;='11_Config'!$B$10,"Elegible / reserva",IF(W110&gt;='11_Config'!$B$11,"Elegible condicionado","No recomendado"))))</x:f>
      </x:c>
    </x:row>
    <x:row r="111">
      <x:c r="F111" t="str">
        <x:f>IF(A111="","",(C111*40%+D111*30%+E111*30%)*15%)</x:f>
      </x:c>
      <x:c r="K111" t="str">
        <x:f>IF(A111="","",(G111*35%+H111*35%+I111*20%+J111*10%)*55%)</x:f>
      </x:c>
      <x:c r="P111" t="str">
        <x:f>IF(A111="","",(L111*35%+M111*35%+N111*20%+O111*10%)*25%)</x:f>
      </x:c>
      <x:c r="S111" t="str">
        <x:f>IF(R111="","",IF(R111="Mujer",10,IF(R111="Hombre",'11_Config'!$B$13,0)))</x:f>
      </x:c>
      <x:c r="T111" t="str">
        <x:f>IF(R111="Hombre","REVISAR REGLA OFICIAL","")</x:f>
      </x:c>
      <x:c r="V111" t="str">
        <x:f>IF(A111="","",(Q111*40%+S111*30%+U111*30%)*5%)</x:f>
      </x:c>
      <x:c r="W111" t="str">
        <x:f>IF(A111="","",F111+K111+P111+V111)</x:f>
      </x:c>
      <x:c r="X111" t="str">
        <x:f>IF(W111="","",IF(W111&gt;='11_Config'!$B$9,"Selección prioritaria",IF(W111&gt;='11_Config'!$B$10,"Elegible / reserva",IF(W111&gt;='11_Config'!$B$11,"Elegible condicionado","No recomendado"))))</x:f>
      </x:c>
    </x:row>
    <x:row r="112">
      <x:c r="F112" t="str">
        <x:f>IF(A112="","",(C112*40%+D112*30%+E112*30%)*15%)</x:f>
      </x:c>
      <x:c r="K112" t="str">
        <x:f>IF(A112="","",(G112*35%+H112*35%+I112*20%+J112*10%)*55%)</x:f>
      </x:c>
      <x:c r="P112" t="str">
        <x:f>IF(A112="","",(L112*35%+M112*35%+N112*20%+O112*10%)*25%)</x:f>
      </x:c>
      <x:c r="S112" t="str">
        <x:f>IF(R112="","",IF(R112="Mujer",10,IF(R112="Hombre",'11_Config'!$B$13,0)))</x:f>
      </x:c>
      <x:c r="T112" t="str">
        <x:f>IF(R112="Hombre","REVISAR REGLA OFICIAL","")</x:f>
      </x:c>
      <x:c r="V112" t="str">
        <x:f>IF(A112="","",(Q112*40%+S112*30%+U112*30%)*5%)</x:f>
      </x:c>
      <x:c r="W112" t="str">
        <x:f>IF(A112="","",F112+K112+P112+V112)</x:f>
      </x:c>
      <x:c r="X112" t="str">
        <x:f>IF(W112="","",IF(W112&gt;='11_Config'!$B$9,"Selección prioritaria",IF(W112&gt;='11_Config'!$B$10,"Elegible / reserva",IF(W112&gt;='11_Config'!$B$11,"Elegible condicionado","No recomendado"))))</x:f>
      </x:c>
    </x:row>
    <x:row r="113">
      <x:c r="F113" t="str">
        <x:f>IF(A113="","",(C113*40%+D113*30%+E113*30%)*15%)</x:f>
      </x:c>
      <x:c r="K113" t="str">
        <x:f>IF(A113="","",(G113*35%+H113*35%+I113*20%+J113*10%)*55%)</x:f>
      </x:c>
      <x:c r="P113" t="str">
        <x:f>IF(A113="","",(L113*35%+M113*35%+N113*20%+O113*10%)*25%)</x:f>
      </x:c>
      <x:c r="S113" t="str">
        <x:f>IF(R113="","",IF(R113="Mujer",10,IF(R113="Hombre",'11_Config'!$B$13,0)))</x:f>
      </x:c>
      <x:c r="T113" t="str">
        <x:f>IF(R113="Hombre","REVISAR REGLA OFICIAL","")</x:f>
      </x:c>
      <x:c r="V113" t="str">
        <x:f>IF(A113="","",(Q113*40%+S113*30%+U113*30%)*5%)</x:f>
      </x:c>
      <x:c r="W113" t="str">
        <x:f>IF(A113="","",F113+K113+P113+V113)</x:f>
      </x:c>
      <x:c r="X113" t="str">
        <x:f>IF(W113="","",IF(W113&gt;='11_Config'!$B$9,"Selección prioritaria",IF(W113&gt;='11_Config'!$B$10,"Elegible / reserva",IF(W113&gt;='11_Config'!$B$11,"Elegible condicionado","No recomendado"))))</x:f>
      </x:c>
    </x:row>
    <x:row r="114">
      <x:c r="F114" t="str">
        <x:f>IF(A114="","",(C114*40%+D114*30%+E114*30%)*15%)</x:f>
      </x:c>
      <x:c r="K114" t="str">
        <x:f>IF(A114="","",(G114*35%+H114*35%+I114*20%+J114*10%)*55%)</x:f>
      </x:c>
      <x:c r="P114" t="str">
        <x:f>IF(A114="","",(L114*35%+M114*35%+N114*20%+O114*10%)*25%)</x:f>
      </x:c>
      <x:c r="S114" t="str">
        <x:f>IF(R114="","",IF(R114="Mujer",10,IF(R114="Hombre",'11_Config'!$B$13,0)))</x:f>
      </x:c>
      <x:c r="T114" t="str">
        <x:f>IF(R114="Hombre","REVISAR REGLA OFICIAL","")</x:f>
      </x:c>
      <x:c r="V114" t="str">
        <x:f>IF(A114="","",(Q114*40%+S114*30%+U114*30%)*5%)</x:f>
      </x:c>
      <x:c r="W114" t="str">
        <x:f>IF(A114="","",F114+K114+P114+V114)</x:f>
      </x:c>
      <x:c r="X114" t="str">
        <x:f>IF(W114="","",IF(W114&gt;='11_Config'!$B$9,"Selección prioritaria",IF(W114&gt;='11_Config'!$B$10,"Elegible / reserva",IF(W114&gt;='11_Config'!$B$11,"Elegible condicionado","No recomendado"))))</x:f>
      </x:c>
    </x:row>
    <x:row r="115">
      <x:c r="F115" t="str">
        <x:f>IF(A115="","",(C115*40%+D115*30%+E115*30%)*15%)</x:f>
      </x:c>
      <x:c r="K115" t="str">
        <x:f>IF(A115="","",(G115*35%+H115*35%+I115*20%+J115*10%)*55%)</x:f>
      </x:c>
      <x:c r="P115" t="str">
        <x:f>IF(A115="","",(L115*35%+M115*35%+N115*20%+O115*10%)*25%)</x:f>
      </x:c>
      <x:c r="S115" t="str">
        <x:f>IF(R115="","",IF(R115="Mujer",10,IF(R115="Hombre",'11_Config'!$B$13,0)))</x:f>
      </x:c>
      <x:c r="T115" t="str">
        <x:f>IF(R115="Hombre","REVISAR REGLA OFICIAL","")</x:f>
      </x:c>
      <x:c r="V115" t="str">
        <x:f>IF(A115="","",(Q115*40%+S115*30%+U115*30%)*5%)</x:f>
      </x:c>
      <x:c r="W115" t="str">
        <x:f>IF(A115="","",F115+K115+P115+V115)</x:f>
      </x:c>
      <x:c r="X115" t="str">
        <x:f>IF(W115="","",IF(W115&gt;='11_Config'!$B$9,"Selección prioritaria",IF(W115&gt;='11_Config'!$B$10,"Elegible / reserva",IF(W115&gt;='11_Config'!$B$11,"Elegible condicionado","No recomendado"))))</x:f>
      </x:c>
    </x:row>
    <x:row r="116">
      <x:c r="F116" t="str">
        <x:f>IF(A116="","",(C116*40%+D116*30%+E116*30%)*15%)</x:f>
      </x:c>
      <x:c r="K116" t="str">
        <x:f>IF(A116="","",(G116*35%+H116*35%+I116*20%+J116*10%)*55%)</x:f>
      </x:c>
      <x:c r="P116" t="str">
        <x:f>IF(A116="","",(L116*35%+M116*35%+N116*20%+O116*10%)*25%)</x:f>
      </x:c>
      <x:c r="S116" t="str">
        <x:f>IF(R116="","",IF(R116="Mujer",10,IF(R116="Hombre",'11_Config'!$B$13,0)))</x:f>
      </x:c>
      <x:c r="T116" t="str">
        <x:f>IF(R116="Hombre","REVISAR REGLA OFICIAL","")</x:f>
      </x:c>
      <x:c r="V116" t="str">
        <x:f>IF(A116="","",(Q116*40%+S116*30%+U116*30%)*5%)</x:f>
      </x:c>
      <x:c r="W116" t="str">
        <x:f>IF(A116="","",F116+K116+P116+V116)</x:f>
      </x:c>
      <x:c r="X116" t="str">
        <x:f>IF(W116="","",IF(W116&gt;='11_Config'!$B$9,"Selección prioritaria",IF(W116&gt;='11_Config'!$B$10,"Elegible / reserva",IF(W116&gt;='11_Config'!$B$11,"Elegible condicionado","No recomendado"))))</x:f>
      </x:c>
    </x:row>
    <x:row r="117">
      <x:c r="F117" t="str">
        <x:f>IF(A117="","",(C117*40%+D117*30%+E117*30%)*15%)</x:f>
      </x:c>
      <x:c r="K117" t="str">
        <x:f>IF(A117="","",(G117*35%+H117*35%+I117*20%+J117*10%)*55%)</x:f>
      </x:c>
      <x:c r="P117" t="str">
        <x:f>IF(A117="","",(L117*35%+M117*35%+N117*20%+O117*10%)*25%)</x:f>
      </x:c>
      <x:c r="S117" t="str">
        <x:f>IF(R117="","",IF(R117="Mujer",10,IF(R117="Hombre",'11_Config'!$B$13,0)))</x:f>
      </x:c>
      <x:c r="T117" t="str">
        <x:f>IF(R117="Hombre","REVISAR REGLA OFICIAL","")</x:f>
      </x:c>
      <x:c r="V117" t="str">
        <x:f>IF(A117="","",(Q117*40%+S117*30%+U117*30%)*5%)</x:f>
      </x:c>
      <x:c r="W117" t="str">
        <x:f>IF(A117="","",F117+K117+P117+V117)</x:f>
      </x:c>
      <x:c r="X117" t="str">
        <x:f>IF(W117="","",IF(W117&gt;='11_Config'!$B$9,"Selección prioritaria",IF(W117&gt;='11_Config'!$B$10,"Elegible / reserva",IF(W117&gt;='11_Config'!$B$11,"Elegible condicionado","No recomendado"))))</x:f>
      </x:c>
    </x:row>
    <x:row r="118">
      <x:c r="F118" t="str">
        <x:f>IF(A118="","",(C118*40%+D118*30%+E118*30%)*15%)</x:f>
      </x:c>
      <x:c r="K118" t="str">
        <x:f>IF(A118="","",(G118*35%+H118*35%+I118*20%+J118*10%)*55%)</x:f>
      </x:c>
      <x:c r="P118" t="str">
        <x:f>IF(A118="","",(L118*35%+M118*35%+N118*20%+O118*10%)*25%)</x:f>
      </x:c>
      <x:c r="S118" t="str">
        <x:f>IF(R118="","",IF(R118="Mujer",10,IF(R118="Hombre",'11_Config'!$B$13,0)))</x:f>
      </x:c>
      <x:c r="T118" t="str">
        <x:f>IF(R118="Hombre","REVISAR REGLA OFICIAL","")</x:f>
      </x:c>
      <x:c r="V118" t="str">
        <x:f>IF(A118="","",(Q118*40%+S118*30%+U118*30%)*5%)</x:f>
      </x:c>
      <x:c r="W118" t="str">
        <x:f>IF(A118="","",F118+K118+P118+V118)</x:f>
      </x:c>
      <x:c r="X118" t="str">
        <x:f>IF(W118="","",IF(W118&gt;='11_Config'!$B$9,"Selección prioritaria",IF(W118&gt;='11_Config'!$B$10,"Elegible / reserva",IF(W118&gt;='11_Config'!$B$11,"Elegible condicionado","No recomendado"))))</x:f>
      </x:c>
    </x:row>
    <x:row r="119">
      <x:c r="F119" t="str">
        <x:f>IF(A119="","",(C119*40%+D119*30%+E119*30%)*15%)</x:f>
      </x:c>
      <x:c r="K119" t="str">
        <x:f>IF(A119="","",(G119*35%+H119*35%+I119*20%+J119*10%)*55%)</x:f>
      </x:c>
      <x:c r="P119" t="str">
        <x:f>IF(A119="","",(L119*35%+M119*35%+N119*20%+O119*10%)*25%)</x:f>
      </x:c>
      <x:c r="S119" t="str">
        <x:f>IF(R119="","",IF(R119="Mujer",10,IF(R119="Hombre",'11_Config'!$B$13,0)))</x:f>
      </x:c>
      <x:c r="T119" t="str">
        <x:f>IF(R119="Hombre","REVISAR REGLA OFICIAL","")</x:f>
      </x:c>
      <x:c r="V119" t="str">
        <x:f>IF(A119="","",(Q119*40%+S119*30%+U119*30%)*5%)</x:f>
      </x:c>
      <x:c r="W119" t="str">
        <x:f>IF(A119="","",F119+K119+P119+V119)</x:f>
      </x:c>
      <x:c r="X119" t="str">
        <x:f>IF(W119="","",IF(W119&gt;='11_Config'!$B$9,"Selección prioritaria",IF(W119&gt;='11_Config'!$B$10,"Elegible / reserva",IF(W119&gt;='11_Config'!$B$11,"Elegible condicionado","No recomendado"))))</x:f>
      </x:c>
    </x:row>
    <x:row r="120">
      <x:c r="F120" t="str">
        <x:f>IF(A120="","",(C120*40%+D120*30%+E120*30%)*15%)</x:f>
      </x:c>
      <x:c r="K120" t="str">
        <x:f>IF(A120="","",(G120*35%+H120*35%+I120*20%+J120*10%)*55%)</x:f>
      </x:c>
      <x:c r="P120" t="str">
        <x:f>IF(A120="","",(L120*35%+M120*35%+N120*20%+O120*10%)*25%)</x:f>
      </x:c>
      <x:c r="S120" t="str">
        <x:f>IF(R120="","",IF(R120="Mujer",10,IF(R120="Hombre",'11_Config'!$B$13,0)))</x:f>
      </x:c>
      <x:c r="T120" t="str">
        <x:f>IF(R120="Hombre","REVISAR REGLA OFICIAL","")</x:f>
      </x:c>
      <x:c r="V120" t="str">
        <x:f>IF(A120="","",(Q120*40%+S120*30%+U120*30%)*5%)</x:f>
      </x:c>
      <x:c r="W120" t="str">
        <x:f>IF(A120="","",F120+K120+P120+V120)</x:f>
      </x:c>
      <x:c r="X120" t="str">
        <x:f>IF(W120="","",IF(W120&gt;='11_Config'!$B$9,"Selección prioritaria",IF(W120&gt;='11_Config'!$B$10,"Elegible / reserva",IF(W120&gt;='11_Config'!$B$11,"Elegible condicionado","No recomendado"))))</x:f>
      </x:c>
    </x:row>
    <x:row r="121">
      <x:c r="F121" t="str">
        <x:f>IF(A121="","",(C121*40%+D121*30%+E121*30%)*15%)</x:f>
      </x:c>
      <x:c r="K121" t="str">
        <x:f>IF(A121="","",(G121*35%+H121*35%+I121*20%+J121*10%)*55%)</x:f>
      </x:c>
      <x:c r="P121" t="str">
        <x:f>IF(A121="","",(L121*35%+M121*35%+N121*20%+O121*10%)*25%)</x:f>
      </x:c>
      <x:c r="S121" t="str">
        <x:f>IF(R121="","",IF(R121="Mujer",10,IF(R121="Hombre",'11_Config'!$B$13,0)))</x:f>
      </x:c>
      <x:c r="T121" t="str">
        <x:f>IF(R121="Hombre","REVISAR REGLA OFICIAL","")</x:f>
      </x:c>
      <x:c r="V121" t="str">
        <x:f>IF(A121="","",(Q121*40%+S121*30%+U121*30%)*5%)</x:f>
      </x:c>
      <x:c r="W121" t="str">
        <x:f>IF(A121="","",F121+K121+P121+V121)</x:f>
      </x:c>
      <x:c r="X121" t="str">
        <x:f>IF(W121="","",IF(W121&gt;='11_Config'!$B$9,"Selección prioritaria",IF(W121&gt;='11_Config'!$B$10,"Elegible / reserva",IF(W121&gt;='11_Config'!$B$11,"Elegible condicionado","No recomendado"))))</x:f>
      </x:c>
    </x:row>
    <x:row r="122">
      <x:c r="F122" t="str">
        <x:f>IF(A122="","",(C122*40%+D122*30%+E122*30%)*15%)</x:f>
      </x:c>
      <x:c r="K122" t="str">
        <x:f>IF(A122="","",(G122*35%+H122*35%+I122*20%+J122*10%)*55%)</x:f>
      </x:c>
      <x:c r="P122" t="str">
        <x:f>IF(A122="","",(L122*35%+M122*35%+N122*20%+O122*10%)*25%)</x:f>
      </x:c>
      <x:c r="S122" t="str">
        <x:f>IF(R122="","",IF(R122="Mujer",10,IF(R122="Hombre",'11_Config'!$B$13,0)))</x:f>
      </x:c>
      <x:c r="T122" t="str">
        <x:f>IF(R122="Hombre","REVISAR REGLA OFICIAL","")</x:f>
      </x:c>
      <x:c r="V122" t="str">
        <x:f>IF(A122="","",(Q122*40%+S122*30%+U122*30%)*5%)</x:f>
      </x:c>
      <x:c r="W122" t="str">
        <x:f>IF(A122="","",F122+K122+P122+V122)</x:f>
      </x:c>
      <x:c r="X122" t="str">
        <x:f>IF(W122="","",IF(W122&gt;='11_Config'!$B$9,"Selección prioritaria",IF(W122&gt;='11_Config'!$B$10,"Elegible / reserva",IF(W122&gt;='11_Config'!$B$11,"Elegible condicionado","No recomendado"))))</x:f>
      </x:c>
    </x:row>
    <x:row r="123">
      <x:c r="F123" t="str">
        <x:f>IF(A123="","",(C123*40%+D123*30%+E123*30%)*15%)</x:f>
      </x:c>
      <x:c r="K123" t="str">
        <x:f>IF(A123="","",(G123*35%+H123*35%+I123*20%+J123*10%)*55%)</x:f>
      </x:c>
      <x:c r="P123" t="str">
        <x:f>IF(A123="","",(L123*35%+M123*35%+N123*20%+O123*10%)*25%)</x:f>
      </x:c>
      <x:c r="S123" t="str">
        <x:f>IF(R123="","",IF(R123="Mujer",10,IF(R123="Hombre",'11_Config'!$B$13,0)))</x:f>
      </x:c>
      <x:c r="T123" t="str">
        <x:f>IF(R123="Hombre","REVISAR REGLA OFICIAL","")</x:f>
      </x:c>
      <x:c r="V123" t="str">
        <x:f>IF(A123="","",(Q123*40%+S123*30%+U123*30%)*5%)</x:f>
      </x:c>
      <x:c r="W123" t="str">
        <x:f>IF(A123="","",F123+K123+P123+V123)</x:f>
      </x:c>
      <x:c r="X123" t="str">
        <x:f>IF(W123="","",IF(W123&gt;='11_Config'!$B$9,"Selección prioritaria",IF(W123&gt;='11_Config'!$B$10,"Elegible / reserva",IF(W123&gt;='11_Config'!$B$11,"Elegible condicionado","No recomendado"))))</x:f>
      </x:c>
    </x:row>
    <x:row r="124">
      <x:c r="F124" t="str">
        <x:f>IF(A124="","",(C124*40%+D124*30%+E124*30%)*15%)</x:f>
      </x:c>
      <x:c r="K124" t="str">
        <x:f>IF(A124="","",(G124*35%+H124*35%+I124*20%+J124*10%)*55%)</x:f>
      </x:c>
      <x:c r="P124" t="str">
        <x:f>IF(A124="","",(L124*35%+M124*35%+N124*20%+O124*10%)*25%)</x:f>
      </x:c>
      <x:c r="S124" t="str">
        <x:f>IF(R124="","",IF(R124="Mujer",10,IF(R124="Hombre",'11_Config'!$B$13,0)))</x:f>
      </x:c>
      <x:c r="T124" t="str">
        <x:f>IF(R124="Hombre","REVISAR REGLA OFICIAL","")</x:f>
      </x:c>
      <x:c r="V124" t="str">
        <x:f>IF(A124="","",(Q124*40%+S124*30%+U124*30%)*5%)</x:f>
      </x:c>
      <x:c r="W124" t="str">
        <x:f>IF(A124="","",F124+K124+P124+V124)</x:f>
      </x:c>
      <x:c r="X124" t="str">
        <x:f>IF(W124="","",IF(W124&gt;='11_Config'!$B$9,"Selección prioritaria",IF(W124&gt;='11_Config'!$B$10,"Elegible / reserva",IF(W124&gt;='11_Config'!$B$11,"Elegible condicionado","No recomendado"))))</x:f>
      </x:c>
    </x:row>
    <x:row r="125">
      <x:c r="F125" t="str">
        <x:f>IF(A125="","",(C125*40%+D125*30%+E125*30%)*15%)</x:f>
      </x:c>
      <x:c r="K125" t="str">
        <x:f>IF(A125="","",(G125*35%+H125*35%+I125*20%+J125*10%)*55%)</x:f>
      </x:c>
      <x:c r="P125" t="str">
        <x:f>IF(A125="","",(L125*35%+M125*35%+N125*20%+O125*10%)*25%)</x:f>
      </x:c>
      <x:c r="S125" t="str">
        <x:f>IF(R125="","",IF(R125="Mujer",10,IF(R125="Hombre",'11_Config'!$B$13,0)))</x:f>
      </x:c>
      <x:c r="T125" t="str">
        <x:f>IF(R125="Hombre","REVISAR REGLA OFICIAL","")</x:f>
      </x:c>
      <x:c r="V125" t="str">
        <x:f>IF(A125="","",(Q125*40%+S125*30%+U125*30%)*5%)</x:f>
      </x:c>
      <x:c r="W125" t="str">
        <x:f>IF(A125="","",F125+K125+P125+V125)</x:f>
      </x:c>
      <x:c r="X125" t="str">
        <x:f>IF(W125="","",IF(W125&gt;='11_Config'!$B$9,"Selección prioritaria",IF(W125&gt;='11_Config'!$B$10,"Elegible / reserva",IF(W125&gt;='11_Config'!$B$11,"Elegible condicionado","No recomendado"))))</x:f>
      </x:c>
    </x:row>
    <x:row r="126">
      <x:c r="F126" t="str">
        <x:f>IF(A126="","",(C126*40%+D126*30%+E126*30%)*15%)</x:f>
      </x:c>
      <x:c r="K126" t="str">
        <x:f>IF(A126="","",(G126*35%+H126*35%+I126*20%+J126*10%)*55%)</x:f>
      </x:c>
      <x:c r="P126" t="str">
        <x:f>IF(A126="","",(L126*35%+M126*35%+N126*20%+O126*10%)*25%)</x:f>
      </x:c>
      <x:c r="S126" t="str">
        <x:f>IF(R126="","",IF(R126="Mujer",10,IF(R126="Hombre",'11_Config'!$B$13,0)))</x:f>
      </x:c>
      <x:c r="T126" t="str">
        <x:f>IF(R126="Hombre","REVISAR REGLA OFICIAL","")</x:f>
      </x:c>
      <x:c r="V126" t="str">
        <x:f>IF(A126="","",(Q126*40%+S126*30%+U126*30%)*5%)</x:f>
      </x:c>
      <x:c r="W126" t="str">
        <x:f>IF(A126="","",F126+K126+P126+V126)</x:f>
      </x:c>
      <x:c r="X126" t="str">
        <x:f>IF(W126="","",IF(W126&gt;='11_Config'!$B$9,"Selección prioritaria",IF(W126&gt;='11_Config'!$B$10,"Elegible / reserva",IF(W126&gt;='11_Config'!$B$11,"Elegible condicionado","No recomendado"))))</x:f>
      </x:c>
    </x:row>
    <x:row r="127">
      <x:c r="F127" t="str">
        <x:f>IF(A127="","",(C127*40%+D127*30%+E127*30%)*15%)</x:f>
      </x:c>
      <x:c r="K127" t="str">
        <x:f>IF(A127="","",(G127*35%+H127*35%+I127*20%+J127*10%)*55%)</x:f>
      </x:c>
      <x:c r="P127" t="str">
        <x:f>IF(A127="","",(L127*35%+M127*35%+N127*20%+O127*10%)*25%)</x:f>
      </x:c>
      <x:c r="S127" t="str">
        <x:f>IF(R127="","",IF(R127="Mujer",10,IF(R127="Hombre",'11_Config'!$B$13,0)))</x:f>
      </x:c>
      <x:c r="T127" t="str">
        <x:f>IF(R127="Hombre","REVISAR REGLA OFICIAL","")</x:f>
      </x:c>
      <x:c r="V127" t="str">
        <x:f>IF(A127="","",(Q127*40%+S127*30%+U127*30%)*5%)</x:f>
      </x:c>
      <x:c r="W127" t="str">
        <x:f>IF(A127="","",F127+K127+P127+V127)</x:f>
      </x:c>
      <x:c r="X127" t="str">
        <x:f>IF(W127="","",IF(W127&gt;='11_Config'!$B$9,"Selección prioritaria",IF(W127&gt;='11_Config'!$B$10,"Elegible / reserva",IF(W127&gt;='11_Config'!$B$11,"Elegible condicionado","No recomendado"))))</x:f>
      </x:c>
    </x:row>
    <x:row r="128">
      <x:c r="F128" t="str">
        <x:f>IF(A128="","",(C128*40%+D128*30%+E128*30%)*15%)</x:f>
      </x:c>
      <x:c r="K128" t="str">
        <x:f>IF(A128="","",(G128*35%+H128*35%+I128*20%+J128*10%)*55%)</x:f>
      </x:c>
      <x:c r="P128" t="str">
        <x:f>IF(A128="","",(L128*35%+M128*35%+N128*20%+O128*10%)*25%)</x:f>
      </x:c>
      <x:c r="S128" t="str">
        <x:f>IF(R128="","",IF(R128="Mujer",10,IF(R128="Hombre",'11_Config'!$B$13,0)))</x:f>
      </x:c>
      <x:c r="T128" t="str">
        <x:f>IF(R128="Hombre","REVISAR REGLA OFICIAL","")</x:f>
      </x:c>
      <x:c r="V128" t="str">
        <x:f>IF(A128="","",(Q128*40%+S128*30%+U128*30%)*5%)</x:f>
      </x:c>
      <x:c r="W128" t="str">
        <x:f>IF(A128="","",F128+K128+P128+V128)</x:f>
      </x:c>
      <x:c r="X128" t="str">
        <x:f>IF(W128="","",IF(W128&gt;='11_Config'!$B$9,"Selección prioritaria",IF(W128&gt;='11_Config'!$B$10,"Elegible / reserva",IF(W128&gt;='11_Config'!$B$11,"Elegible condicionado","No recomendado"))))</x:f>
      </x:c>
    </x:row>
    <x:row r="129">
      <x:c r="F129" t="str">
        <x:f>IF(A129="","",(C129*40%+D129*30%+E129*30%)*15%)</x:f>
      </x:c>
      <x:c r="K129" t="str">
        <x:f>IF(A129="","",(G129*35%+H129*35%+I129*20%+J129*10%)*55%)</x:f>
      </x:c>
      <x:c r="P129" t="str">
        <x:f>IF(A129="","",(L129*35%+M129*35%+N129*20%+O129*10%)*25%)</x:f>
      </x:c>
      <x:c r="S129" t="str">
        <x:f>IF(R129="","",IF(R129="Mujer",10,IF(R129="Hombre",'11_Config'!$B$13,0)))</x:f>
      </x:c>
      <x:c r="T129" t="str">
        <x:f>IF(R129="Hombre","REVISAR REGLA OFICIAL","")</x:f>
      </x:c>
      <x:c r="V129" t="str">
        <x:f>IF(A129="","",(Q129*40%+S129*30%+U129*30%)*5%)</x:f>
      </x:c>
      <x:c r="W129" t="str">
        <x:f>IF(A129="","",F129+K129+P129+V129)</x:f>
      </x:c>
      <x:c r="X129" t="str">
        <x:f>IF(W129="","",IF(W129&gt;='11_Config'!$B$9,"Selección prioritaria",IF(W129&gt;='11_Config'!$B$10,"Elegible / reserva",IF(W129&gt;='11_Config'!$B$11,"Elegible condicionado","No recomendado"))))</x:f>
      </x:c>
    </x:row>
    <x:row r="130">
      <x:c r="F130" t="str">
        <x:f>IF(A130="","",(C130*40%+D130*30%+E130*30%)*15%)</x:f>
      </x:c>
      <x:c r="K130" t="str">
        <x:f>IF(A130="","",(G130*35%+H130*35%+I130*20%+J130*10%)*55%)</x:f>
      </x:c>
      <x:c r="P130" t="str">
        <x:f>IF(A130="","",(L130*35%+M130*35%+N130*20%+O130*10%)*25%)</x:f>
      </x:c>
      <x:c r="S130" t="str">
        <x:f>IF(R130="","",IF(R130="Mujer",10,IF(R130="Hombre",'11_Config'!$B$13,0)))</x:f>
      </x:c>
      <x:c r="T130" t="str">
        <x:f>IF(R130="Hombre","REVISAR REGLA OFICIAL","")</x:f>
      </x:c>
      <x:c r="V130" t="str">
        <x:f>IF(A130="","",(Q130*40%+S130*30%+U130*30%)*5%)</x:f>
      </x:c>
      <x:c r="W130" t="str">
        <x:f>IF(A130="","",F130+K130+P130+V130)</x:f>
      </x:c>
      <x:c r="X130" t="str">
        <x:f>IF(W130="","",IF(W130&gt;='11_Config'!$B$9,"Selección prioritaria",IF(W130&gt;='11_Config'!$B$10,"Elegible / reserva",IF(W130&gt;='11_Config'!$B$11,"Elegible condicionado","No recomendado"))))</x:f>
      </x:c>
    </x:row>
    <x:row r="131">
      <x:c r="F131" t="str">
        <x:f>IF(A131="","",(C131*40%+D131*30%+E131*30%)*15%)</x:f>
      </x:c>
      <x:c r="K131" t="str">
        <x:f>IF(A131="","",(G131*35%+H131*35%+I131*20%+J131*10%)*55%)</x:f>
      </x:c>
      <x:c r="P131" t="str">
        <x:f>IF(A131="","",(L131*35%+M131*35%+N131*20%+O131*10%)*25%)</x:f>
      </x:c>
      <x:c r="S131" t="str">
        <x:f>IF(R131="","",IF(R131="Mujer",10,IF(R131="Hombre",'11_Config'!$B$13,0)))</x:f>
      </x:c>
      <x:c r="T131" t="str">
        <x:f>IF(R131="Hombre","REVISAR REGLA OFICIAL","")</x:f>
      </x:c>
      <x:c r="V131" t="str">
        <x:f>IF(A131="","",(Q131*40%+S131*30%+U131*30%)*5%)</x:f>
      </x:c>
      <x:c r="W131" t="str">
        <x:f>IF(A131="","",F131+K131+P131+V131)</x:f>
      </x:c>
      <x:c r="X131" t="str">
        <x:f>IF(W131="","",IF(W131&gt;='11_Config'!$B$9,"Selección prioritaria",IF(W131&gt;='11_Config'!$B$10,"Elegible / reserva",IF(W131&gt;='11_Config'!$B$11,"Elegible condicionado","No recomendado"))))</x:f>
      </x:c>
    </x:row>
    <x:row r="132">
      <x:c r="F132" t="str">
        <x:f>IF(A132="","",(C132*40%+D132*30%+E132*30%)*15%)</x:f>
      </x:c>
      <x:c r="K132" t="str">
        <x:f>IF(A132="","",(G132*35%+H132*35%+I132*20%+J132*10%)*55%)</x:f>
      </x:c>
      <x:c r="P132" t="str">
        <x:f>IF(A132="","",(L132*35%+M132*35%+N132*20%+O132*10%)*25%)</x:f>
      </x:c>
      <x:c r="S132" t="str">
        <x:f>IF(R132="","",IF(R132="Mujer",10,IF(R132="Hombre",'11_Config'!$B$13,0)))</x:f>
      </x:c>
      <x:c r="T132" t="str">
        <x:f>IF(R132="Hombre","REVISAR REGLA OFICIAL","")</x:f>
      </x:c>
      <x:c r="V132" t="str">
        <x:f>IF(A132="","",(Q132*40%+S132*30%+U132*30%)*5%)</x:f>
      </x:c>
      <x:c r="W132" t="str">
        <x:f>IF(A132="","",F132+K132+P132+V132)</x:f>
      </x:c>
      <x:c r="X132" t="str">
        <x:f>IF(W132="","",IF(W132&gt;='11_Config'!$B$9,"Selección prioritaria",IF(W132&gt;='11_Config'!$B$10,"Elegible / reserva",IF(W132&gt;='11_Config'!$B$11,"Elegible condicionado","No recomendado"))))</x:f>
      </x:c>
    </x:row>
    <x:row r="133">
      <x:c r="F133" t="str">
        <x:f>IF(A133="","",(C133*40%+D133*30%+E133*30%)*15%)</x:f>
      </x:c>
      <x:c r="K133" t="str">
        <x:f>IF(A133="","",(G133*35%+H133*35%+I133*20%+J133*10%)*55%)</x:f>
      </x:c>
      <x:c r="P133" t="str">
        <x:f>IF(A133="","",(L133*35%+M133*35%+N133*20%+O133*10%)*25%)</x:f>
      </x:c>
      <x:c r="S133" t="str">
        <x:f>IF(R133="","",IF(R133="Mujer",10,IF(R133="Hombre",'11_Config'!$B$13,0)))</x:f>
      </x:c>
      <x:c r="T133" t="str">
        <x:f>IF(R133="Hombre","REVISAR REGLA OFICIAL","")</x:f>
      </x:c>
      <x:c r="V133" t="str">
        <x:f>IF(A133="","",(Q133*40%+S133*30%+U133*30%)*5%)</x:f>
      </x:c>
      <x:c r="W133" t="str">
        <x:f>IF(A133="","",F133+K133+P133+V133)</x:f>
      </x:c>
      <x:c r="X133" t="str">
        <x:f>IF(W133="","",IF(W133&gt;='11_Config'!$B$9,"Selección prioritaria",IF(W133&gt;='11_Config'!$B$10,"Elegible / reserva",IF(W133&gt;='11_Config'!$B$11,"Elegible condicionado","No recomendado"))))</x:f>
      </x:c>
    </x:row>
    <x:row r="134">
      <x:c r="F134" t="str">
        <x:f>IF(A134="","",(C134*40%+D134*30%+E134*30%)*15%)</x:f>
      </x:c>
      <x:c r="K134" t="str">
        <x:f>IF(A134="","",(G134*35%+H134*35%+I134*20%+J134*10%)*55%)</x:f>
      </x:c>
      <x:c r="P134" t="str">
        <x:f>IF(A134="","",(L134*35%+M134*35%+N134*20%+O134*10%)*25%)</x:f>
      </x:c>
      <x:c r="S134" t="str">
        <x:f>IF(R134="","",IF(R134="Mujer",10,IF(R134="Hombre",'11_Config'!$B$13,0)))</x:f>
      </x:c>
      <x:c r="T134" t="str">
        <x:f>IF(R134="Hombre","REVISAR REGLA OFICIAL","")</x:f>
      </x:c>
      <x:c r="V134" t="str">
        <x:f>IF(A134="","",(Q134*40%+S134*30%+U134*30%)*5%)</x:f>
      </x:c>
      <x:c r="W134" t="str">
        <x:f>IF(A134="","",F134+K134+P134+V134)</x:f>
      </x:c>
      <x:c r="X134" t="str">
        <x:f>IF(W134="","",IF(W134&gt;='11_Config'!$B$9,"Selección prioritaria",IF(W134&gt;='11_Config'!$B$10,"Elegible / reserva",IF(W134&gt;='11_Config'!$B$11,"Elegible condicionado","No recomendado"))))</x:f>
      </x:c>
    </x:row>
    <x:row r="135">
      <x:c r="F135" t="str">
        <x:f>IF(A135="","",(C135*40%+D135*30%+E135*30%)*15%)</x:f>
      </x:c>
      <x:c r="K135" t="str">
        <x:f>IF(A135="","",(G135*35%+H135*35%+I135*20%+J135*10%)*55%)</x:f>
      </x:c>
      <x:c r="P135" t="str">
        <x:f>IF(A135="","",(L135*35%+M135*35%+N135*20%+O135*10%)*25%)</x:f>
      </x:c>
      <x:c r="S135" t="str">
        <x:f>IF(R135="","",IF(R135="Mujer",10,IF(R135="Hombre",'11_Config'!$B$13,0)))</x:f>
      </x:c>
      <x:c r="T135" t="str">
        <x:f>IF(R135="Hombre","REVISAR REGLA OFICIAL","")</x:f>
      </x:c>
      <x:c r="V135" t="str">
        <x:f>IF(A135="","",(Q135*40%+S135*30%+U135*30%)*5%)</x:f>
      </x:c>
      <x:c r="W135" t="str">
        <x:f>IF(A135="","",F135+K135+P135+V135)</x:f>
      </x:c>
      <x:c r="X135" t="str">
        <x:f>IF(W135="","",IF(W135&gt;='11_Config'!$B$9,"Selección prioritaria",IF(W135&gt;='11_Config'!$B$10,"Elegible / reserva",IF(W135&gt;='11_Config'!$B$11,"Elegible condicionado","No recomendado"))))</x:f>
      </x:c>
    </x:row>
    <x:row r="136">
      <x:c r="F136" t="str">
        <x:f>IF(A136="","",(C136*40%+D136*30%+E136*30%)*15%)</x:f>
      </x:c>
      <x:c r="K136" t="str">
        <x:f>IF(A136="","",(G136*35%+H136*35%+I136*20%+J136*10%)*55%)</x:f>
      </x:c>
      <x:c r="P136" t="str">
        <x:f>IF(A136="","",(L136*35%+M136*35%+N136*20%+O136*10%)*25%)</x:f>
      </x:c>
      <x:c r="S136" t="str">
        <x:f>IF(R136="","",IF(R136="Mujer",10,IF(R136="Hombre",'11_Config'!$B$13,0)))</x:f>
      </x:c>
      <x:c r="T136" t="str">
        <x:f>IF(R136="Hombre","REVISAR REGLA OFICIAL","")</x:f>
      </x:c>
      <x:c r="V136" t="str">
        <x:f>IF(A136="","",(Q136*40%+S136*30%+U136*30%)*5%)</x:f>
      </x:c>
      <x:c r="W136" t="str">
        <x:f>IF(A136="","",F136+K136+P136+V136)</x:f>
      </x:c>
      <x:c r="X136" t="str">
        <x:f>IF(W136="","",IF(W136&gt;='11_Config'!$B$9,"Selección prioritaria",IF(W136&gt;='11_Config'!$B$10,"Elegible / reserva",IF(W136&gt;='11_Config'!$B$11,"Elegible condicionado","No recomendado"))))</x:f>
      </x:c>
    </x:row>
    <x:row r="137">
      <x:c r="F137" t="str">
        <x:f>IF(A137="","",(C137*40%+D137*30%+E137*30%)*15%)</x:f>
      </x:c>
      <x:c r="K137" t="str">
        <x:f>IF(A137="","",(G137*35%+H137*35%+I137*20%+J137*10%)*55%)</x:f>
      </x:c>
      <x:c r="P137" t="str">
        <x:f>IF(A137="","",(L137*35%+M137*35%+N137*20%+O137*10%)*25%)</x:f>
      </x:c>
      <x:c r="S137" t="str">
        <x:f>IF(R137="","",IF(R137="Mujer",10,IF(R137="Hombre",'11_Config'!$B$13,0)))</x:f>
      </x:c>
      <x:c r="T137" t="str">
        <x:f>IF(R137="Hombre","REVISAR REGLA OFICIAL","")</x:f>
      </x:c>
      <x:c r="V137" t="str">
        <x:f>IF(A137="","",(Q137*40%+S137*30%+U137*30%)*5%)</x:f>
      </x:c>
      <x:c r="W137" t="str">
        <x:f>IF(A137="","",F137+K137+P137+V137)</x:f>
      </x:c>
      <x:c r="X137" t="str">
        <x:f>IF(W137="","",IF(W137&gt;='11_Config'!$B$9,"Selección prioritaria",IF(W137&gt;='11_Config'!$B$10,"Elegible / reserva",IF(W137&gt;='11_Config'!$B$11,"Elegible condicionado","No recomendado"))))</x:f>
      </x:c>
    </x:row>
    <x:row r="138">
      <x:c r="F138" t="str">
        <x:f>IF(A138="","",(C138*40%+D138*30%+E138*30%)*15%)</x:f>
      </x:c>
      <x:c r="K138" t="str">
        <x:f>IF(A138="","",(G138*35%+H138*35%+I138*20%+J138*10%)*55%)</x:f>
      </x:c>
      <x:c r="P138" t="str">
        <x:f>IF(A138="","",(L138*35%+M138*35%+N138*20%+O138*10%)*25%)</x:f>
      </x:c>
      <x:c r="S138" t="str">
        <x:f>IF(R138="","",IF(R138="Mujer",10,IF(R138="Hombre",'11_Config'!$B$13,0)))</x:f>
      </x:c>
      <x:c r="T138" t="str">
        <x:f>IF(R138="Hombre","REVISAR REGLA OFICIAL","")</x:f>
      </x:c>
      <x:c r="V138" t="str">
        <x:f>IF(A138="","",(Q138*40%+S138*30%+U138*30%)*5%)</x:f>
      </x:c>
      <x:c r="W138" t="str">
        <x:f>IF(A138="","",F138+K138+P138+V138)</x:f>
      </x:c>
      <x:c r="X138" t="str">
        <x:f>IF(W138="","",IF(W138&gt;='11_Config'!$B$9,"Selección prioritaria",IF(W138&gt;='11_Config'!$B$10,"Elegible / reserva",IF(W138&gt;='11_Config'!$B$11,"Elegible condicionado","No recomendado"))))</x:f>
      </x:c>
    </x:row>
    <x:row r="139">
      <x:c r="F139" t="str">
        <x:f>IF(A139="","",(C139*40%+D139*30%+E139*30%)*15%)</x:f>
      </x:c>
      <x:c r="K139" t="str">
        <x:f>IF(A139="","",(G139*35%+H139*35%+I139*20%+J139*10%)*55%)</x:f>
      </x:c>
      <x:c r="P139" t="str">
        <x:f>IF(A139="","",(L139*35%+M139*35%+N139*20%+O139*10%)*25%)</x:f>
      </x:c>
      <x:c r="S139" t="str">
        <x:f>IF(R139="","",IF(R139="Mujer",10,IF(R139="Hombre",'11_Config'!$B$13,0)))</x:f>
      </x:c>
      <x:c r="T139" t="str">
        <x:f>IF(R139="Hombre","REVISAR REGLA OFICIAL","")</x:f>
      </x:c>
      <x:c r="V139" t="str">
        <x:f>IF(A139="","",(Q139*40%+S139*30%+U139*30%)*5%)</x:f>
      </x:c>
      <x:c r="W139" t="str">
        <x:f>IF(A139="","",F139+K139+P139+V139)</x:f>
      </x:c>
      <x:c r="X139" t="str">
        <x:f>IF(W139="","",IF(W139&gt;='11_Config'!$B$9,"Selección prioritaria",IF(W139&gt;='11_Config'!$B$10,"Elegible / reserva",IF(W139&gt;='11_Config'!$B$11,"Elegible condicionado","No recomendado"))))</x:f>
      </x:c>
    </x:row>
    <x:row r="140">
      <x:c r="F140" t="str">
        <x:f>IF(A140="","",(C140*40%+D140*30%+E140*30%)*15%)</x:f>
      </x:c>
      <x:c r="K140" t="str">
        <x:f>IF(A140="","",(G140*35%+H140*35%+I140*20%+J140*10%)*55%)</x:f>
      </x:c>
      <x:c r="P140" t="str">
        <x:f>IF(A140="","",(L140*35%+M140*35%+N140*20%+O140*10%)*25%)</x:f>
      </x:c>
      <x:c r="S140" t="str">
        <x:f>IF(R140="","",IF(R140="Mujer",10,IF(R140="Hombre",'11_Config'!$B$13,0)))</x:f>
      </x:c>
      <x:c r="T140" t="str">
        <x:f>IF(R140="Hombre","REVISAR REGLA OFICIAL","")</x:f>
      </x:c>
      <x:c r="V140" t="str">
        <x:f>IF(A140="","",(Q140*40%+S140*30%+U140*30%)*5%)</x:f>
      </x:c>
      <x:c r="W140" t="str">
        <x:f>IF(A140="","",F140+K140+P140+V140)</x:f>
      </x:c>
      <x:c r="X140" t="str">
        <x:f>IF(W140="","",IF(W140&gt;='11_Config'!$B$9,"Selección prioritaria",IF(W140&gt;='11_Config'!$B$10,"Elegible / reserva",IF(W140&gt;='11_Config'!$B$11,"Elegible condicionado","No recomendado"))))</x:f>
      </x:c>
    </x:row>
    <x:row r="141">
      <x:c r="F141" t="str">
        <x:f>IF(A141="","",(C141*40%+D141*30%+E141*30%)*15%)</x:f>
      </x:c>
      <x:c r="K141" t="str">
        <x:f>IF(A141="","",(G141*35%+H141*35%+I141*20%+J141*10%)*55%)</x:f>
      </x:c>
      <x:c r="P141" t="str">
        <x:f>IF(A141="","",(L141*35%+M141*35%+N141*20%+O141*10%)*25%)</x:f>
      </x:c>
      <x:c r="S141" t="str">
        <x:f>IF(R141="","",IF(R141="Mujer",10,IF(R141="Hombre",'11_Config'!$B$13,0)))</x:f>
      </x:c>
      <x:c r="T141" t="str">
        <x:f>IF(R141="Hombre","REVISAR REGLA OFICIAL","")</x:f>
      </x:c>
      <x:c r="V141" t="str">
        <x:f>IF(A141="","",(Q141*40%+S141*30%+U141*30%)*5%)</x:f>
      </x:c>
      <x:c r="W141" t="str">
        <x:f>IF(A141="","",F141+K141+P141+V141)</x:f>
      </x:c>
      <x:c r="X141" t="str">
        <x:f>IF(W141="","",IF(W141&gt;='11_Config'!$B$9,"Selección prioritaria",IF(W141&gt;='11_Config'!$B$10,"Elegible / reserva",IF(W141&gt;='11_Config'!$B$11,"Elegible condicionado","No recomendado"))))</x:f>
      </x:c>
    </x:row>
    <x:row r="142">
      <x:c r="F142" t="str">
        <x:f>IF(A142="","",(C142*40%+D142*30%+E142*30%)*15%)</x:f>
      </x:c>
      <x:c r="K142" t="str">
        <x:f>IF(A142="","",(G142*35%+H142*35%+I142*20%+J142*10%)*55%)</x:f>
      </x:c>
      <x:c r="P142" t="str">
        <x:f>IF(A142="","",(L142*35%+M142*35%+N142*20%+O142*10%)*25%)</x:f>
      </x:c>
      <x:c r="S142" t="str">
        <x:f>IF(R142="","",IF(R142="Mujer",10,IF(R142="Hombre",'11_Config'!$B$13,0)))</x:f>
      </x:c>
      <x:c r="T142" t="str">
        <x:f>IF(R142="Hombre","REVISAR REGLA OFICIAL","")</x:f>
      </x:c>
      <x:c r="V142" t="str">
        <x:f>IF(A142="","",(Q142*40%+S142*30%+U142*30%)*5%)</x:f>
      </x:c>
      <x:c r="W142" t="str">
        <x:f>IF(A142="","",F142+K142+P142+V142)</x:f>
      </x:c>
      <x:c r="X142" t="str">
        <x:f>IF(W142="","",IF(W142&gt;='11_Config'!$B$9,"Selección prioritaria",IF(W142&gt;='11_Config'!$B$10,"Elegible / reserva",IF(W142&gt;='11_Config'!$B$11,"Elegible condicionado","No recomendado"))))</x:f>
      </x:c>
    </x:row>
    <x:row r="143">
      <x:c r="F143" t="str">
        <x:f>IF(A143="","",(C143*40%+D143*30%+E143*30%)*15%)</x:f>
      </x:c>
      <x:c r="K143" t="str">
        <x:f>IF(A143="","",(G143*35%+H143*35%+I143*20%+J143*10%)*55%)</x:f>
      </x:c>
      <x:c r="P143" t="str">
        <x:f>IF(A143="","",(L143*35%+M143*35%+N143*20%+O143*10%)*25%)</x:f>
      </x:c>
      <x:c r="S143" t="str">
        <x:f>IF(R143="","",IF(R143="Mujer",10,IF(R143="Hombre",'11_Config'!$B$13,0)))</x:f>
      </x:c>
      <x:c r="T143" t="str">
        <x:f>IF(R143="Hombre","REVISAR REGLA OFICIAL","")</x:f>
      </x:c>
      <x:c r="V143" t="str">
        <x:f>IF(A143="","",(Q143*40%+S143*30%+U143*30%)*5%)</x:f>
      </x:c>
      <x:c r="W143" t="str">
        <x:f>IF(A143="","",F143+K143+P143+V143)</x:f>
      </x:c>
      <x:c r="X143" t="str">
        <x:f>IF(W143="","",IF(W143&gt;='11_Config'!$B$9,"Selección prioritaria",IF(W143&gt;='11_Config'!$B$10,"Elegible / reserva",IF(W143&gt;='11_Config'!$B$11,"Elegible condicionado","No recomendado"))))</x:f>
      </x:c>
    </x:row>
    <x:row r="144">
      <x:c r="F144" t="str">
        <x:f>IF(A144="","",(C144*40%+D144*30%+E144*30%)*15%)</x:f>
      </x:c>
      <x:c r="K144" t="str">
        <x:f>IF(A144="","",(G144*35%+H144*35%+I144*20%+J144*10%)*55%)</x:f>
      </x:c>
      <x:c r="P144" t="str">
        <x:f>IF(A144="","",(L144*35%+M144*35%+N144*20%+O144*10%)*25%)</x:f>
      </x:c>
      <x:c r="S144" t="str">
        <x:f>IF(R144="","",IF(R144="Mujer",10,IF(R144="Hombre",'11_Config'!$B$13,0)))</x:f>
      </x:c>
      <x:c r="T144" t="str">
        <x:f>IF(R144="Hombre","REVISAR REGLA OFICIAL","")</x:f>
      </x:c>
      <x:c r="V144" t="str">
        <x:f>IF(A144="","",(Q144*40%+S144*30%+U144*30%)*5%)</x:f>
      </x:c>
      <x:c r="W144" t="str">
        <x:f>IF(A144="","",F144+K144+P144+V144)</x:f>
      </x:c>
      <x:c r="X144" t="str">
        <x:f>IF(W144="","",IF(W144&gt;='11_Config'!$B$9,"Selección prioritaria",IF(W144&gt;='11_Config'!$B$10,"Elegible / reserva",IF(W144&gt;='11_Config'!$B$11,"Elegible condicionado","No recomendado"))))</x:f>
      </x:c>
    </x:row>
    <x:row r="145">
      <x:c r="F145" t="str">
        <x:f>IF(A145="","",(C145*40%+D145*30%+E145*30%)*15%)</x:f>
      </x:c>
      <x:c r="K145" t="str">
        <x:f>IF(A145="","",(G145*35%+H145*35%+I145*20%+J145*10%)*55%)</x:f>
      </x:c>
      <x:c r="P145" t="str">
        <x:f>IF(A145="","",(L145*35%+M145*35%+N145*20%+O145*10%)*25%)</x:f>
      </x:c>
      <x:c r="S145" t="str">
        <x:f>IF(R145="","",IF(R145="Mujer",10,IF(R145="Hombre",'11_Config'!$B$13,0)))</x:f>
      </x:c>
      <x:c r="T145" t="str">
        <x:f>IF(R145="Hombre","REVISAR REGLA OFICIAL","")</x:f>
      </x:c>
      <x:c r="V145" t="str">
        <x:f>IF(A145="","",(Q145*40%+S145*30%+U145*30%)*5%)</x:f>
      </x:c>
      <x:c r="W145" t="str">
        <x:f>IF(A145="","",F145+K145+P145+V145)</x:f>
      </x:c>
      <x:c r="X145" t="str">
        <x:f>IF(W145="","",IF(W145&gt;='11_Config'!$B$9,"Selección prioritaria",IF(W145&gt;='11_Config'!$B$10,"Elegible / reserva",IF(W145&gt;='11_Config'!$B$11,"Elegible condicionado","No recomendado"))))</x:f>
      </x:c>
    </x:row>
    <x:row r="146">
      <x:c r="F146" t="str">
        <x:f>IF(A146="","",(C146*40%+D146*30%+E146*30%)*15%)</x:f>
      </x:c>
      <x:c r="K146" t="str">
        <x:f>IF(A146="","",(G146*35%+H146*35%+I146*20%+J146*10%)*55%)</x:f>
      </x:c>
      <x:c r="P146" t="str">
        <x:f>IF(A146="","",(L146*35%+M146*35%+N146*20%+O146*10%)*25%)</x:f>
      </x:c>
      <x:c r="S146" t="str">
        <x:f>IF(R146="","",IF(R146="Mujer",10,IF(R146="Hombre",'11_Config'!$B$13,0)))</x:f>
      </x:c>
      <x:c r="T146" t="str">
        <x:f>IF(R146="Hombre","REVISAR REGLA OFICIAL","")</x:f>
      </x:c>
      <x:c r="V146" t="str">
        <x:f>IF(A146="","",(Q146*40%+S146*30%+U146*30%)*5%)</x:f>
      </x:c>
      <x:c r="W146" t="str">
        <x:f>IF(A146="","",F146+K146+P146+V146)</x:f>
      </x:c>
      <x:c r="X146" t="str">
        <x:f>IF(W146="","",IF(W146&gt;='11_Config'!$B$9,"Selección prioritaria",IF(W146&gt;='11_Config'!$B$10,"Elegible / reserva",IF(W146&gt;='11_Config'!$B$11,"Elegible condicionado","No recomendado"))))</x:f>
      </x:c>
    </x:row>
    <x:row r="147">
      <x:c r="F147" t="str">
        <x:f>IF(A147="","",(C147*40%+D147*30%+E147*30%)*15%)</x:f>
      </x:c>
      <x:c r="K147" t="str">
        <x:f>IF(A147="","",(G147*35%+H147*35%+I147*20%+J147*10%)*55%)</x:f>
      </x:c>
      <x:c r="P147" t="str">
        <x:f>IF(A147="","",(L147*35%+M147*35%+N147*20%+O147*10%)*25%)</x:f>
      </x:c>
      <x:c r="S147" t="str">
        <x:f>IF(R147="","",IF(R147="Mujer",10,IF(R147="Hombre",'11_Config'!$B$13,0)))</x:f>
      </x:c>
      <x:c r="T147" t="str">
        <x:f>IF(R147="Hombre","REVISAR REGLA OFICIAL","")</x:f>
      </x:c>
      <x:c r="V147" t="str">
        <x:f>IF(A147="","",(Q147*40%+S147*30%+U147*30%)*5%)</x:f>
      </x:c>
      <x:c r="W147" t="str">
        <x:f>IF(A147="","",F147+K147+P147+V147)</x:f>
      </x:c>
      <x:c r="X147" t="str">
        <x:f>IF(W147="","",IF(W147&gt;='11_Config'!$B$9,"Selección prioritaria",IF(W147&gt;='11_Config'!$B$10,"Elegible / reserva",IF(W147&gt;='11_Config'!$B$11,"Elegible condicionado","No recomendado"))))</x:f>
      </x:c>
    </x:row>
    <x:row r="148">
      <x:c r="F148" t="str">
        <x:f>IF(A148="","",(C148*40%+D148*30%+E148*30%)*15%)</x:f>
      </x:c>
      <x:c r="K148" t="str">
        <x:f>IF(A148="","",(G148*35%+H148*35%+I148*20%+J148*10%)*55%)</x:f>
      </x:c>
      <x:c r="P148" t="str">
        <x:f>IF(A148="","",(L148*35%+M148*35%+N148*20%+O148*10%)*25%)</x:f>
      </x:c>
      <x:c r="S148" t="str">
        <x:f>IF(R148="","",IF(R148="Mujer",10,IF(R148="Hombre",'11_Config'!$B$13,0)))</x:f>
      </x:c>
      <x:c r="T148" t="str">
        <x:f>IF(R148="Hombre","REVISAR REGLA OFICIAL","")</x:f>
      </x:c>
      <x:c r="V148" t="str">
        <x:f>IF(A148="","",(Q148*40%+S148*30%+U148*30%)*5%)</x:f>
      </x:c>
      <x:c r="W148" t="str">
        <x:f>IF(A148="","",F148+K148+P148+V148)</x:f>
      </x:c>
      <x:c r="X148" t="str">
        <x:f>IF(W148="","",IF(W148&gt;='11_Config'!$B$9,"Selección prioritaria",IF(W148&gt;='11_Config'!$B$10,"Elegible / reserva",IF(W148&gt;='11_Config'!$B$11,"Elegible condicionado","No recomendado"))))</x:f>
      </x:c>
    </x:row>
    <x:row r="149">
      <x:c r="F149" t="str">
        <x:f>IF(A149="","",(C149*40%+D149*30%+E149*30%)*15%)</x:f>
      </x:c>
      <x:c r="K149" t="str">
        <x:f>IF(A149="","",(G149*35%+H149*35%+I149*20%+J149*10%)*55%)</x:f>
      </x:c>
      <x:c r="P149" t="str">
        <x:f>IF(A149="","",(L149*35%+M149*35%+N149*20%+O149*10%)*25%)</x:f>
      </x:c>
      <x:c r="S149" t="str">
        <x:f>IF(R149="","",IF(R149="Mujer",10,IF(R149="Hombre",'11_Config'!$B$13,0)))</x:f>
      </x:c>
      <x:c r="T149" t="str">
        <x:f>IF(R149="Hombre","REVISAR REGLA OFICIAL","")</x:f>
      </x:c>
      <x:c r="V149" t="str">
        <x:f>IF(A149="","",(Q149*40%+S149*30%+U149*30%)*5%)</x:f>
      </x:c>
      <x:c r="W149" t="str">
        <x:f>IF(A149="","",F149+K149+P149+V149)</x:f>
      </x:c>
      <x:c r="X149" t="str">
        <x:f>IF(W149="","",IF(W149&gt;='11_Config'!$B$9,"Selección prioritaria",IF(W149&gt;='11_Config'!$B$10,"Elegible / reserva",IF(W149&gt;='11_Config'!$B$11,"Elegible condicionado","No recomendado"))))</x:f>
      </x:c>
    </x:row>
    <x:row r="150">
      <x:c r="F150" t="str">
        <x:f>IF(A150="","",(C150*40%+D150*30%+E150*30%)*15%)</x:f>
      </x:c>
      <x:c r="K150" t="str">
        <x:f>IF(A150="","",(G150*35%+H150*35%+I150*20%+J150*10%)*55%)</x:f>
      </x:c>
      <x:c r="P150" t="str">
        <x:f>IF(A150="","",(L150*35%+M150*35%+N150*20%+O150*10%)*25%)</x:f>
      </x:c>
      <x:c r="S150" t="str">
        <x:f>IF(R150="","",IF(R150="Mujer",10,IF(R150="Hombre",'11_Config'!$B$13,0)))</x:f>
      </x:c>
      <x:c r="T150" t="str">
        <x:f>IF(R150="Hombre","REVISAR REGLA OFICIAL","")</x:f>
      </x:c>
      <x:c r="V150" t="str">
        <x:f>IF(A150="","",(Q150*40%+S150*30%+U150*30%)*5%)</x:f>
      </x:c>
      <x:c r="W150" t="str">
        <x:f>IF(A150="","",F150+K150+P150+V150)</x:f>
      </x:c>
      <x:c r="X150" t="str">
        <x:f>IF(W150="","",IF(W150&gt;='11_Config'!$B$9,"Selección prioritaria",IF(W150&gt;='11_Config'!$B$10,"Elegible / reserva",IF(W150&gt;='11_Config'!$B$11,"Elegible condicionado","No recomendado"))))</x:f>
      </x:c>
    </x:row>
    <x:row r="151">
      <x:c r="F151" t="str">
        <x:f>IF(A151="","",(C151*40%+D151*30%+E151*30%)*15%)</x:f>
      </x:c>
      <x:c r="K151" t="str">
        <x:f>IF(A151="","",(G151*35%+H151*35%+I151*20%+J151*10%)*55%)</x:f>
      </x:c>
      <x:c r="P151" t="str">
        <x:f>IF(A151="","",(L151*35%+M151*35%+N151*20%+O151*10%)*25%)</x:f>
      </x:c>
      <x:c r="S151" t="str">
        <x:f>IF(R151="","",IF(R151="Mujer",10,IF(R151="Hombre",'11_Config'!$B$13,0)))</x:f>
      </x:c>
      <x:c r="T151" t="str">
        <x:f>IF(R151="Hombre","REVISAR REGLA OFICIAL","")</x:f>
      </x:c>
      <x:c r="V151" t="str">
        <x:f>IF(A151="","",(Q151*40%+S151*30%+U151*30%)*5%)</x:f>
      </x:c>
      <x:c r="W151" t="str">
        <x:f>IF(A151="","",F151+K151+P151+V151)</x:f>
      </x:c>
      <x:c r="X151" t="str">
        <x:f>IF(W151="","",IF(W151&gt;='11_Config'!$B$9,"Selección prioritaria",IF(W151&gt;='11_Config'!$B$10,"Elegible / reserva",IF(W151&gt;='11_Config'!$B$11,"Elegible condicionado","No recomendado"))))</x:f>
      </x:c>
    </x:row>
    <x:row r="152">
      <x:c r="F152" t="str">
        <x:f>IF(A152="","",(C152*40%+D152*30%+E152*30%)*15%)</x:f>
      </x:c>
      <x:c r="K152" t="str">
        <x:f>IF(A152="","",(G152*35%+H152*35%+I152*20%+J152*10%)*55%)</x:f>
      </x:c>
      <x:c r="P152" t="str">
        <x:f>IF(A152="","",(L152*35%+M152*35%+N152*20%+O152*10%)*25%)</x:f>
      </x:c>
      <x:c r="S152" t="str">
        <x:f>IF(R152="","",IF(R152="Mujer",10,IF(R152="Hombre",'11_Config'!$B$13,0)))</x:f>
      </x:c>
      <x:c r="T152" t="str">
        <x:f>IF(R152="Hombre","REVISAR REGLA OFICIAL","")</x:f>
      </x:c>
      <x:c r="V152" t="str">
        <x:f>IF(A152="","",(Q152*40%+S152*30%+U152*30%)*5%)</x:f>
      </x:c>
      <x:c r="W152" t="str">
        <x:f>IF(A152="","",F152+K152+P152+V152)</x:f>
      </x:c>
      <x:c r="X152" t="str">
        <x:f>IF(W152="","",IF(W152&gt;='11_Config'!$B$9,"Selección prioritaria",IF(W152&gt;='11_Config'!$B$10,"Elegible / reserva",IF(W152&gt;='11_Config'!$B$11,"Elegible condicionado","No recomendado"))))</x:f>
      </x:c>
    </x:row>
    <x:row r="153">
      <x:c r="F153" t="str">
        <x:f>IF(A153="","",(C153*40%+D153*30%+E153*30%)*15%)</x:f>
      </x:c>
      <x:c r="K153" t="str">
        <x:f>IF(A153="","",(G153*35%+H153*35%+I153*20%+J153*10%)*55%)</x:f>
      </x:c>
      <x:c r="P153" t="str">
        <x:f>IF(A153="","",(L153*35%+M153*35%+N153*20%+O153*10%)*25%)</x:f>
      </x:c>
      <x:c r="S153" t="str">
        <x:f>IF(R153="","",IF(R153="Mujer",10,IF(R153="Hombre",'11_Config'!$B$13,0)))</x:f>
      </x:c>
      <x:c r="T153" t="str">
        <x:f>IF(R153="Hombre","REVISAR REGLA OFICIAL","")</x:f>
      </x:c>
      <x:c r="V153" t="str">
        <x:f>IF(A153="","",(Q153*40%+S153*30%+U153*30%)*5%)</x:f>
      </x:c>
      <x:c r="W153" t="str">
        <x:f>IF(A153="","",F153+K153+P153+V153)</x:f>
      </x:c>
      <x:c r="X153" t="str">
        <x:f>IF(W153="","",IF(W153&gt;='11_Config'!$B$9,"Selección prioritaria",IF(W153&gt;='11_Config'!$B$10,"Elegible / reserva",IF(W153&gt;='11_Config'!$B$11,"Elegible condicionado","No recomendado"))))</x:f>
      </x:c>
    </x:row>
    <x:row r="154">
      <x:c r="F154" t="str">
        <x:f>IF(A154="","",(C154*40%+D154*30%+E154*30%)*15%)</x:f>
      </x:c>
      <x:c r="K154" t="str">
        <x:f>IF(A154="","",(G154*35%+H154*35%+I154*20%+J154*10%)*55%)</x:f>
      </x:c>
      <x:c r="P154" t="str">
        <x:f>IF(A154="","",(L154*35%+M154*35%+N154*20%+O154*10%)*25%)</x:f>
      </x:c>
      <x:c r="S154" t="str">
        <x:f>IF(R154="","",IF(R154="Mujer",10,IF(R154="Hombre",'11_Config'!$B$13,0)))</x:f>
      </x:c>
      <x:c r="T154" t="str">
        <x:f>IF(R154="Hombre","REVISAR REGLA OFICIAL","")</x:f>
      </x:c>
      <x:c r="V154" t="str">
        <x:f>IF(A154="","",(Q154*40%+S154*30%+U154*30%)*5%)</x:f>
      </x:c>
      <x:c r="W154" t="str">
        <x:f>IF(A154="","",F154+K154+P154+V154)</x:f>
      </x:c>
      <x:c r="X154" t="str">
        <x:f>IF(W154="","",IF(W154&gt;='11_Config'!$B$9,"Selección prioritaria",IF(W154&gt;='11_Config'!$B$10,"Elegible / reserva",IF(W154&gt;='11_Config'!$B$11,"Elegible condicionado","No recomendado"))))</x:f>
      </x:c>
    </x:row>
    <x:row r="155">
      <x:c r="F155" t="str">
        <x:f>IF(A155="","",(C155*40%+D155*30%+E155*30%)*15%)</x:f>
      </x:c>
      <x:c r="K155" t="str">
        <x:f>IF(A155="","",(G155*35%+H155*35%+I155*20%+J155*10%)*55%)</x:f>
      </x:c>
      <x:c r="P155" t="str">
        <x:f>IF(A155="","",(L155*35%+M155*35%+N155*20%+O155*10%)*25%)</x:f>
      </x:c>
      <x:c r="S155" t="str">
        <x:f>IF(R155="","",IF(R155="Mujer",10,IF(R155="Hombre",'11_Config'!$B$13,0)))</x:f>
      </x:c>
      <x:c r="T155" t="str">
        <x:f>IF(R155="Hombre","REVISAR REGLA OFICIAL","")</x:f>
      </x:c>
      <x:c r="V155" t="str">
        <x:f>IF(A155="","",(Q155*40%+S155*30%+U155*30%)*5%)</x:f>
      </x:c>
      <x:c r="W155" t="str">
        <x:f>IF(A155="","",F155+K155+P155+V155)</x:f>
      </x:c>
      <x:c r="X155" t="str">
        <x:f>IF(W155="","",IF(W155&gt;='11_Config'!$B$9,"Selección prioritaria",IF(W155&gt;='11_Config'!$B$10,"Elegible / reserva",IF(W155&gt;='11_Config'!$B$11,"Elegible condicionado","No recomendado"))))</x:f>
      </x:c>
    </x:row>
    <x:row r="156">
      <x:c r="F156" t="str">
        <x:f>IF(A156="","",(C156*40%+D156*30%+E156*30%)*15%)</x:f>
      </x:c>
      <x:c r="K156" t="str">
        <x:f>IF(A156="","",(G156*35%+H156*35%+I156*20%+J156*10%)*55%)</x:f>
      </x:c>
      <x:c r="P156" t="str">
        <x:f>IF(A156="","",(L156*35%+M156*35%+N156*20%+O156*10%)*25%)</x:f>
      </x:c>
      <x:c r="S156" t="str">
        <x:f>IF(R156="","",IF(R156="Mujer",10,IF(R156="Hombre",'11_Config'!$B$13,0)))</x:f>
      </x:c>
      <x:c r="T156" t="str">
        <x:f>IF(R156="Hombre","REVISAR REGLA OFICIAL","")</x:f>
      </x:c>
      <x:c r="V156" t="str">
        <x:f>IF(A156="","",(Q156*40%+S156*30%+U156*30%)*5%)</x:f>
      </x:c>
      <x:c r="W156" t="str">
        <x:f>IF(A156="","",F156+K156+P156+V156)</x:f>
      </x:c>
      <x:c r="X156" t="str">
        <x:f>IF(W156="","",IF(W156&gt;='11_Config'!$B$9,"Selección prioritaria",IF(W156&gt;='11_Config'!$B$10,"Elegible / reserva",IF(W156&gt;='11_Config'!$B$11,"Elegible condicionado","No recomendado"))))</x:f>
      </x:c>
    </x:row>
    <x:row r="157">
      <x:c r="F157" t="str">
        <x:f>IF(A157="","",(C157*40%+D157*30%+E157*30%)*15%)</x:f>
      </x:c>
      <x:c r="K157" t="str">
        <x:f>IF(A157="","",(G157*35%+H157*35%+I157*20%+J157*10%)*55%)</x:f>
      </x:c>
      <x:c r="P157" t="str">
        <x:f>IF(A157="","",(L157*35%+M157*35%+N157*20%+O157*10%)*25%)</x:f>
      </x:c>
      <x:c r="S157" t="str">
        <x:f>IF(R157="","",IF(R157="Mujer",10,IF(R157="Hombre",'11_Config'!$B$13,0)))</x:f>
      </x:c>
      <x:c r="T157" t="str">
        <x:f>IF(R157="Hombre","REVISAR REGLA OFICIAL","")</x:f>
      </x:c>
      <x:c r="V157" t="str">
        <x:f>IF(A157="","",(Q157*40%+S157*30%+U157*30%)*5%)</x:f>
      </x:c>
      <x:c r="W157" t="str">
        <x:f>IF(A157="","",F157+K157+P157+V157)</x:f>
      </x:c>
      <x:c r="X157" t="str">
        <x:f>IF(W157="","",IF(W157&gt;='11_Config'!$B$9,"Selección prioritaria",IF(W157&gt;='11_Config'!$B$10,"Elegible / reserva",IF(W157&gt;='11_Config'!$B$11,"Elegible condicionado","No recomendado"))))</x:f>
      </x:c>
    </x:row>
    <x:row r="158">
      <x:c r="F158" t="str">
        <x:f>IF(A158="","",(C158*40%+D158*30%+E158*30%)*15%)</x:f>
      </x:c>
      <x:c r="K158" t="str">
        <x:f>IF(A158="","",(G158*35%+H158*35%+I158*20%+J158*10%)*55%)</x:f>
      </x:c>
      <x:c r="P158" t="str">
        <x:f>IF(A158="","",(L158*35%+M158*35%+N158*20%+O158*10%)*25%)</x:f>
      </x:c>
      <x:c r="S158" t="str">
        <x:f>IF(R158="","",IF(R158="Mujer",10,IF(R158="Hombre",'11_Config'!$B$13,0)))</x:f>
      </x:c>
      <x:c r="T158" t="str">
        <x:f>IF(R158="Hombre","REVISAR REGLA OFICIAL","")</x:f>
      </x:c>
      <x:c r="V158" t="str">
        <x:f>IF(A158="","",(Q158*40%+S158*30%+U158*30%)*5%)</x:f>
      </x:c>
      <x:c r="W158" t="str">
        <x:f>IF(A158="","",F158+K158+P158+V158)</x:f>
      </x:c>
      <x:c r="X158" t="str">
        <x:f>IF(W158="","",IF(W158&gt;='11_Config'!$B$9,"Selección prioritaria",IF(W158&gt;='11_Config'!$B$10,"Elegible / reserva",IF(W158&gt;='11_Config'!$B$11,"Elegible condicionado","No recomendado"))))</x:f>
      </x:c>
    </x:row>
    <x:row r="159">
      <x:c r="F159" t="str">
        <x:f>IF(A159="","",(C159*40%+D159*30%+E159*30%)*15%)</x:f>
      </x:c>
      <x:c r="K159" t="str">
        <x:f>IF(A159="","",(G159*35%+H159*35%+I159*20%+J159*10%)*55%)</x:f>
      </x:c>
      <x:c r="P159" t="str">
        <x:f>IF(A159="","",(L159*35%+M159*35%+N159*20%+O159*10%)*25%)</x:f>
      </x:c>
      <x:c r="S159" t="str">
        <x:f>IF(R159="","",IF(R159="Mujer",10,IF(R159="Hombre",'11_Config'!$B$13,0)))</x:f>
      </x:c>
      <x:c r="T159" t="str">
        <x:f>IF(R159="Hombre","REVISAR REGLA OFICIAL","")</x:f>
      </x:c>
      <x:c r="V159" t="str">
        <x:f>IF(A159="","",(Q159*40%+S159*30%+U159*30%)*5%)</x:f>
      </x:c>
      <x:c r="W159" t="str">
        <x:f>IF(A159="","",F159+K159+P159+V159)</x:f>
      </x:c>
      <x:c r="X159" t="str">
        <x:f>IF(W159="","",IF(W159&gt;='11_Config'!$B$9,"Selección prioritaria",IF(W159&gt;='11_Config'!$B$10,"Elegible / reserva",IF(W159&gt;='11_Config'!$B$11,"Elegible condicionado","No recomendado"))))</x:f>
      </x:c>
    </x:row>
    <x:row r="160">
      <x:c r="F160" t="str">
        <x:f>IF(A160="","",(C160*40%+D160*30%+E160*30%)*15%)</x:f>
      </x:c>
      <x:c r="K160" t="str">
        <x:f>IF(A160="","",(G160*35%+H160*35%+I160*20%+J160*10%)*55%)</x:f>
      </x:c>
      <x:c r="P160" t="str">
        <x:f>IF(A160="","",(L160*35%+M160*35%+N160*20%+O160*10%)*25%)</x:f>
      </x:c>
      <x:c r="S160" t="str">
        <x:f>IF(R160="","",IF(R160="Mujer",10,IF(R160="Hombre",'11_Config'!$B$13,0)))</x:f>
      </x:c>
      <x:c r="T160" t="str">
        <x:f>IF(R160="Hombre","REVISAR REGLA OFICIAL","")</x:f>
      </x:c>
      <x:c r="V160" t="str">
        <x:f>IF(A160="","",(Q160*40%+S160*30%+U160*30%)*5%)</x:f>
      </x:c>
      <x:c r="W160" t="str">
        <x:f>IF(A160="","",F160+K160+P160+V160)</x:f>
      </x:c>
      <x:c r="X160" t="str">
        <x:f>IF(W160="","",IF(W160&gt;='11_Config'!$B$9,"Selección prioritaria",IF(W160&gt;='11_Config'!$B$10,"Elegible / reserva",IF(W160&gt;='11_Config'!$B$11,"Elegible condicionado","No recomendado"))))</x:f>
      </x:c>
    </x:row>
    <x:row r="161">
      <x:c r="F161" t="str">
        <x:f>IF(A161="","",(C161*40%+D161*30%+E161*30%)*15%)</x:f>
      </x:c>
      <x:c r="K161" t="str">
        <x:f>IF(A161="","",(G161*35%+H161*35%+I161*20%+J161*10%)*55%)</x:f>
      </x:c>
      <x:c r="P161" t="str">
        <x:f>IF(A161="","",(L161*35%+M161*35%+N161*20%+O161*10%)*25%)</x:f>
      </x:c>
      <x:c r="S161" t="str">
        <x:f>IF(R161="","",IF(R161="Mujer",10,IF(R161="Hombre",'11_Config'!$B$13,0)))</x:f>
      </x:c>
      <x:c r="T161" t="str">
        <x:f>IF(R161="Hombre","REVISAR REGLA OFICIAL","")</x:f>
      </x:c>
      <x:c r="V161" t="str">
        <x:f>IF(A161="","",(Q161*40%+S161*30%+U161*30%)*5%)</x:f>
      </x:c>
      <x:c r="W161" t="str">
        <x:f>IF(A161="","",F161+K161+P161+V161)</x:f>
      </x:c>
      <x:c r="X161" t="str">
        <x:f>IF(W161="","",IF(W161&gt;='11_Config'!$B$9,"Selección prioritaria",IF(W161&gt;='11_Config'!$B$10,"Elegible / reserva",IF(W161&gt;='11_Config'!$B$11,"Elegible condicionado","No recomendado"))))</x:f>
      </x:c>
    </x:row>
    <x:row r="162">
      <x:c r="F162" t="str">
        <x:f>IF(A162="","",(C162*40%+D162*30%+E162*30%)*15%)</x:f>
      </x:c>
      <x:c r="K162" t="str">
        <x:f>IF(A162="","",(G162*35%+H162*35%+I162*20%+J162*10%)*55%)</x:f>
      </x:c>
      <x:c r="P162" t="str">
        <x:f>IF(A162="","",(L162*35%+M162*35%+N162*20%+O162*10%)*25%)</x:f>
      </x:c>
      <x:c r="S162" t="str">
        <x:f>IF(R162="","",IF(R162="Mujer",10,IF(R162="Hombre",'11_Config'!$B$13,0)))</x:f>
      </x:c>
      <x:c r="T162" t="str">
        <x:f>IF(R162="Hombre","REVISAR REGLA OFICIAL","")</x:f>
      </x:c>
      <x:c r="V162" t="str">
        <x:f>IF(A162="","",(Q162*40%+S162*30%+U162*30%)*5%)</x:f>
      </x:c>
      <x:c r="W162" t="str">
        <x:f>IF(A162="","",F162+K162+P162+V162)</x:f>
      </x:c>
      <x:c r="X162" t="str">
        <x:f>IF(W162="","",IF(W162&gt;='11_Config'!$B$9,"Selección prioritaria",IF(W162&gt;='11_Config'!$B$10,"Elegible / reserva",IF(W162&gt;='11_Config'!$B$11,"Elegible condicionado","No recomendado"))))</x:f>
      </x:c>
    </x:row>
    <x:row r="163">
      <x:c r="F163" t="str">
        <x:f>IF(A163="","",(C163*40%+D163*30%+E163*30%)*15%)</x:f>
      </x:c>
      <x:c r="K163" t="str">
        <x:f>IF(A163="","",(G163*35%+H163*35%+I163*20%+J163*10%)*55%)</x:f>
      </x:c>
      <x:c r="P163" t="str">
        <x:f>IF(A163="","",(L163*35%+M163*35%+N163*20%+O163*10%)*25%)</x:f>
      </x:c>
      <x:c r="S163" t="str">
        <x:f>IF(R163="","",IF(R163="Mujer",10,IF(R163="Hombre",'11_Config'!$B$13,0)))</x:f>
      </x:c>
      <x:c r="T163" t="str">
        <x:f>IF(R163="Hombre","REVISAR REGLA OFICIAL","")</x:f>
      </x:c>
      <x:c r="V163" t="str">
        <x:f>IF(A163="","",(Q163*40%+S163*30%+U163*30%)*5%)</x:f>
      </x:c>
      <x:c r="W163" t="str">
        <x:f>IF(A163="","",F163+K163+P163+V163)</x:f>
      </x:c>
      <x:c r="X163" t="str">
        <x:f>IF(W163="","",IF(W163&gt;='11_Config'!$B$9,"Selección prioritaria",IF(W163&gt;='11_Config'!$B$10,"Elegible / reserva",IF(W163&gt;='11_Config'!$B$11,"Elegible condicionado","No recomendado"))))</x:f>
      </x:c>
    </x:row>
    <x:row r="164">
      <x:c r="F164" t="str">
        <x:f>IF(A164="","",(C164*40%+D164*30%+E164*30%)*15%)</x:f>
      </x:c>
      <x:c r="K164" t="str">
        <x:f>IF(A164="","",(G164*35%+H164*35%+I164*20%+J164*10%)*55%)</x:f>
      </x:c>
      <x:c r="P164" t="str">
        <x:f>IF(A164="","",(L164*35%+M164*35%+N164*20%+O164*10%)*25%)</x:f>
      </x:c>
      <x:c r="S164" t="str">
        <x:f>IF(R164="","",IF(R164="Mujer",10,IF(R164="Hombre",'11_Config'!$B$13,0)))</x:f>
      </x:c>
      <x:c r="T164" t="str">
        <x:f>IF(R164="Hombre","REVISAR REGLA OFICIAL","")</x:f>
      </x:c>
      <x:c r="V164" t="str">
        <x:f>IF(A164="","",(Q164*40%+S164*30%+U164*30%)*5%)</x:f>
      </x:c>
      <x:c r="W164" t="str">
        <x:f>IF(A164="","",F164+K164+P164+V164)</x:f>
      </x:c>
      <x:c r="X164" t="str">
        <x:f>IF(W164="","",IF(W164&gt;='11_Config'!$B$9,"Selección prioritaria",IF(W164&gt;='11_Config'!$B$10,"Elegible / reserva",IF(W164&gt;='11_Config'!$B$11,"Elegible condicionado","No recomendado"))))</x:f>
      </x:c>
    </x:row>
    <x:row r="165">
      <x:c r="F165" t="str">
        <x:f>IF(A165="","",(C165*40%+D165*30%+E165*30%)*15%)</x:f>
      </x:c>
      <x:c r="K165" t="str">
        <x:f>IF(A165="","",(G165*35%+H165*35%+I165*20%+J165*10%)*55%)</x:f>
      </x:c>
      <x:c r="P165" t="str">
        <x:f>IF(A165="","",(L165*35%+M165*35%+N165*20%+O165*10%)*25%)</x:f>
      </x:c>
      <x:c r="S165" t="str">
        <x:f>IF(R165="","",IF(R165="Mujer",10,IF(R165="Hombre",'11_Config'!$B$13,0)))</x:f>
      </x:c>
      <x:c r="T165" t="str">
        <x:f>IF(R165="Hombre","REVISAR REGLA OFICIAL","")</x:f>
      </x:c>
      <x:c r="V165" t="str">
        <x:f>IF(A165="","",(Q165*40%+S165*30%+U165*30%)*5%)</x:f>
      </x:c>
      <x:c r="W165" t="str">
        <x:f>IF(A165="","",F165+K165+P165+V165)</x:f>
      </x:c>
      <x:c r="X165" t="str">
        <x:f>IF(W165="","",IF(W165&gt;='11_Config'!$B$9,"Selección prioritaria",IF(W165&gt;='11_Config'!$B$10,"Elegible / reserva",IF(W165&gt;='11_Config'!$B$11,"Elegible condicionado","No recomendado"))))</x:f>
      </x:c>
    </x:row>
    <x:row r="166">
      <x:c r="F166" t="str">
        <x:f>IF(A166="","",(C166*40%+D166*30%+E166*30%)*15%)</x:f>
      </x:c>
      <x:c r="K166" t="str">
        <x:f>IF(A166="","",(G166*35%+H166*35%+I166*20%+J166*10%)*55%)</x:f>
      </x:c>
      <x:c r="P166" t="str">
        <x:f>IF(A166="","",(L166*35%+M166*35%+N166*20%+O166*10%)*25%)</x:f>
      </x:c>
      <x:c r="S166" t="str">
        <x:f>IF(R166="","",IF(R166="Mujer",10,IF(R166="Hombre",'11_Config'!$B$13,0)))</x:f>
      </x:c>
      <x:c r="T166" t="str">
        <x:f>IF(R166="Hombre","REVISAR REGLA OFICIAL","")</x:f>
      </x:c>
      <x:c r="V166" t="str">
        <x:f>IF(A166="","",(Q166*40%+S166*30%+U166*30%)*5%)</x:f>
      </x:c>
      <x:c r="W166" t="str">
        <x:f>IF(A166="","",F166+K166+P166+V166)</x:f>
      </x:c>
      <x:c r="X166" t="str">
        <x:f>IF(W166="","",IF(W166&gt;='11_Config'!$B$9,"Selección prioritaria",IF(W166&gt;='11_Config'!$B$10,"Elegible / reserva",IF(W166&gt;='11_Config'!$B$11,"Elegible condicionado","No recomendado"))))</x:f>
      </x:c>
    </x:row>
    <x:row r="167">
      <x:c r="F167" t="str">
        <x:f>IF(A167="","",(C167*40%+D167*30%+E167*30%)*15%)</x:f>
      </x:c>
      <x:c r="K167" t="str">
        <x:f>IF(A167="","",(G167*35%+H167*35%+I167*20%+J167*10%)*55%)</x:f>
      </x:c>
      <x:c r="P167" t="str">
        <x:f>IF(A167="","",(L167*35%+M167*35%+N167*20%+O167*10%)*25%)</x:f>
      </x:c>
      <x:c r="S167" t="str">
        <x:f>IF(R167="","",IF(R167="Mujer",10,IF(R167="Hombre",'11_Config'!$B$13,0)))</x:f>
      </x:c>
      <x:c r="T167" t="str">
        <x:f>IF(R167="Hombre","REVISAR REGLA OFICIAL","")</x:f>
      </x:c>
      <x:c r="V167" t="str">
        <x:f>IF(A167="","",(Q167*40%+S167*30%+U167*30%)*5%)</x:f>
      </x:c>
      <x:c r="W167" t="str">
        <x:f>IF(A167="","",F167+K167+P167+V167)</x:f>
      </x:c>
      <x:c r="X167" t="str">
        <x:f>IF(W167="","",IF(W167&gt;='11_Config'!$B$9,"Selección prioritaria",IF(W167&gt;='11_Config'!$B$10,"Elegible / reserva",IF(W167&gt;='11_Config'!$B$11,"Elegible condicionado","No recomendado"))))</x:f>
      </x:c>
    </x:row>
    <x:row r="168">
      <x:c r="F168" t="str">
        <x:f>IF(A168="","",(C168*40%+D168*30%+E168*30%)*15%)</x:f>
      </x:c>
      <x:c r="K168" t="str">
        <x:f>IF(A168="","",(G168*35%+H168*35%+I168*20%+J168*10%)*55%)</x:f>
      </x:c>
      <x:c r="P168" t="str">
        <x:f>IF(A168="","",(L168*35%+M168*35%+N168*20%+O168*10%)*25%)</x:f>
      </x:c>
      <x:c r="S168" t="str">
        <x:f>IF(R168="","",IF(R168="Mujer",10,IF(R168="Hombre",'11_Config'!$B$13,0)))</x:f>
      </x:c>
      <x:c r="T168" t="str">
        <x:f>IF(R168="Hombre","REVISAR REGLA OFICIAL","")</x:f>
      </x:c>
      <x:c r="V168" t="str">
        <x:f>IF(A168="","",(Q168*40%+S168*30%+U168*30%)*5%)</x:f>
      </x:c>
      <x:c r="W168" t="str">
        <x:f>IF(A168="","",F168+K168+P168+V168)</x:f>
      </x:c>
      <x:c r="X168" t="str">
        <x:f>IF(W168="","",IF(W168&gt;='11_Config'!$B$9,"Selección prioritaria",IF(W168&gt;='11_Config'!$B$10,"Elegible / reserva",IF(W168&gt;='11_Config'!$B$11,"Elegible condicionado","No recomendado"))))</x:f>
      </x:c>
    </x:row>
    <x:row r="169">
      <x:c r="F169" t="str">
        <x:f>IF(A169="","",(C169*40%+D169*30%+E169*30%)*15%)</x:f>
      </x:c>
      <x:c r="K169" t="str">
        <x:f>IF(A169="","",(G169*35%+H169*35%+I169*20%+J169*10%)*55%)</x:f>
      </x:c>
      <x:c r="P169" t="str">
        <x:f>IF(A169="","",(L169*35%+M169*35%+N169*20%+O169*10%)*25%)</x:f>
      </x:c>
      <x:c r="S169" t="str">
        <x:f>IF(R169="","",IF(R169="Mujer",10,IF(R169="Hombre",'11_Config'!$B$13,0)))</x:f>
      </x:c>
      <x:c r="T169" t="str">
        <x:f>IF(R169="Hombre","REVISAR REGLA OFICIAL","")</x:f>
      </x:c>
      <x:c r="V169" t="str">
        <x:f>IF(A169="","",(Q169*40%+S169*30%+U169*30%)*5%)</x:f>
      </x:c>
      <x:c r="W169" t="str">
        <x:f>IF(A169="","",F169+K169+P169+V169)</x:f>
      </x:c>
      <x:c r="X169" t="str">
        <x:f>IF(W169="","",IF(W169&gt;='11_Config'!$B$9,"Selección prioritaria",IF(W169&gt;='11_Config'!$B$10,"Elegible / reserva",IF(W169&gt;='11_Config'!$B$11,"Elegible condicionado","No recomendado"))))</x:f>
      </x:c>
    </x:row>
    <x:row r="170">
      <x:c r="F170" t="str">
        <x:f>IF(A170="","",(C170*40%+D170*30%+E170*30%)*15%)</x:f>
      </x:c>
      <x:c r="K170" t="str">
        <x:f>IF(A170="","",(G170*35%+H170*35%+I170*20%+J170*10%)*55%)</x:f>
      </x:c>
      <x:c r="P170" t="str">
        <x:f>IF(A170="","",(L170*35%+M170*35%+N170*20%+O170*10%)*25%)</x:f>
      </x:c>
      <x:c r="S170" t="str">
        <x:f>IF(R170="","",IF(R170="Mujer",10,IF(R170="Hombre",'11_Config'!$B$13,0)))</x:f>
      </x:c>
      <x:c r="T170" t="str">
        <x:f>IF(R170="Hombre","REVISAR REGLA OFICIAL","")</x:f>
      </x:c>
      <x:c r="V170" t="str">
        <x:f>IF(A170="","",(Q170*40%+S170*30%+U170*30%)*5%)</x:f>
      </x:c>
      <x:c r="W170" t="str">
        <x:f>IF(A170="","",F170+K170+P170+V170)</x:f>
      </x:c>
      <x:c r="X170" t="str">
        <x:f>IF(W170="","",IF(W170&gt;='11_Config'!$B$9,"Selección prioritaria",IF(W170&gt;='11_Config'!$B$10,"Elegible / reserva",IF(W170&gt;='11_Config'!$B$11,"Elegible condicionado","No recomendado"))))</x:f>
      </x:c>
    </x:row>
    <x:row r="171">
      <x:c r="F171" t="str">
        <x:f>IF(A171="","",(C171*40%+D171*30%+E171*30%)*15%)</x:f>
      </x:c>
      <x:c r="K171" t="str">
        <x:f>IF(A171="","",(G171*35%+H171*35%+I171*20%+J171*10%)*55%)</x:f>
      </x:c>
      <x:c r="P171" t="str">
        <x:f>IF(A171="","",(L171*35%+M171*35%+N171*20%+O171*10%)*25%)</x:f>
      </x:c>
      <x:c r="S171" t="str">
        <x:f>IF(R171="","",IF(R171="Mujer",10,IF(R171="Hombre",'11_Config'!$B$13,0)))</x:f>
      </x:c>
      <x:c r="T171" t="str">
        <x:f>IF(R171="Hombre","REVISAR REGLA OFICIAL","")</x:f>
      </x:c>
      <x:c r="V171" t="str">
        <x:f>IF(A171="","",(Q171*40%+S171*30%+U171*30%)*5%)</x:f>
      </x:c>
      <x:c r="W171" t="str">
        <x:f>IF(A171="","",F171+K171+P171+V171)</x:f>
      </x:c>
      <x:c r="X171" t="str">
        <x:f>IF(W171="","",IF(W171&gt;='11_Config'!$B$9,"Selección prioritaria",IF(W171&gt;='11_Config'!$B$10,"Elegible / reserva",IF(W171&gt;='11_Config'!$B$11,"Elegible condicionado","No recomendado"))))</x:f>
      </x:c>
    </x:row>
    <x:row r="172">
      <x:c r="F172" t="str">
        <x:f>IF(A172="","",(C172*40%+D172*30%+E172*30%)*15%)</x:f>
      </x:c>
      <x:c r="K172" t="str">
        <x:f>IF(A172="","",(G172*35%+H172*35%+I172*20%+J172*10%)*55%)</x:f>
      </x:c>
      <x:c r="P172" t="str">
        <x:f>IF(A172="","",(L172*35%+M172*35%+N172*20%+O172*10%)*25%)</x:f>
      </x:c>
      <x:c r="S172" t="str">
        <x:f>IF(R172="","",IF(R172="Mujer",10,IF(R172="Hombre",'11_Config'!$B$13,0)))</x:f>
      </x:c>
      <x:c r="T172" t="str">
        <x:f>IF(R172="Hombre","REVISAR REGLA OFICIAL","")</x:f>
      </x:c>
      <x:c r="V172" t="str">
        <x:f>IF(A172="","",(Q172*40%+S172*30%+U172*30%)*5%)</x:f>
      </x:c>
      <x:c r="W172" t="str">
        <x:f>IF(A172="","",F172+K172+P172+V172)</x:f>
      </x:c>
      <x:c r="X172" t="str">
        <x:f>IF(W172="","",IF(W172&gt;='11_Config'!$B$9,"Selección prioritaria",IF(W172&gt;='11_Config'!$B$10,"Elegible / reserva",IF(W172&gt;='11_Config'!$B$11,"Elegible condicionado","No recomendado"))))</x:f>
      </x:c>
    </x:row>
    <x:row r="173">
      <x:c r="F173" t="str">
        <x:f>IF(A173="","",(C173*40%+D173*30%+E173*30%)*15%)</x:f>
      </x:c>
      <x:c r="K173" t="str">
        <x:f>IF(A173="","",(G173*35%+H173*35%+I173*20%+J173*10%)*55%)</x:f>
      </x:c>
      <x:c r="P173" t="str">
        <x:f>IF(A173="","",(L173*35%+M173*35%+N173*20%+O173*10%)*25%)</x:f>
      </x:c>
      <x:c r="S173" t="str">
        <x:f>IF(R173="","",IF(R173="Mujer",10,IF(R173="Hombre",'11_Config'!$B$13,0)))</x:f>
      </x:c>
      <x:c r="T173" t="str">
        <x:f>IF(R173="Hombre","REVISAR REGLA OFICIAL","")</x:f>
      </x:c>
      <x:c r="V173" t="str">
        <x:f>IF(A173="","",(Q173*40%+S173*30%+U173*30%)*5%)</x:f>
      </x:c>
      <x:c r="W173" t="str">
        <x:f>IF(A173="","",F173+K173+P173+V173)</x:f>
      </x:c>
      <x:c r="X173" t="str">
        <x:f>IF(W173="","",IF(W173&gt;='11_Config'!$B$9,"Selección prioritaria",IF(W173&gt;='11_Config'!$B$10,"Elegible / reserva",IF(W173&gt;='11_Config'!$B$11,"Elegible condicionado","No recomendado"))))</x:f>
      </x:c>
    </x:row>
    <x:row r="174">
      <x:c r="F174" t="str">
        <x:f>IF(A174="","",(C174*40%+D174*30%+E174*30%)*15%)</x:f>
      </x:c>
      <x:c r="K174" t="str">
        <x:f>IF(A174="","",(G174*35%+H174*35%+I174*20%+J174*10%)*55%)</x:f>
      </x:c>
      <x:c r="P174" t="str">
        <x:f>IF(A174="","",(L174*35%+M174*35%+N174*20%+O174*10%)*25%)</x:f>
      </x:c>
      <x:c r="S174" t="str">
        <x:f>IF(R174="","",IF(R174="Mujer",10,IF(R174="Hombre",'11_Config'!$B$13,0)))</x:f>
      </x:c>
      <x:c r="T174" t="str">
        <x:f>IF(R174="Hombre","REVISAR REGLA OFICIAL","")</x:f>
      </x:c>
      <x:c r="V174" t="str">
        <x:f>IF(A174="","",(Q174*40%+S174*30%+U174*30%)*5%)</x:f>
      </x:c>
      <x:c r="W174" t="str">
        <x:f>IF(A174="","",F174+K174+P174+V174)</x:f>
      </x:c>
      <x:c r="X174" t="str">
        <x:f>IF(W174="","",IF(W174&gt;='11_Config'!$B$9,"Selección prioritaria",IF(W174&gt;='11_Config'!$B$10,"Elegible / reserva",IF(W174&gt;='11_Config'!$B$11,"Elegible condicionado","No recomendado"))))</x:f>
      </x:c>
    </x:row>
    <x:row r="175">
      <x:c r="F175" t="str">
        <x:f>IF(A175="","",(C175*40%+D175*30%+E175*30%)*15%)</x:f>
      </x:c>
      <x:c r="K175" t="str">
        <x:f>IF(A175="","",(G175*35%+H175*35%+I175*20%+J175*10%)*55%)</x:f>
      </x:c>
      <x:c r="P175" t="str">
        <x:f>IF(A175="","",(L175*35%+M175*35%+N175*20%+O175*10%)*25%)</x:f>
      </x:c>
      <x:c r="S175" t="str">
        <x:f>IF(R175="","",IF(R175="Mujer",10,IF(R175="Hombre",'11_Config'!$B$13,0)))</x:f>
      </x:c>
      <x:c r="T175" t="str">
        <x:f>IF(R175="Hombre","REVISAR REGLA OFICIAL","")</x:f>
      </x:c>
      <x:c r="V175" t="str">
        <x:f>IF(A175="","",(Q175*40%+S175*30%+U175*30%)*5%)</x:f>
      </x:c>
      <x:c r="W175" t="str">
        <x:f>IF(A175="","",F175+K175+P175+V175)</x:f>
      </x:c>
      <x:c r="X175" t="str">
        <x:f>IF(W175="","",IF(W175&gt;='11_Config'!$B$9,"Selección prioritaria",IF(W175&gt;='11_Config'!$B$10,"Elegible / reserva",IF(W175&gt;='11_Config'!$B$11,"Elegible condicionado","No recomendado"))))</x:f>
      </x:c>
    </x:row>
    <x:row r="176">
      <x:c r="F176" t="str">
        <x:f>IF(A176="","",(C176*40%+D176*30%+E176*30%)*15%)</x:f>
      </x:c>
      <x:c r="K176" t="str">
        <x:f>IF(A176="","",(G176*35%+H176*35%+I176*20%+J176*10%)*55%)</x:f>
      </x:c>
      <x:c r="P176" t="str">
        <x:f>IF(A176="","",(L176*35%+M176*35%+N176*20%+O176*10%)*25%)</x:f>
      </x:c>
      <x:c r="S176" t="str">
        <x:f>IF(R176="","",IF(R176="Mujer",10,IF(R176="Hombre",'11_Config'!$B$13,0)))</x:f>
      </x:c>
      <x:c r="T176" t="str">
        <x:f>IF(R176="Hombre","REVISAR REGLA OFICIAL","")</x:f>
      </x:c>
      <x:c r="V176" t="str">
        <x:f>IF(A176="","",(Q176*40%+S176*30%+U176*30%)*5%)</x:f>
      </x:c>
      <x:c r="W176" t="str">
        <x:f>IF(A176="","",F176+K176+P176+V176)</x:f>
      </x:c>
      <x:c r="X176" t="str">
        <x:f>IF(W176="","",IF(W176&gt;='11_Config'!$B$9,"Selección prioritaria",IF(W176&gt;='11_Config'!$B$10,"Elegible / reserva",IF(W176&gt;='11_Config'!$B$11,"Elegible condicionado","No recomendado"))))</x:f>
      </x:c>
    </x:row>
    <x:row r="177">
      <x:c r="F177" t="str">
        <x:f>IF(A177="","",(C177*40%+D177*30%+E177*30%)*15%)</x:f>
      </x:c>
      <x:c r="K177" t="str">
        <x:f>IF(A177="","",(G177*35%+H177*35%+I177*20%+J177*10%)*55%)</x:f>
      </x:c>
      <x:c r="P177" t="str">
        <x:f>IF(A177="","",(L177*35%+M177*35%+N177*20%+O177*10%)*25%)</x:f>
      </x:c>
      <x:c r="S177" t="str">
        <x:f>IF(R177="","",IF(R177="Mujer",10,IF(R177="Hombre",'11_Config'!$B$13,0)))</x:f>
      </x:c>
      <x:c r="T177" t="str">
        <x:f>IF(R177="Hombre","REVISAR REGLA OFICIAL","")</x:f>
      </x:c>
      <x:c r="V177" t="str">
        <x:f>IF(A177="","",(Q177*40%+S177*30%+U177*30%)*5%)</x:f>
      </x:c>
      <x:c r="W177" t="str">
        <x:f>IF(A177="","",F177+K177+P177+V177)</x:f>
      </x:c>
      <x:c r="X177" t="str">
        <x:f>IF(W177="","",IF(W177&gt;='11_Config'!$B$9,"Selección prioritaria",IF(W177&gt;='11_Config'!$B$10,"Elegible / reserva",IF(W177&gt;='11_Config'!$B$11,"Elegible condicionado","No recomendado"))))</x:f>
      </x:c>
    </x:row>
    <x:row r="178">
      <x:c r="F178" t="str">
        <x:f>IF(A178="","",(C178*40%+D178*30%+E178*30%)*15%)</x:f>
      </x:c>
      <x:c r="K178" t="str">
        <x:f>IF(A178="","",(G178*35%+H178*35%+I178*20%+J178*10%)*55%)</x:f>
      </x:c>
      <x:c r="P178" t="str">
        <x:f>IF(A178="","",(L178*35%+M178*35%+N178*20%+O178*10%)*25%)</x:f>
      </x:c>
      <x:c r="S178" t="str">
        <x:f>IF(R178="","",IF(R178="Mujer",10,IF(R178="Hombre",'11_Config'!$B$13,0)))</x:f>
      </x:c>
      <x:c r="T178" t="str">
        <x:f>IF(R178="Hombre","REVISAR REGLA OFICIAL","")</x:f>
      </x:c>
      <x:c r="V178" t="str">
        <x:f>IF(A178="","",(Q178*40%+S178*30%+U178*30%)*5%)</x:f>
      </x:c>
      <x:c r="W178" t="str">
        <x:f>IF(A178="","",F178+K178+P178+V178)</x:f>
      </x:c>
      <x:c r="X178" t="str">
        <x:f>IF(W178="","",IF(W178&gt;='11_Config'!$B$9,"Selección prioritaria",IF(W178&gt;='11_Config'!$B$10,"Elegible / reserva",IF(W178&gt;='11_Config'!$B$11,"Elegible condicionado","No recomendado"))))</x:f>
      </x:c>
    </x:row>
    <x:row r="179">
      <x:c r="F179" t="str">
        <x:f>IF(A179="","",(C179*40%+D179*30%+E179*30%)*15%)</x:f>
      </x:c>
      <x:c r="K179" t="str">
        <x:f>IF(A179="","",(G179*35%+H179*35%+I179*20%+J179*10%)*55%)</x:f>
      </x:c>
      <x:c r="P179" t="str">
        <x:f>IF(A179="","",(L179*35%+M179*35%+N179*20%+O179*10%)*25%)</x:f>
      </x:c>
      <x:c r="S179" t="str">
        <x:f>IF(R179="","",IF(R179="Mujer",10,IF(R179="Hombre",'11_Config'!$B$13,0)))</x:f>
      </x:c>
      <x:c r="T179" t="str">
        <x:f>IF(R179="Hombre","REVISAR REGLA OFICIAL","")</x:f>
      </x:c>
      <x:c r="V179" t="str">
        <x:f>IF(A179="","",(Q179*40%+S179*30%+U179*30%)*5%)</x:f>
      </x:c>
      <x:c r="W179" t="str">
        <x:f>IF(A179="","",F179+K179+P179+V179)</x:f>
      </x:c>
      <x:c r="X179" t="str">
        <x:f>IF(W179="","",IF(W179&gt;='11_Config'!$B$9,"Selección prioritaria",IF(W179&gt;='11_Config'!$B$10,"Elegible / reserva",IF(W179&gt;='11_Config'!$B$11,"Elegible condicionado","No recomendado"))))</x:f>
      </x:c>
    </x:row>
    <x:row r="180">
      <x:c r="F180" t="str">
        <x:f>IF(A180="","",(C180*40%+D180*30%+E180*30%)*15%)</x:f>
      </x:c>
      <x:c r="K180" t="str">
        <x:f>IF(A180="","",(G180*35%+H180*35%+I180*20%+J180*10%)*55%)</x:f>
      </x:c>
      <x:c r="P180" t="str">
        <x:f>IF(A180="","",(L180*35%+M180*35%+N180*20%+O180*10%)*25%)</x:f>
      </x:c>
      <x:c r="S180" t="str">
        <x:f>IF(R180="","",IF(R180="Mujer",10,IF(R180="Hombre",'11_Config'!$B$13,0)))</x:f>
      </x:c>
      <x:c r="T180" t="str">
        <x:f>IF(R180="Hombre","REVISAR REGLA OFICIAL","")</x:f>
      </x:c>
      <x:c r="V180" t="str">
        <x:f>IF(A180="","",(Q180*40%+S180*30%+U180*30%)*5%)</x:f>
      </x:c>
      <x:c r="W180" t="str">
        <x:f>IF(A180="","",F180+K180+P180+V180)</x:f>
      </x:c>
      <x:c r="X180" t="str">
        <x:f>IF(W180="","",IF(W180&gt;='11_Config'!$B$9,"Selección prioritaria",IF(W180&gt;='11_Config'!$B$10,"Elegible / reserva",IF(W180&gt;='11_Config'!$B$11,"Elegible condicionado","No recomendado"))))</x:f>
      </x:c>
    </x:row>
    <x:row r="181">
      <x:c r="F181" t="str">
        <x:f>IF(A181="","",(C181*40%+D181*30%+E181*30%)*15%)</x:f>
      </x:c>
      <x:c r="K181" t="str">
        <x:f>IF(A181="","",(G181*35%+H181*35%+I181*20%+J181*10%)*55%)</x:f>
      </x:c>
      <x:c r="P181" t="str">
        <x:f>IF(A181="","",(L181*35%+M181*35%+N181*20%+O181*10%)*25%)</x:f>
      </x:c>
      <x:c r="S181" t="str">
        <x:f>IF(R181="","",IF(R181="Mujer",10,IF(R181="Hombre",'11_Config'!$B$13,0)))</x:f>
      </x:c>
      <x:c r="T181" t="str">
        <x:f>IF(R181="Hombre","REVISAR REGLA OFICIAL","")</x:f>
      </x:c>
      <x:c r="V181" t="str">
        <x:f>IF(A181="","",(Q181*40%+S181*30%+U181*30%)*5%)</x:f>
      </x:c>
      <x:c r="W181" t="str">
        <x:f>IF(A181="","",F181+K181+P181+V181)</x:f>
      </x:c>
      <x:c r="X181" t="str">
        <x:f>IF(W181="","",IF(W181&gt;='11_Config'!$B$9,"Selección prioritaria",IF(W181&gt;='11_Config'!$B$10,"Elegible / reserva",IF(W181&gt;='11_Config'!$B$11,"Elegible condicionado","No recomendado"))))</x:f>
      </x:c>
    </x:row>
    <x:row r="182">
      <x:c r="F182" t="str">
        <x:f>IF(A182="","",(C182*40%+D182*30%+E182*30%)*15%)</x:f>
      </x:c>
      <x:c r="K182" t="str">
        <x:f>IF(A182="","",(G182*35%+H182*35%+I182*20%+J182*10%)*55%)</x:f>
      </x:c>
      <x:c r="P182" t="str">
        <x:f>IF(A182="","",(L182*35%+M182*35%+N182*20%+O182*10%)*25%)</x:f>
      </x:c>
      <x:c r="S182" t="str">
        <x:f>IF(R182="","",IF(R182="Mujer",10,IF(R182="Hombre",'11_Config'!$B$13,0)))</x:f>
      </x:c>
      <x:c r="T182" t="str">
        <x:f>IF(R182="Hombre","REVISAR REGLA OFICIAL","")</x:f>
      </x:c>
      <x:c r="V182" t="str">
        <x:f>IF(A182="","",(Q182*40%+S182*30%+U182*30%)*5%)</x:f>
      </x:c>
      <x:c r="W182" t="str">
        <x:f>IF(A182="","",F182+K182+P182+V182)</x:f>
      </x:c>
      <x:c r="X182" t="str">
        <x:f>IF(W182="","",IF(W182&gt;='11_Config'!$B$9,"Selección prioritaria",IF(W182&gt;='11_Config'!$B$10,"Elegible / reserva",IF(W182&gt;='11_Config'!$B$11,"Elegible condicionado","No recomendado"))))</x:f>
      </x:c>
    </x:row>
    <x:row r="183">
      <x:c r="F183" t="str">
        <x:f>IF(A183="","",(C183*40%+D183*30%+E183*30%)*15%)</x:f>
      </x:c>
      <x:c r="K183" t="str">
        <x:f>IF(A183="","",(G183*35%+H183*35%+I183*20%+J183*10%)*55%)</x:f>
      </x:c>
      <x:c r="P183" t="str">
        <x:f>IF(A183="","",(L183*35%+M183*35%+N183*20%+O183*10%)*25%)</x:f>
      </x:c>
      <x:c r="S183" t="str">
        <x:f>IF(R183="","",IF(R183="Mujer",10,IF(R183="Hombre",'11_Config'!$B$13,0)))</x:f>
      </x:c>
      <x:c r="T183" t="str">
        <x:f>IF(R183="Hombre","REVISAR REGLA OFICIAL","")</x:f>
      </x:c>
      <x:c r="V183" t="str">
        <x:f>IF(A183="","",(Q183*40%+S183*30%+U183*30%)*5%)</x:f>
      </x:c>
      <x:c r="W183" t="str">
        <x:f>IF(A183="","",F183+K183+P183+V183)</x:f>
      </x:c>
      <x:c r="X183" t="str">
        <x:f>IF(W183="","",IF(W183&gt;='11_Config'!$B$9,"Selección prioritaria",IF(W183&gt;='11_Config'!$B$10,"Elegible / reserva",IF(W183&gt;='11_Config'!$B$11,"Elegible condicionado","No recomendado"))))</x:f>
      </x:c>
    </x:row>
    <x:row r="184">
      <x:c r="F184" t="str">
        <x:f>IF(A184="","",(C184*40%+D184*30%+E184*30%)*15%)</x:f>
      </x:c>
      <x:c r="K184" t="str">
        <x:f>IF(A184="","",(G184*35%+H184*35%+I184*20%+J184*10%)*55%)</x:f>
      </x:c>
      <x:c r="P184" t="str">
        <x:f>IF(A184="","",(L184*35%+M184*35%+N184*20%+O184*10%)*25%)</x:f>
      </x:c>
      <x:c r="S184" t="str">
        <x:f>IF(R184="","",IF(R184="Mujer",10,IF(R184="Hombre",'11_Config'!$B$13,0)))</x:f>
      </x:c>
      <x:c r="T184" t="str">
        <x:f>IF(R184="Hombre","REVISAR REGLA OFICIAL","")</x:f>
      </x:c>
      <x:c r="V184" t="str">
        <x:f>IF(A184="","",(Q184*40%+S184*30%+U184*30%)*5%)</x:f>
      </x:c>
      <x:c r="W184" t="str">
        <x:f>IF(A184="","",F184+K184+P184+V184)</x:f>
      </x:c>
      <x:c r="X184" t="str">
        <x:f>IF(W184="","",IF(W184&gt;='11_Config'!$B$9,"Selección prioritaria",IF(W184&gt;='11_Config'!$B$10,"Elegible / reserva",IF(W184&gt;='11_Config'!$B$11,"Elegible condicionado","No recomendado"))))</x:f>
      </x:c>
    </x:row>
    <x:row r="185">
      <x:c r="F185" t="str">
        <x:f>IF(A185="","",(C185*40%+D185*30%+E185*30%)*15%)</x:f>
      </x:c>
      <x:c r="K185" t="str">
        <x:f>IF(A185="","",(G185*35%+H185*35%+I185*20%+J185*10%)*55%)</x:f>
      </x:c>
      <x:c r="P185" t="str">
        <x:f>IF(A185="","",(L185*35%+M185*35%+N185*20%+O185*10%)*25%)</x:f>
      </x:c>
      <x:c r="S185" t="str">
        <x:f>IF(R185="","",IF(R185="Mujer",10,IF(R185="Hombre",'11_Config'!$B$13,0)))</x:f>
      </x:c>
      <x:c r="T185" t="str">
        <x:f>IF(R185="Hombre","REVISAR REGLA OFICIAL","")</x:f>
      </x:c>
      <x:c r="V185" t="str">
        <x:f>IF(A185="","",(Q185*40%+S185*30%+U185*30%)*5%)</x:f>
      </x:c>
      <x:c r="W185" t="str">
        <x:f>IF(A185="","",F185+K185+P185+V185)</x:f>
      </x:c>
      <x:c r="X185" t="str">
        <x:f>IF(W185="","",IF(W185&gt;='11_Config'!$B$9,"Selección prioritaria",IF(W185&gt;='11_Config'!$B$10,"Elegible / reserva",IF(W185&gt;='11_Config'!$B$11,"Elegible condicionado","No recomendado"))))</x:f>
      </x:c>
    </x:row>
    <x:row r="186">
      <x:c r="F186" t="str">
        <x:f>IF(A186="","",(C186*40%+D186*30%+E186*30%)*15%)</x:f>
      </x:c>
      <x:c r="K186" t="str">
        <x:f>IF(A186="","",(G186*35%+H186*35%+I186*20%+J186*10%)*55%)</x:f>
      </x:c>
      <x:c r="P186" t="str">
        <x:f>IF(A186="","",(L186*35%+M186*35%+N186*20%+O186*10%)*25%)</x:f>
      </x:c>
      <x:c r="S186" t="str">
        <x:f>IF(R186="","",IF(R186="Mujer",10,IF(R186="Hombre",'11_Config'!$B$13,0)))</x:f>
      </x:c>
      <x:c r="T186" t="str">
        <x:f>IF(R186="Hombre","REVISAR REGLA OFICIAL","")</x:f>
      </x:c>
      <x:c r="V186" t="str">
        <x:f>IF(A186="","",(Q186*40%+S186*30%+U186*30%)*5%)</x:f>
      </x:c>
      <x:c r="W186" t="str">
        <x:f>IF(A186="","",F186+K186+P186+V186)</x:f>
      </x:c>
      <x:c r="X186" t="str">
        <x:f>IF(W186="","",IF(W186&gt;='11_Config'!$B$9,"Selección prioritaria",IF(W186&gt;='11_Config'!$B$10,"Elegible / reserva",IF(W186&gt;='11_Config'!$B$11,"Elegible condicionado","No recomendado"))))</x:f>
      </x:c>
    </x:row>
    <x:row r="187">
      <x:c r="F187" t="str">
        <x:f>IF(A187="","",(C187*40%+D187*30%+E187*30%)*15%)</x:f>
      </x:c>
      <x:c r="K187" t="str">
        <x:f>IF(A187="","",(G187*35%+H187*35%+I187*20%+J187*10%)*55%)</x:f>
      </x:c>
      <x:c r="P187" t="str">
        <x:f>IF(A187="","",(L187*35%+M187*35%+N187*20%+O187*10%)*25%)</x:f>
      </x:c>
      <x:c r="S187" t="str">
        <x:f>IF(R187="","",IF(R187="Mujer",10,IF(R187="Hombre",'11_Config'!$B$13,0)))</x:f>
      </x:c>
      <x:c r="T187" t="str">
        <x:f>IF(R187="Hombre","REVISAR REGLA OFICIAL","")</x:f>
      </x:c>
      <x:c r="V187" t="str">
        <x:f>IF(A187="","",(Q187*40%+S187*30%+U187*30%)*5%)</x:f>
      </x:c>
      <x:c r="W187" t="str">
        <x:f>IF(A187="","",F187+K187+P187+V187)</x:f>
      </x:c>
      <x:c r="X187" t="str">
        <x:f>IF(W187="","",IF(W187&gt;='11_Config'!$B$9,"Selección prioritaria",IF(W187&gt;='11_Config'!$B$10,"Elegible / reserva",IF(W187&gt;='11_Config'!$B$11,"Elegible condicionado","No recomendado"))))</x:f>
      </x:c>
    </x:row>
    <x:row r="188">
      <x:c r="F188" t="str">
        <x:f>IF(A188="","",(C188*40%+D188*30%+E188*30%)*15%)</x:f>
      </x:c>
      <x:c r="K188" t="str">
        <x:f>IF(A188="","",(G188*35%+H188*35%+I188*20%+J188*10%)*55%)</x:f>
      </x:c>
      <x:c r="P188" t="str">
        <x:f>IF(A188="","",(L188*35%+M188*35%+N188*20%+O188*10%)*25%)</x:f>
      </x:c>
      <x:c r="S188" t="str">
        <x:f>IF(R188="","",IF(R188="Mujer",10,IF(R188="Hombre",'11_Config'!$B$13,0)))</x:f>
      </x:c>
      <x:c r="T188" t="str">
        <x:f>IF(R188="Hombre","REVISAR REGLA OFICIAL","")</x:f>
      </x:c>
      <x:c r="V188" t="str">
        <x:f>IF(A188="","",(Q188*40%+S188*30%+U188*30%)*5%)</x:f>
      </x:c>
      <x:c r="W188" t="str">
        <x:f>IF(A188="","",F188+K188+P188+V188)</x:f>
      </x:c>
      <x:c r="X188" t="str">
        <x:f>IF(W188="","",IF(W188&gt;='11_Config'!$B$9,"Selección prioritaria",IF(W188&gt;='11_Config'!$B$10,"Elegible / reserva",IF(W188&gt;='11_Config'!$B$11,"Elegible condicionado","No recomendado"))))</x:f>
      </x:c>
    </x:row>
    <x:row r="189">
      <x:c r="F189" t="str">
        <x:f>IF(A189="","",(C189*40%+D189*30%+E189*30%)*15%)</x:f>
      </x:c>
      <x:c r="K189" t="str">
        <x:f>IF(A189="","",(G189*35%+H189*35%+I189*20%+J189*10%)*55%)</x:f>
      </x:c>
      <x:c r="P189" t="str">
        <x:f>IF(A189="","",(L189*35%+M189*35%+N189*20%+O189*10%)*25%)</x:f>
      </x:c>
      <x:c r="S189" t="str">
        <x:f>IF(R189="","",IF(R189="Mujer",10,IF(R189="Hombre",'11_Config'!$B$13,0)))</x:f>
      </x:c>
      <x:c r="T189" t="str">
        <x:f>IF(R189="Hombre","REVISAR REGLA OFICIAL","")</x:f>
      </x:c>
      <x:c r="V189" t="str">
        <x:f>IF(A189="","",(Q189*40%+S189*30%+U189*30%)*5%)</x:f>
      </x:c>
      <x:c r="W189" t="str">
        <x:f>IF(A189="","",F189+K189+P189+V189)</x:f>
      </x:c>
      <x:c r="X189" t="str">
        <x:f>IF(W189="","",IF(W189&gt;='11_Config'!$B$9,"Selección prioritaria",IF(W189&gt;='11_Config'!$B$10,"Elegible / reserva",IF(W189&gt;='11_Config'!$B$11,"Elegible condicionado","No recomendado"))))</x:f>
      </x:c>
    </x:row>
    <x:row r="190">
      <x:c r="F190" t="str">
        <x:f>IF(A190="","",(C190*40%+D190*30%+E190*30%)*15%)</x:f>
      </x:c>
      <x:c r="K190" t="str">
        <x:f>IF(A190="","",(G190*35%+H190*35%+I190*20%+J190*10%)*55%)</x:f>
      </x:c>
      <x:c r="P190" t="str">
        <x:f>IF(A190="","",(L190*35%+M190*35%+N190*20%+O190*10%)*25%)</x:f>
      </x:c>
      <x:c r="S190" t="str">
        <x:f>IF(R190="","",IF(R190="Mujer",10,IF(R190="Hombre",'11_Config'!$B$13,0)))</x:f>
      </x:c>
      <x:c r="T190" t="str">
        <x:f>IF(R190="Hombre","REVISAR REGLA OFICIAL","")</x:f>
      </x:c>
      <x:c r="V190" t="str">
        <x:f>IF(A190="","",(Q190*40%+S190*30%+U190*30%)*5%)</x:f>
      </x:c>
      <x:c r="W190" t="str">
        <x:f>IF(A190="","",F190+K190+P190+V190)</x:f>
      </x:c>
      <x:c r="X190" t="str">
        <x:f>IF(W190="","",IF(W190&gt;='11_Config'!$B$9,"Selección prioritaria",IF(W190&gt;='11_Config'!$B$10,"Elegible / reserva",IF(W190&gt;='11_Config'!$B$11,"Elegible condicionado","No recomendado"))))</x:f>
      </x:c>
    </x:row>
    <x:row r="191">
      <x:c r="F191" t="str">
        <x:f>IF(A191="","",(C191*40%+D191*30%+E191*30%)*15%)</x:f>
      </x:c>
      <x:c r="K191" t="str">
        <x:f>IF(A191="","",(G191*35%+H191*35%+I191*20%+J191*10%)*55%)</x:f>
      </x:c>
      <x:c r="P191" t="str">
        <x:f>IF(A191="","",(L191*35%+M191*35%+N191*20%+O191*10%)*25%)</x:f>
      </x:c>
      <x:c r="S191" t="str">
        <x:f>IF(R191="","",IF(R191="Mujer",10,IF(R191="Hombre",'11_Config'!$B$13,0)))</x:f>
      </x:c>
      <x:c r="T191" t="str">
        <x:f>IF(R191="Hombre","REVISAR REGLA OFICIAL","")</x:f>
      </x:c>
      <x:c r="V191" t="str">
        <x:f>IF(A191="","",(Q191*40%+S191*30%+U191*30%)*5%)</x:f>
      </x:c>
      <x:c r="W191" t="str">
        <x:f>IF(A191="","",F191+K191+P191+V191)</x:f>
      </x:c>
      <x:c r="X191" t="str">
        <x:f>IF(W191="","",IF(W191&gt;='11_Config'!$B$9,"Selección prioritaria",IF(W191&gt;='11_Config'!$B$10,"Elegible / reserva",IF(W191&gt;='11_Config'!$B$11,"Elegible condicionado","No recomendado"))))</x:f>
      </x:c>
    </x:row>
    <x:row r="192">
      <x:c r="F192" t="str">
        <x:f>IF(A192="","",(C192*40%+D192*30%+E192*30%)*15%)</x:f>
      </x:c>
      <x:c r="K192" t="str">
        <x:f>IF(A192="","",(G192*35%+H192*35%+I192*20%+J192*10%)*55%)</x:f>
      </x:c>
      <x:c r="P192" t="str">
        <x:f>IF(A192="","",(L192*35%+M192*35%+N192*20%+O192*10%)*25%)</x:f>
      </x:c>
      <x:c r="S192" t="str">
        <x:f>IF(R192="","",IF(R192="Mujer",10,IF(R192="Hombre",'11_Config'!$B$13,0)))</x:f>
      </x:c>
      <x:c r="T192" t="str">
        <x:f>IF(R192="Hombre","REVISAR REGLA OFICIAL","")</x:f>
      </x:c>
      <x:c r="V192" t="str">
        <x:f>IF(A192="","",(Q192*40%+S192*30%+U192*30%)*5%)</x:f>
      </x:c>
      <x:c r="W192" t="str">
        <x:f>IF(A192="","",F192+K192+P192+V192)</x:f>
      </x:c>
      <x:c r="X192" t="str">
        <x:f>IF(W192="","",IF(W192&gt;='11_Config'!$B$9,"Selección prioritaria",IF(W192&gt;='11_Config'!$B$10,"Elegible / reserva",IF(W192&gt;='11_Config'!$B$11,"Elegible condicionado","No recomendado"))))</x:f>
      </x:c>
    </x:row>
    <x:row r="193">
      <x:c r="F193" t="str">
        <x:f>IF(A193="","",(C193*40%+D193*30%+E193*30%)*15%)</x:f>
      </x:c>
      <x:c r="K193" t="str">
        <x:f>IF(A193="","",(G193*35%+H193*35%+I193*20%+J193*10%)*55%)</x:f>
      </x:c>
      <x:c r="P193" t="str">
        <x:f>IF(A193="","",(L193*35%+M193*35%+N193*20%+O193*10%)*25%)</x:f>
      </x:c>
      <x:c r="S193" t="str">
        <x:f>IF(R193="","",IF(R193="Mujer",10,IF(R193="Hombre",'11_Config'!$B$13,0)))</x:f>
      </x:c>
      <x:c r="T193" t="str">
        <x:f>IF(R193="Hombre","REVISAR REGLA OFICIAL","")</x:f>
      </x:c>
      <x:c r="V193" t="str">
        <x:f>IF(A193="","",(Q193*40%+S193*30%+U193*30%)*5%)</x:f>
      </x:c>
      <x:c r="W193" t="str">
        <x:f>IF(A193="","",F193+K193+P193+V193)</x:f>
      </x:c>
      <x:c r="X193" t="str">
        <x:f>IF(W193="","",IF(W193&gt;='11_Config'!$B$9,"Selección prioritaria",IF(W193&gt;='11_Config'!$B$10,"Elegible / reserva",IF(W193&gt;='11_Config'!$B$11,"Elegible condicionado","No recomendado"))))</x:f>
      </x:c>
    </x:row>
    <x:row r="194">
      <x:c r="F194" t="str">
        <x:f>IF(A194="","",(C194*40%+D194*30%+E194*30%)*15%)</x:f>
      </x:c>
      <x:c r="K194" t="str">
        <x:f>IF(A194="","",(G194*35%+H194*35%+I194*20%+J194*10%)*55%)</x:f>
      </x:c>
      <x:c r="P194" t="str">
        <x:f>IF(A194="","",(L194*35%+M194*35%+N194*20%+O194*10%)*25%)</x:f>
      </x:c>
      <x:c r="S194" t="str">
        <x:f>IF(R194="","",IF(R194="Mujer",10,IF(R194="Hombre",'11_Config'!$B$13,0)))</x:f>
      </x:c>
      <x:c r="T194" t="str">
        <x:f>IF(R194="Hombre","REVISAR REGLA OFICIAL","")</x:f>
      </x:c>
      <x:c r="V194" t="str">
        <x:f>IF(A194="","",(Q194*40%+S194*30%+U194*30%)*5%)</x:f>
      </x:c>
      <x:c r="W194" t="str">
        <x:f>IF(A194="","",F194+K194+P194+V194)</x:f>
      </x:c>
      <x:c r="X194" t="str">
        <x:f>IF(W194="","",IF(W194&gt;='11_Config'!$B$9,"Selección prioritaria",IF(W194&gt;='11_Config'!$B$10,"Elegible / reserva",IF(W194&gt;='11_Config'!$B$11,"Elegible condicionado","No recomendado"))))</x:f>
      </x:c>
    </x:row>
    <x:row r="195">
      <x:c r="F195" t="str">
        <x:f>IF(A195="","",(C195*40%+D195*30%+E195*30%)*15%)</x:f>
      </x:c>
      <x:c r="K195" t="str">
        <x:f>IF(A195="","",(G195*35%+H195*35%+I195*20%+J195*10%)*55%)</x:f>
      </x:c>
      <x:c r="P195" t="str">
        <x:f>IF(A195="","",(L195*35%+M195*35%+N195*20%+O195*10%)*25%)</x:f>
      </x:c>
      <x:c r="S195" t="str">
        <x:f>IF(R195="","",IF(R195="Mujer",10,IF(R195="Hombre",'11_Config'!$B$13,0)))</x:f>
      </x:c>
      <x:c r="T195" t="str">
        <x:f>IF(R195="Hombre","REVISAR REGLA OFICIAL","")</x:f>
      </x:c>
      <x:c r="V195" t="str">
        <x:f>IF(A195="","",(Q195*40%+S195*30%+U195*30%)*5%)</x:f>
      </x:c>
      <x:c r="W195" t="str">
        <x:f>IF(A195="","",F195+K195+P195+V195)</x:f>
      </x:c>
      <x:c r="X195" t="str">
        <x:f>IF(W195="","",IF(W195&gt;='11_Config'!$B$9,"Selección prioritaria",IF(W195&gt;='11_Config'!$B$10,"Elegible / reserva",IF(W195&gt;='11_Config'!$B$11,"Elegible condicionado","No recomendado"))))</x:f>
      </x:c>
    </x:row>
    <x:row r="196">
      <x:c r="F196" t="str">
        <x:f>IF(A196="","",(C196*40%+D196*30%+E196*30%)*15%)</x:f>
      </x:c>
      <x:c r="K196" t="str">
        <x:f>IF(A196="","",(G196*35%+H196*35%+I196*20%+J196*10%)*55%)</x:f>
      </x:c>
      <x:c r="P196" t="str">
        <x:f>IF(A196="","",(L196*35%+M196*35%+N196*20%+O196*10%)*25%)</x:f>
      </x:c>
      <x:c r="S196" t="str">
        <x:f>IF(R196="","",IF(R196="Mujer",10,IF(R196="Hombre",'11_Config'!$B$13,0)))</x:f>
      </x:c>
      <x:c r="T196" t="str">
        <x:f>IF(R196="Hombre","REVISAR REGLA OFICIAL","")</x:f>
      </x:c>
      <x:c r="V196" t="str">
        <x:f>IF(A196="","",(Q196*40%+S196*30%+U196*30%)*5%)</x:f>
      </x:c>
      <x:c r="W196" t="str">
        <x:f>IF(A196="","",F196+K196+P196+V196)</x:f>
      </x:c>
      <x:c r="X196" t="str">
        <x:f>IF(W196="","",IF(W196&gt;='11_Config'!$B$9,"Selección prioritaria",IF(W196&gt;='11_Config'!$B$10,"Elegible / reserva",IF(W196&gt;='11_Config'!$B$11,"Elegible condicionado","No recomendado"))))</x:f>
      </x:c>
    </x:row>
    <x:row r="197">
      <x:c r="F197" t="str">
        <x:f>IF(A197="","",(C197*40%+D197*30%+E197*30%)*15%)</x:f>
      </x:c>
      <x:c r="K197" t="str">
        <x:f>IF(A197="","",(G197*35%+H197*35%+I197*20%+J197*10%)*55%)</x:f>
      </x:c>
      <x:c r="P197" t="str">
        <x:f>IF(A197="","",(L197*35%+M197*35%+N197*20%+O197*10%)*25%)</x:f>
      </x:c>
      <x:c r="S197" t="str">
        <x:f>IF(R197="","",IF(R197="Mujer",10,IF(R197="Hombre",'11_Config'!$B$13,0)))</x:f>
      </x:c>
      <x:c r="T197" t="str">
        <x:f>IF(R197="Hombre","REVISAR REGLA OFICIAL","")</x:f>
      </x:c>
      <x:c r="V197" t="str">
        <x:f>IF(A197="","",(Q197*40%+S197*30%+U197*30%)*5%)</x:f>
      </x:c>
      <x:c r="W197" t="str">
        <x:f>IF(A197="","",F197+K197+P197+V197)</x:f>
      </x:c>
      <x:c r="X197" t="str">
        <x:f>IF(W197="","",IF(W197&gt;='11_Config'!$B$9,"Selección prioritaria",IF(W197&gt;='11_Config'!$B$10,"Elegible / reserva",IF(W197&gt;='11_Config'!$B$11,"Elegible condicionado","No recomendado"))))</x:f>
      </x:c>
    </x:row>
    <x:row r="198">
      <x:c r="F198" t="str">
        <x:f>IF(A198="","",(C198*40%+D198*30%+E198*30%)*15%)</x:f>
      </x:c>
      <x:c r="K198" t="str">
        <x:f>IF(A198="","",(G198*35%+H198*35%+I198*20%+J198*10%)*55%)</x:f>
      </x:c>
      <x:c r="P198" t="str">
        <x:f>IF(A198="","",(L198*35%+M198*35%+N198*20%+O198*10%)*25%)</x:f>
      </x:c>
      <x:c r="S198" t="str">
        <x:f>IF(R198="","",IF(R198="Mujer",10,IF(R198="Hombre",'11_Config'!$B$13,0)))</x:f>
      </x:c>
      <x:c r="T198" t="str">
        <x:f>IF(R198="Hombre","REVISAR REGLA OFICIAL","")</x:f>
      </x:c>
      <x:c r="V198" t="str">
        <x:f>IF(A198="","",(Q198*40%+S198*30%+U198*30%)*5%)</x:f>
      </x:c>
      <x:c r="W198" t="str">
        <x:f>IF(A198="","",F198+K198+P198+V198)</x:f>
      </x:c>
      <x:c r="X198" t="str">
        <x:f>IF(W198="","",IF(W198&gt;='11_Config'!$B$9,"Selección prioritaria",IF(W198&gt;='11_Config'!$B$10,"Elegible / reserva",IF(W198&gt;='11_Config'!$B$11,"Elegible condicionado","No recomendado"))))</x:f>
      </x:c>
    </x:row>
    <x:row r="199">
      <x:c r="F199" t="str">
        <x:f>IF(A199="","",(C199*40%+D199*30%+E199*30%)*15%)</x:f>
      </x:c>
      <x:c r="K199" t="str">
        <x:f>IF(A199="","",(G199*35%+H199*35%+I199*20%+J199*10%)*55%)</x:f>
      </x:c>
      <x:c r="P199" t="str">
        <x:f>IF(A199="","",(L199*35%+M199*35%+N199*20%+O199*10%)*25%)</x:f>
      </x:c>
      <x:c r="S199" t="str">
        <x:f>IF(R199="","",IF(R199="Mujer",10,IF(R199="Hombre",'11_Config'!$B$13,0)))</x:f>
      </x:c>
      <x:c r="T199" t="str">
        <x:f>IF(R199="Hombre","REVISAR REGLA OFICIAL","")</x:f>
      </x:c>
      <x:c r="V199" t="str">
        <x:f>IF(A199="","",(Q199*40%+S199*30%+U199*30%)*5%)</x:f>
      </x:c>
      <x:c r="W199" t="str">
        <x:f>IF(A199="","",F199+K199+P199+V199)</x:f>
      </x:c>
      <x:c r="X199" t="str">
        <x:f>IF(W199="","",IF(W199&gt;='11_Config'!$B$9,"Selección prioritaria",IF(W199&gt;='11_Config'!$B$10,"Elegible / reserva",IF(W199&gt;='11_Config'!$B$11,"Elegible condicionado","No recomendado"))))</x:f>
      </x:c>
    </x:row>
    <x:row r="200">
      <x:c r="F200" t="str">
        <x:f>IF(A200="","",(C200*40%+D200*30%+E200*30%)*15%)</x:f>
      </x:c>
      <x:c r="K200" t="str">
        <x:f>IF(A200="","",(G200*35%+H200*35%+I200*20%+J200*10%)*55%)</x:f>
      </x:c>
      <x:c r="P200" t="str">
        <x:f>IF(A200="","",(L200*35%+M200*35%+N200*20%+O200*10%)*25%)</x:f>
      </x:c>
      <x:c r="S200" t="str">
        <x:f>IF(R200="","",IF(R200="Mujer",10,IF(R200="Hombre",'11_Config'!$B$13,0)))</x:f>
      </x:c>
      <x:c r="T200" t="str">
        <x:f>IF(R200="Hombre","REVISAR REGLA OFICIAL","")</x:f>
      </x:c>
      <x:c r="V200" t="str">
        <x:f>IF(A200="","",(Q200*40%+S200*30%+U200*30%)*5%)</x:f>
      </x:c>
      <x:c r="W200" t="str">
        <x:f>IF(A200="","",F200+K200+P200+V200)</x:f>
      </x:c>
      <x:c r="X200" t="str">
        <x:f>IF(W200="","",IF(W200&gt;='11_Config'!$B$9,"Selección prioritaria",IF(W200&gt;='11_Config'!$B$10,"Elegible / reserva",IF(W200&gt;='11_Config'!$B$11,"Elegible condicionado","No recomendado"))))</x:f>
      </x:c>
    </x:row>
    <x:row r="201">
      <x:c r="F201" t="str">
        <x:f>IF(A201="","",(C201*40%+D201*30%+E201*30%)*15%)</x:f>
      </x:c>
      <x:c r="K201" t="str">
        <x:f>IF(A201="","",(G201*35%+H201*35%+I201*20%+J201*10%)*55%)</x:f>
      </x:c>
      <x:c r="P201" t="str">
        <x:f>IF(A201="","",(L201*35%+M201*35%+N201*20%+O201*10%)*25%)</x:f>
      </x:c>
      <x:c r="S201" t="str">
        <x:f>IF(R201="","",IF(R201="Mujer",10,IF(R201="Hombre",'11_Config'!$B$13,0)))</x:f>
      </x:c>
      <x:c r="T201" t="str">
        <x:f>IF(R201="Hombre","REVISAR REGLA OFICIAL","")</x:f>
      </x:c>
      <x:c r="V201" t="str">
        <x:f>IF(A201="","",(Q201*40%+S201*30%+U201*30%)*5%)</x:f>
      </x:c>
      <x:c r="W201" t="str">
        <x:f>IF(A201="","",F201+K201+P201+V201)</x:f>
      </x:c>
      <x:c r="X201" t="str">
        <x:f>IF(W201="","",IF(W201&gt;='11_Config'!$B$9,"Selección prioritaria",IF(W201&gt;='11_Config'!$B$10,"Elegible / reserva",IF(W201&gt;='11_Config'!$B$11,"Elegible condicionado","No recomendado"))))</x:f>
      </x:c>
    </x:row>
    <x:row r="202">
      <x:c r="F202" t="str">
        <x:f>IF(A202="","",(C202*40%+D202*30%+E202*30%)*15%)</x:f>
      </x:c>
      <x:c r="K202" t="str">
        <x:f>IF(A202="","",(G202*35%+H202*35%+I202*20%+J202*10%)*55%)</x:f>
      </x:c>
      <x:c r="P202" t="str">
        <x:f>IF(A202="","",(L202*35%+M202*35%+N202*20%+O202*10%)*25%)</x:f>
      </x:c>
      <x:c r="S202" t="str">
        <x:f>IF(R202="","",IF(R202="Mujer",10,IF(R202="Hombre",'11_Config'!$B$13,0)))</x:f>
      </x:c>
      <x:c r="T202" t="str">
        <x:f>IF(R202="Hombre","REVISAR REGLA OFICIAL","")</x:f>
      </x:c>
      <x:c r="V202" t="str">
        <x:f>IF(A202="","",(Q202*40%+S202*30%+U202*30%)*5%)</x:f>
      </x:c>
      <x:c r="W202" t="str">
        <x:f>IF(A202="","",F202+K202+P202+V202)</x:f>
      </x:c>
      <x:c r="X202" t="str">
        <x:f>IF(W202="","",IF(W202&gt;='11_Config'!$B$9,"Selección prioritaria",IF(W202&gt;='11_Config'!$B$10,"Elegible / reserva",IF(W202&gt;='11_Config'!$B$11,"Elegible condicionado","No recomendado"))))</x:f>
      </x:c>
    </x:row>
    <x:row r="203">
      <x:c r="F203" t="str">
        <x:f>IF(A203="","",(C203*40%+D203*30%+E203*30%)*15%)</x:f>
      </x:c>
      <x:c r="K203" t="str">
        <x:f>IF(A203="","",(G203*35%+H203*35%+I203*20%+J203*10%)*55%)</x:f>
      </x:c>
      <x:c r="P203" t="str">
        <x:f>IF(A203="","",(L203*35%+M203*35%+N203*20%+O203*10%)*25%)</x:f>
      </x:c>
      <x:c r="S203" t="str">
        <x:f>IF(R203="","",IF(R203="Mujer",10,IF(R203="Hombre",'11_Config'!$B$13,0)))</x:f>
      </x:c>
      <x:c r="T203" t="str">
        <x:f>IF(R203="Hombre","REVISAR REGLA OFICIAL","")</x:f>
      </x:c>
      <x:c r="V203" t="str">
        <x:f>IF(A203="","",(Q203*40%+S203*30%+U203*30%)*5%)</x:f>
      </x:c>
      <x:c r="W203" t="str">
        <x:f>IF(A203="","",F203+K203+P203+V203)</x:f>
      </x:c>
      <x:c r="X203" t="str">
        <x:f>IF(W203="","",IF(W203&gt;='11_Config'!$B$9,"Selección prioritaria",IF(W203&gt;='11_Config'!$B$10,"Elegible / reserva",IF(W203&gt;='11_Config'!$B$11,"Elegible condicionado","No recomendado"))))</x:f>
      </x:c>
    </x:row>
    <x:row r="204">
      <x:c r="F204" t="str">
        <x:f>IF(A204="","",(C204*40%+D204*30%+E204*30%)*15%)</x:f>
      </x:c>
      <x:c r="K204" t="str">
        <x:f>IF(A204="","",(G204*35%+H204*35%+I204*20%+J204*10%)*55%)</x:f>
      </x:c>
      <x:c r="P204" t="str">
        <x:f>IF(A204="","",(L204*35%+M204*35%+N204*20%+O204*10%)*25%)</x:f>
      </x:c>
      <x:c r="S204" t="str">
        <x:f>IF(R204="","",IF(R204="Mujer",10,IF(R204="Hombre",'11_Config'!$B$13,0)))</x:f>
      </x:c>
      <x:c r="T204" t="str">
        <x:f>IF(R204="Hombre","REVISAR REGLA OFICIAL","")</x:f>
      </x:c>
      <x:c r="V204" t="str">
        <x:f>IF(A204="","",(Q204*40%+S204*30%+U204*30%)*5%)</x:f>
      </x:c>
      <x:c r="W204" t="str">
        <x:f>IF(A204="","",F204+K204+P204+V204)</x:f>
      </x:c>
      <x:c r="X204" t="str">
        <x:f>IF(W204="","",IF(W204&gt;='11_Config'!$B$9,"Selección prioritaria",IF(W204&gt;='11_Config'!$B$10,"Elegible / reserva",IF(W204&gt;='11_Config'!$B$11,"Elegible condicionado","No recomendado"))))</x:f>
      </x:c>
    </x:row>
    <x:row r="205">
      <x:c r="F205" t="str">
        <x:f>IF(A205="","",(C205*40%+D205*30%+E205*30%)*15%)</x:f>
      </x:c>
      <x:c r="K205" t="str">
        <x:f>IF(A205="","",(G205*35%+H205*35%+I205*20%+J205*10%)*55%)</x:f>
      </x:c>
      <x:c r="P205" t="str">
        <x:f>IF(A205="","",(L205*35%+M205*35%+N205*20%+O205*10%)*25%)</x:f>
      </x:c>
      <x:c r="S205" t="str">
        <x:f>IF(R205="","",IF(R205="Mujer",10,IF(R205="Hombre",'11_Config'!$B$13,0)))</x:f>
      </x:c>
      <x:c r="T205" t="str">
        <x:f>IF(R205="Hombre","REVISAR REGLA OFICIAL","")</x:f>
      </x:c>
      <x:c r="V205" t="str">
        <x:f>IF(A205="","",(Q205*40%+S205*30%+U205*30%)*5%)</x:f>
      </x:c>
      <x:c r="W205" t="str">
        <x:f>IF(A205="","",F205+K205+P205+V205)</x:f>
      </x:c>
      <x:c r="X205" t="str">
        <x:f>IF(W205="","",IF(W205&gt;='11_Config'!$B$9,"Selección prioritaria",IF(W205&gt;='11_Config'!$B$10,"Elegible / reserva",IF(W205&gt;='11_Config'!$B$11,"Elegible condicionado","No recomendado"))))</x:f>
      </x:c>
    </x:row>
    <x:row r="206">
      <x:c r="F206" t="str">
        <x:f>IF(A206="","",(C206*40%+D206*30%+E206*30%)*15%)</x:f>
      </x:c>
      <x:c r="K206" t="str">
        <x:f>IF(A206="","",(G206*35%+H206*35%+I206*20%+J206*10%)*55%)</x:f>
      </x:c>
      <x:c r="P206" t="str">
        <x:f>IF(A206="","",(L206*35%+M206*35%+N206*20%+O206*10%)*25%)</x:f>
      </x:c>
      <x:c r="S206" t="str">
        <x:f>IF(R206="","",IF(R206="Mujer",10,IF(R206="Hombre",'11_Config'!$B$13,0)))</x:f>
      </x:c>
      <x:c r="T206" t="str">
        <x:f>IF(R206="Hombre","REVISAR REGLA OFICIAL","")</x:f>
      </x:c>
      <x:c r="V206" t="str">
        <x:f>IF(A206="","",(Q206*40%+S206*30%+U206*30%)*5%)</x:f>
      </x:c>
      <x:c r="W206" t="str">
        <x:f>IF(A206="","",F206+K206+P206+V206)</x:f>
      </x:c>
      <x:c r="X206" t="str">
        <x:f>IF(W206="","",IF(W206&gt;='11_Config'!$B$9,"Selección prioritaria",IF(W206&gt;='11_Config'!$B$10,"Elegible / reserva",IF(W206&gt;='11_Config'!$B$11,"Elegible condicionado","No recomendado"))))</x:f>
      </x:c>
    </x:row>
    <x:row r="207">
      <x:c r="F207" t="str">
        <x:f>IF(A207="","",(C207*40%+D207*30%+E207*30%)*15%)</x:f>
      </x:c>
      <x:c r="K207" t="str">
        <x:f>IF(A207="","",(G207*35%+H207*35%+I207*20%+J207*10%)*55%)</x:f>
      </x:c>
      <x:c r="P207" t="str">
        <x:f>IF(A207="","",(L207*35%+M207*35%+N207*20%+O207*10%)*25%)</x:f>
      </x:c>
      <x:c r="S207" t="str">
        <x:f>IF(R207="","",IF(R207="Mujer",10,IF(R207="Hombre",'11_Config'!$B$13,0)))</x:f>
      </x:c>
      <x:c r="T207" t="str">
        <x:f>IF(R207="Hombre","REVISAR REGLA OFICIAL","")</x:f>
      </x:c>
      <x:c r="V207" t="str">
        <x:f>IF(A207="","",(Q207*40%+S207*30%+U207*30%)*5%)</x:f>
      </x:c>
      <x:c r="W207" t="str">
        <x:f>IF(A207="","",F207+K207+P207+V207)</x:f>
      </x:c>
      <x:c r="X207" t="str">
        <x:f>IF(W207="","",IF(W207&gt;='11_Config'!$B$9,"Selección prioritaria",IF(W207&gt;='11_Config'!$B$10,"Elegible / reserva",IF(W207&gt;='11_Config'!$B$11,"Elegible condicionado","No recomendado"))))</x:f>
      </x:c>
    </x:row>
    <x:row r="208">
      <x:c r="F208" t="str">
        <x:f>IF(A208="","",(C208*40%+D208*30%+E208*30%)*15%)</x:f>
      </x:c>
      <x:c r="K208" t="str">
        <x:f>IF(A208="","",(G208*35%+H208*35%+I208*20%+J208*10%)*55%)</x:f>
      </x:c>
      <x:c r="P208" t="str">
        <x:f>IF(A208="","",(L208*35%+M208*35%+N208*20%+O208*10%)*25%)</x:f>
      </x:c>
      <x:c r="S208" t="str">
        <x:f>IF(R208="","",IF(R208="Mujer",10,IF(R208="Hombre",'11_Config'!$B$13,0)))</x:f>
      </x:c>
      <x:c r="T208" t="str">
        <x:f>IF(R208="Hombre","REVISAR REGLA OFICIAL","")</x:f>
      </x:c>
      <x:c r="V208" t="str">
        <x:f>IF(A208="","",(Q208*40%+S208*30%+U208*30%)*5%)</x:f>
      </x:c>
      <x:c r="W208" t="str">
        <x:f>IF(A208="","",F208+K208+P208+V208)</x:f>
      </x:c>
      <x:c r="X208" t="str">
        <x:f>IF(W208="","",IF(W208&gt;='11_Config'!$B$9,"Selección prioritaria",IF(W208&gt;='11_Config'!$B$10,"Elegible / reserva",IF(W208&gt;='11_Config'!$B$11,"Elegible condicionado","No recomendado"))))</x:f>
      </x:c>
    </x:row>
    <x:row r="209">
      <x:c r="F209" t="str">
        <x:f>IF(A209="","",(C209*40%+D209*30%+E209*30%)*15%)</x:f>
      </x:c>
      <x:c r="K209" t="str">
        <x:f>IF(A209="","",(G209*35%+H209*35%+I209*20%+J209*10%)*55%)</x:f>
      </x:c>
      <x:c r="P209" t="str">
        <x:f>IF(A209="","",(L209*35%+M209*35%+N209*20%+O209*10%)*25%)</x:f>
      </x:c>
      <x:c r="S209" t="str">
        <x:f>IF(R209="","",IF(R209="Mujer",10,IF(R209="Hombre",'11_Config'!$B$13,0)))</x:f>
      </x:c>
      <x:c r="T209" t="str">
        <x:f>IF(R209="Hombre","REVISAR REGLA OFICIAL","")</x:f>
      </x:c>
      <x:c r="V209" t="str">
        <x:f>IF(A209="","",(Q209*40%+S209*30%+U209*30%)*5%)</x:f>
      </x:c>
      <x:c r="W209" t="str">
        <x:f>IF(A209="","",F209+K209+P209+V209)</x:f>
      </x:c>
      <x:c r="X209" t="str">
        <x:f>IF(W209="","",IF(W209&gt;='11_Config'!$B$9,"Selección prioritaria",IF(W209&gt;='11_Config'!$B$10,"Elegible / reserva",IF(W209&gt;='11_Config'!$B$11,"Elegible condicionado","No recomendado"))))</x:f>
      </x:c>
    </x:row>
    <x:row r="210">
      <x:c r="F210" t="str">
        <x:f>IF(A210="","",(C210*40%+D210*30%+E210*30%)*15%)</x:f>
      </x:c>
      <x:c r="K210" t="str">
        <x:f>IF(A210="","",(G210*35%+H210*35%+I210*20%+J210*10%)*55%)</x:f>
      </x:c>
      <x:c r="P210" t="str">
        <x:f>IF(A210="","",(L210*35%+M210*35%+N210*20%+O210*10%)*25%)</x:f>
      </x:c>
      <x:c r="S210" t="str">
        <x:f>IF(R210="","",IF(R210="Mujer",10,IF(R210="Hombre",'11_Config'!$B$13,0)))</x:f>
      </x:c>
      <x:c r="T210" t="str">
        <x:f>IF(R210="Hombre","REVISAR REGLA OFICIAL","")</x:f>
      </x:c>
      <x:c r="V210" t="str">
        <x:f>IF(A210="","",(Q210*40%+S210*30%+U210*30%)*5%)</x:f>
      </x:c>
      <x:c r="W210" t="str">
        <x:f>IF(A210="","",F210+K210+P210+V210)</x:f>
      </x:c>
      <x:c r="X210" t="str">
        <x:f>IF(W210="","",IF(W210&gt;='11_Config'!$B$9,"Selección prioritaria",IF(W210&gt;='11_Config'!$B$10,"Elegible / reserva",IF(W210&gt;='11_Config'!$B$11,"Elegible condicionado","No recomendado"))))</x:f>
      </x:c>
    </x:row>
    <x:row r="211">
      <x:c r="F211" t="str">
        <x:f>IF(A211="","",(C211*40%+D211*30%+E211*30%)*15%)</x:f>
      </x:c>
      <x:c r="K211" t="str">
        <x:f>IF(A211="","",(G211*35%+H211*35%+I211*20%+J211*10%)*55%)</x:f>
      </x:c>
      <x:c r="P211" t="str">
        <x:f>IF(A211="","",(L211*35%+M211*35%+N211*20%+O211*10%)*25%)</x:f>
      </x:c>
      <x:c r="S211" t="str">
        <x:f>IF(R211="","",IF(R211="Mujer",10,IF(R211="Hombre",'11_Config'!$B$13,0)))</x:f>
      </x:c>
      <x:c r="T211" t="str">
        <x:f>IF(R211="Hombre","REVISAR REGLA OFICIAL","")</x:f>
      </x:c>
      <x:c r="V211" t="str">
        <x:f>IF(A211="","",(Q211*40%+S211*30%+U211*30%)*5%)</x:f>
      </x:c>
      <x:c r="W211" t="str">
        <x:f>IF(A211="","",F211+K211+P211+V211)</x:f>
      </x:c>
      <x:c r="X211" t="str">
        <x:f>IF(W211="","",IF(W211&gt;='11_Config'!$B$9,"Selección prioritaria",IF(W211&gt;='11_Config'!$B$10,"Elegible / reserva",IF(W211&gt;='11_Config'!$B$11,"Elegible condicionado","No recomendado"))))</x:f>
      </x:c>
    </x:row>
    <x:row r="212">
      <x:c r="F212" t="str">
        <x:f>IF(A212="","",(C212*40%+D212*30%+E212*30%)*15%)</x:f>
      </x:c>
      <x:c r="K212" t="str">
        <x:f>IF(A212="","",(G212*35%+H212*35%+I212*20%+J212*10%)*55%)</x:f>
      </x:c>
      <x:c r="P212" t="str">
        <x:f>IF(A212="","",(L212*35%+M212*35%+N212*20%+O212*10%)*25%)</x:f>
      </x:c>
      <x:c r="S212" t="str">
        <x:f>IF(R212="","",IF(R212="Mujer",10,IF(R212="Hombre",'11_Config'!$B$13,0)))</x:f>
      </x:c>
      <x:c r="T212" t="str">
        <x:f>IF(R212="Hombre","REVISAR REGLA OFICIAL","")</x:f>
      </x:c>
      <x:c r="V212" t="str">
        <x:f>IF(A212="","",(Q212*40%+S212*30%+U212*30%)*5%)</x:f>
      </x:c>
      <x:c r="W212" t="str">
        <x:f>IF(A212="","",F212+K212+P212+V212)</x:f>
      </x:c>
      <x:c r="X212" t="str">
        <x:f>IF(W212="","",IF(W212&gt;='11_Config'!$B$9,"Selección prioritaria",IF(W212&gt;='11_Config'!$B$10,"Elegible / reserva",IF(W212&gt;='11_Config'!$B$11,"Elegible condicionado","No recomendado"))))</x:f>
      </x:c>
    </x:row>
    <x:row r="213">
      <x:c r="F213" t="str">
        <x:f>IF(A213="","",(C213*40%+D213*30%+E213*30%)*15%)</x:f>
      </x:c>
      <x:c r="K213" t="str">
        <x:f>IF(A213="","",(G213*35%+H213*35%+I213*20%+J213*10%)*55%)</x:f>
      </x:c>
      <x:c r="P213" t="str">
        <x:f>IF(A213="","",(L213*35%+M213*35%+N213*20%+O213*10%)*25%)</x:f>
      </x:c>
      <x:c r="S213" t="str">
        <x:f>IF(R213="","",IF(R213="Mujer",10,IF(R213="Hombre",'11_Config'!$B$13,0)))</x:f>
      </x:c>
      <x:c r="T213" t="str">
        <x:f>IF(R213="Hombre","REVISAR REGLA OFICIAL","")</x:f>
      </x:c>
      <x:c r="V213" t="str">
        <x:f>IF(A213="","",(Q213*40%+S213*30%+U213*30%)*5%)</x:f>
      </x:c>
      <x:c r="W213" t="str">
        <x:f>IF(A213="","",F213+K213+P213+V213)</x:f>
      </x:c>
      <x:c r="X213" t="str">
        <x:f>IF(W213="","",IF(W213&gt;='11_Config'!$B$9,"Selección prioritaria",IF(W213&gt;='11_Config'!$B$10,"Elegible / reserva",IF(W213&gt;='11_Config'!$B$11,"Elegible condicionado","No recomendado"))))</x:f>
      </x:c>
    </x:row>
    <x:row r="214">
      <x:c r="F214" t="str">
        <x:f>IF(A214="","",(C214*40%+D214*30%+E214*30%)*15%)</x:f>
      </x:c>
      <x:c r="K214" t="str">
        <x:f>IF(A214="","",(G214*35%+H214*35%+I214*20%+J214*10%)*55%)</x:f>
      </x:c>
      <x:c r="P214" t="str">
        <x:f>IF(A214="","",(L214*35%+M214*35%+N214*20%+O214*10%)*25%)</x:f>
      </x:c>
      <x:c r="S214" t="str">
        <x:f>IF(R214="","",IF(R214="Mujer",10,IF(R214="Hombre",'11_Config'!$B$13,0)))</x:f>
      </x:c>
      <x:c r="T214" t="str">
        <x:f>IF(R214="Hombre","REVISAR REGLA OFICIAL","")</x:f>
      </x:c>
      <x:c r="V214" t="str">
        <x:f>IF(A214="","",(Q214*40%+S214*30%+U214*30%)*5%)</x:f>
      </x:c>
      <x:c r="W214" t="str">
        <x:f>IF(A214="","",F214+K214+P214+V214)</x:f>
      </x:c>
      <x:c r="X214" t="str">
        <x:f>IF(W214="","",IF(W214&gt;='11_Config'!$B$9,"Selección prioritaria",IF(W214&gt;='11_Config'!$B$10,"Elegible / reserva",IF(W214&gt;='11_Config'!$B$11,"Elegible condicionado","No recomendado"))))</x:f>
      </x:c>
    </x:row>
    <x:row r="215">
      <x:c r="F215" t="str">
        <x:f>IF(A215="","",(C215*40%+D215*30%+E215*30%)*15%)</x:f>
      </x:c>
      <x:c r="K215" t="str">
        <x:f>IF(A215="","",(G215*35%+H215*35%+I215*20%+J215*10%)*55%)</x:f>
      </x:c>
      <x:c r="P215" t="str">
        <x:f>IF(A215="","",(L215*35%+M215*35%+N215*20%+O215*10%)*25%)</x:f>
      </x:c>
      <x:c r="S215" t="str">
        <x:f>IF(R215="","",IF(R215="Mujer",10,IF(R215="Hombre",'11_Config'!$B$13,0)))</x:f>
      </x:c>
      <x:c r="T215" t="str">
        <x:f>IF(R215="Hombre","REVISAR REGLA OFICIAL","")</x:f>
      </x:c>
      <x:c r="V215" t="str">
        <x:f>IF(A215="","",(Q215*40%+S215*30%+U215*30%)*5%)</x:f>
      </x:c>
      <x:c r="W215" t="str">
        <x:f>IF(A215="","",F215+K215+P215+V215)</x:f>
      </x:c>
      <x:c r="X215" t="str">
        <x:f>IF(W215="","",IF(W215&gt;='11_Config'!$B$9,"Selección prioritaria",IF(W215&gt;='11_Config'!$B$10,"Elegible / reserva",IF(W215&gt;='11_Config'!$B$11,"Elegible condicionado","No recomendado"))))</x:f>
      </x:c>
    </x:row>
    <x:row r="216">
      <x:c r="F216" t="str">
        <x:f>IF(A216="","",(C216*40%+D216*30%+E216*30%)*15%)</x:f>
      </x:c>
      <x:c r="K216" t="str">
        <x:f>IF(A216="","",(G216*35%+H216*35%+I216*20%+J216*10%)*55%)</x:f>
      </x:c>
      <x:c r="P216" t="str">
        <x:f>IF(A216="","",(L216*35%+M216*35%+N216*20%+O216*10%)*25%)</x:f>
      </x:c>
      <x:c r="S216" t="str">
        <x:f>IF(R216="","",IF(R216="Mujer",10,IF(R216="Hombre",'11_Config'!$B$13,0)))</x:f>
      </x:c>
      <x:c r="T216" t="str">
        <x:f>IF(R216="Hombre","REVISAR REGLA OFICIAL","")</x:f>
      </x:c>
      <x:c r="V216" t="str">
        <x:f>IF(A216="","",(Q216*40%+S216*30%+U216*30%)*5%)</x:f>
      </x:c>
      <x:c r="W216" t="str">
        <x:f>IF(A216="","",F216+K216+P216+V216)</x:f>
      </x:c>
      <x:c r="X216" t="str">
        <x:f>IF(W216="","",IF(W216&gt;='11_Config'!$B$9,"Selección prioritaria",IF(W216&gt;='11_Config'!$B$10,"Elegible / reserva",IF(W216&gt;='11_Config'!$B$11,"Elegible condicionado","No recomendado"))))</x:f>
      </x:c>
    </x:row>
    <x:row r="217">
      <x:c r="F217" t="str">
        <x:f>IF(A217="","",(C217*40%+D217*30%+E217*30%)*15%)</x:f>
      </x:c>
      <x:c r="K217" t="str">
        <x:f>IF(A217="","",(G217*35%+H217*35%+I217*20%+J217*10%)*55%)</x:f>
      </x:c>
      <x:c r="P217" t="str">
        <x:f>IF(A217="","",(L217*35%+M217*35%+N217*20%+O217*10%)*25%)</x:f>
      </x:c>
      <x:c r="S217" t="str">
        <x:f>IF(R217="","",IF(R217="Mujer",10,IF(R217="Hombre",'11_Config'!$B$13,0)))</x:f>
      </x:c>
      <x:c r="T217" t="str">
        <x:f>IF(R217="Hombre","REVISAR REGLA OFICIAL","")</x:f>
      </x:c>
      <x:c r="V217" t="str">
        <x:f>IF(A217="","",(Q217*40%+S217*30%+U217*30%)*5%)</x:f>
      </x:c>
      <x:c r="W217" t="str">
        <x:f>IF(A217="","",F217+K217+P217+V217)</x:f>
      </x:c>
      <x:c r="X217" t="str">
        <x:f>IF(W217="","",IF(W217&gt;='11_Config'!$B$9,"Selección prioritaria",IF(W217&gt;='11_Config'!$B$10,"Elegible / reserva",IF(W217&gt;='11_Config'!$B$11,"Elegible condicionado","No recomendado"))))</x:f>
      </x:c>
    </x:row>
    <x:row r="218">
      <x:c r="F218" t="str">
        <x:f>IF(A218="","",(C218*40%+D218*30%+E218*30%)*15%)</x:f>
      </x:c>
      <x:c r="K218" t="str">
        <x:f>IF(A218="","",(G218*35%+H218*35%+I218*20%+J218*10%)*55%)</x:f>
      </x:c>
      <x:c r="P218" t="str">
        <x:f>IF(A218="","",(L218*35%+M218*35%+N218*20%+O218*10%)*25%)</x:f>
      </x:c>
      <x:c r="S218" t="str">
        <x:f>IF(R218="","",IF(R218="Mujer",10,IF(R218="Hombre",'11_Config'!$B$13,0)))</x:f>
      </x:c>
      <x:c r="T218" t="str">
        <x:f>IF(R218="Hombre","REVISAR REGLA OFICIAL","")</x:f>
      </x:c>
      <x:c r="V218" t="str">
        <x:f>IF(A218="","",(Q218*40%+S218*30%+U218*30%)*5%)</x:f>
      </x:c>
      <x:c r="W218" t="str">
        <x:f>IF(A218="","",F218+K218+P218+V218)</x:f>
      </x:c>
      <x:c r="X218" t="str">
        <x:f>IF(W218="","",IF(W218&gt;='11_Config'!$B$9,"Selección prioritaria",IF(W218&gt;='11_Config'!$B$10,"Elegible / reserva",IF(W218&gt;='11_Config'!$B$11,"Elegible condicionado","No recomendado"))))</x:f>
      </x:c>
    </x:row>
    <x:row r="219">
      <x:c r="F219" t="str">
        <x:f>IF(A219="","",(C219*40%+D219*30%+E219*30%)*15%)</x:f>
      </x:c>
      <x:c r="K219" t="str">
        <x:f>IF(A219="","",(G219*35%+H219*35%+I219*20%+J219*10%)*55%)</x:f>
      </x:c>
      <x:c r="P219" t="str">
        <x:f>IF(A219="","",(L219*35%+M219*35%+N219*20%+O219*10%)*25%)</x:f>
      </x:c>
      <x:c r="S219" t="str">
        <x:f>IF(R219="","",IF(R219="Mujer",10,IF(R219="Hombre",'11_Config'!$B$13,0)))</x:f>
      </x:c>
      <x:c r="T219" t="str">
        <x:f>IF(R219="Hombre","REVISAR REGLA OFICIAL","")</x:f>
      </x:c>
      <x:c r="V219" t="str">
        <x:f>IF(A219="","",(Q219*40%+S219*30%+U219*30%)*5%)</x:f>
      </x:c>
      <x:c r="W219" t="str">
        <x:f>IF(A219="","",F219+K219+P219+V219)</x:f>
      </x:c>
      <x:c r="X219" t="str">
        <x:f>IF(W219="","",IF(W219&gt;='11_Config'!$B$9,"Selección prioritaria",IF(W219&gt;='11_Config'!$B$10,"Elegible / reserva",IF(W219&gt;='11_Config'!$B$11,"Elegible condicionado","No recomendado"))))</x:f>
      </x:c>
    </x:row>
    <x:row r="220">
      <x:c r="F220" t="str">
        <x:f>IF(A220="","",(C220*40%+D220*30%+E220*30%)*15%)</x:f>
      </x:c>
      <x:c r="K220" t="str">
        <x:f>IF(A220="","",(G220*35%+H220*35%+I220*20%+J220*10%)*55%)</x:f>
      </x:c>
      <x:c r="P220" t="str">
        <x:f>IF(A220="","",(L220*35%+M220*35%+N220*20%+O220*10%)*25%)</x:f>
      </x:c>
      <x:c r="S220" t="str">
        <x:f>IF(R220="","",IF(R220="Mujer",10,IF(R220="Hombre",'11_Config'!$B$13,0)))</x:f>
      </x:c>
      <x:c r="T220" t="str">
        <x:f>IF(R220="Hombre","REVISAR REGLA OFICIAL","")</x:f>
      </x:c>
      <x:c r="V220" t="str">
        <x:f>IF(A220="","",(Q220*40%+S220*30%+U220*30%)*5%)</x:f>
      </x:c>
      <x:c r="W220" t="str">
        <x:f>IF(A220="","",F220+K220+P220+V220)</x:f>
      </x:c>
      <x:c r="X220" t="str">
        <x:f>IF(W220="","",IF(W220&gt;='11_Config'!$B$9,"Selección prioritaria",IF(W220&gt;='11_Config'!$B$10,"Elegible / reserva",IF(W220&gt;='11_Config'!$B$11,"Elegible condicionado","No recomendado"))))</x:f>
      </x:c>
    </x:row>
    <x:row r="221">
      <x:c r="F221" t="str">
        <x:f>IF(A221="","",(C221*40%+D221*30%+E221*30%)*15%)</x:f>
      </x:c>
      <x:c r="K221" t="str">
        <x:f>IF(A221="","",(G221*35%+H221*35%+I221*20%+J221*10%)*55%)</x:f>
      </x:c>
      <x:c r="P221" t="str">
        <x:f>IF(A221="","",(L221*35%+M221*35%+N221*20%+O221*10%)*25%)</x:f>
      </x:c>
      <x:c r="S221" t="str">
        <x:f>IF(R221="","",IF(R221="Mujer",10,IF(R221="Hombre",'11_Config'!$B$13,0)))</x:f>
      </x:c>
      <x:c r="T221" t="str">
        <x:f>IF(R221="Hombre","REVISAR REGLA OFICIAL","")</x:f>
      </x:c>
      <x:c r="V221" t="str">
        <x:f>IF(A221="","",(Q221*40%+S221*30%+U221*30%)*5%)</x:f>
      </x:c>
      <x:c r="W221" t="str">
        <x:f>IF(A221="","",F221+K221+P221+V221)</x:f>
      </x:c>
      <x:c r="X221" t="str">
        <x:f>IF(W221="","",IF(W221&gt;='11_Config'!$B$9,"Selección prioritaria",IF(W221&gt;='11_Config'!$B$10,"Elegible / reserva",IF(W221&gt;='11_Config'!$B$11,"Elegible condicionado","No recomendado"))))</x:f>
      </x:c>
    </x:row>
    <x:row r="222">
      <x:c r="F222" t="str">
        <x:f>IF(A222="","",(C222*40%+D222*30%+E222*30%)*15%)</x:f>
      </x:c>
      <x:c r="K222" t="str">
        <x:f>IF(A222="","",(G222*35%+H222*35%+I222*20%+J222*10%)*55%)</x:f>
      </x:c>
      <x:c r="P222" t="str">
        <x:f>IF(A222="","",(L222*35%+M222*35%+N222*20%+O222*10%)*25%)</x:f>
      </x:c>
      <x:c r="S222" t="str">
        <x:f>IF(R222="","",IF(R222="Mujer",10,IF(R222="Hombre",'11_Config'!$B$13,0)))</x:f>
      </x:c>
      <x:c r="T222" t="str">
        <x:f>IF(R222="Hombre","REVISAR REGLA OFICIAL","")</x:f>
      </x:c>
      <x:c r="V222" t="str">
        <x:f>IF(A222="","",(Q222*40%+S222*30%+U222*30%)*5%)</x:f>
      </x:c>
      <x:c r="W222" t="str">
        <x:f>IF(A222="","",F222+K222+P222+V222)</x:f>
      </x:c>
      <x:c r="X222" t="str">
        <x:f>IF(W222="","",IF(W222&gt;='11_Config'!$B$9,"Selección prioritaria",IF(W222&gt;='11_Config'!$B$10,"Elegible / reserva",IF(W222&gt;='11_Config'!$B$11,"Elegible condicionado","No recomendado"))))</x:f>
      </x:c>
    </x:row>
    <x:row r="223">
      <x:c r="F223" t="str">
        <x:f>IF(A223="","",(C223*40%+D223*30%+E223*30%)*15%)</x:f>
      </x:c>
      <x:c r="K223" t="str">
        <x:f>IF(A223="","",(G223*35%+H223*35%+I223*20%+J223*10%)*55%)</x:f>
      </x:c>
      <x:c r="P223" t="str">
        <x:f>IF(A223="","",(L223*35%+M223*35%+N223*20%+O223*10%)*25%)</x:f>
      </x:c>
      <x:c r="S223" t="str">
        <x:f>IF(R223="","",IF(R223="Mujer",10,IF(R223="Hombre",'11_Config'!$B$13,0)))</x:f>
      </x:c>
      <x:c r="T223" t="str">
        <x:f>IF(R223="Hombre","REVISAR REGLA OFICIAL","")</x:f>
      </x:c>
      <x:c r="V223" t="str">
        <x:f>IF(A223="","",(Q223*40%+S223*30%+U223*30%)*5%)</x:f>
      </x:c>
      <x:c r="W223" t="str">
        <x:f>IF(A223="","",F223+K223+P223+V223)</x:f>
      </x:c>
      <x:c r="X223" t="str">
        <x:f>IF(W223="","",IF(W223&gt;='11_Config'!$B$9,"Selección prioritaria",IF(W223&gt;='11_Config'!$B$10,"Elegible / reserva",IF(W223&gt;='11_Config'!$B$11,"Elegible condicionado","No recomendado"))))</x:f>
      </x:c>
    </x:row>
    <x:row r="224">
      <x:c r="F224" t="str">
        <x:f>IF(A224="","",(C224*40%+D224*30%+E224*30%)*15%)</x:f>
      </x:c>
      <x:c r="K224" t="str">
        <x:f>IF(A224="","",(G224*35%+H224*35%+I224*20%+J224*10%)*55%)</x:f>
      </x:c>
      <x:c r="P224" t="str">
        <x:f>IF(A224="","",(L224*35%+M224*35%+N224*20%+O224*10%)*25%)</x:f>
      </x:c>
      <x:c r="S224" t="str">
        <x:f>IF(R224="","",IF(R224="Mujer",10,IF(R224="Hombre",'11_Config'!$B$13,0)))</x:f>
      </x:c>
      <x:c r="T224" t="str">
        <x:f>IF(R224="Hombre","REVISAR REGLA OFICIAL","")</x:f>
      </x:c>
      <x:c r="V224" t="str">
        <x:f>IF(A224="","",(Q224*40%+S224*30%+U224*30%)*5%)</x:f>
      </x:c>
      <x:c r="W224" t="str">
        <x:f>IF(A224="","",F224+K224+P224+V224)</x:f>
      </x:c>
      <x:c r="X224" t="str">
        <x:f>IF(W224="","",IF(W224&gt;='11_Config'!$B$9,"Selección prioritaria",IF(W224&gt;='11_Config'!$B$10,"Elegible / reserva",IF(W224&gt;='11_Config'!$B$11,"Elegible condicionado","No recomendado"))))</x:f>
      </x:c>
    </x:row>
    <x:row r="225">
      <x:c r="F225" t="str">
        <x:f>IF(A225="","",(C225*40%+D225*30%+E225*30%)*15%)</x:f>
      </x:c>
      <x:c r="K225" t="str">
        <x:f>IF(A225="","",(G225*35%+H225*35%+I225*20%+J225*10%)*55%)</x:f>
      </x:c>
      <x:c r="P225" t="str">
        <x:f>IF(A225="","",(L225*35%+M225*35%+N225*20%+O225*10%)*25%)</x:f>
      </x:c>
      <x:c r="S225" t="str">
        <x:f>IF(R225="","",IF(R225="Mujer",10,IF(R225="Hombre",'11_Config'!$B$13,0)))</x:f>
      </x:c>
      <x:c r="T225" t="str">
        <x:f>IF(R225="Hombre","REVISAR REGLA OFICIAL","")</x:f>
      </x:c>
      <x:c r="V225" t="str">
        <x:f>IF(A225="","",(Q225*40%+S225*30%+U225*30%)*5%)</x:f>
      </x:c>
      <x:c r="W225" t="str">
        <x:f>IF(A225="","",F225+K225+P225+V225)</x:f>
      </x:c>
      <x:c r="X225" t="str">
        <x:f>IF(W225="","",IF(W225&gt;='11_Config'!$B$9,"Selección prioritaria",IF(W225&gt;='11_Config'!$B$10,"Elegible / reserva",IF(W225&gt;='11_Config'!$B$11,"Elegible condicionado","No recomendado"))))</x:f>
      </x:c>
    </x:row>
    <x:row r="226">
      <x:c r="F226" t="str">
        <x:f>IF(A226="","",(C226*40%+D226*30%+E226*30%)*15%)</x:f>
      </x:c>
      <x:c r="K226" t="str">
        <x:f>IF(A226="","",(G226*35%+H226*35%+I226*20%+J226*10%)*55%)</x:f>
      </x:c>
      <x:c r="P226" t="str">
        <x:f>IF(A226="","",(L226*35%+M226*35%+N226*20%+O226*10%)*25%)</x:f>
      </x:c>
      <x:c r="S226" t="str">
        <x:f>IF(R226="","",IF(R226="Mujer",10,IF(R226="Hombre",'11_Config'!$B$13,0)))</x:f>
      </x:c>
      <x:c r="T226" t="str">
        <x:f>IF(R226="Hombre","REVISAR REGLA OFICIAL","")</x:f>
      </x:c>
      <x:c r="V226" t="str">
        <x:f>IF(A226="","",(Q226*40%+S226*30%+U226*30%)*5%)</x:f>
      </x:c>
      <x:c r="W226" t="str">
        <x:f>IF(A226="","",F226+K226+P226+V226)</x:f>
      </x:c>
      <x:c r="X226" t="str">
        <x:f>IF(W226="","",IF(W226&gt;='11_Config'!$B$9,"Selección prioritaria",IF(W226&gt;='11_Config'!$B$10,"Elegible / reserva",IF(W226&gt;='11_Config'!$B$11,"Elegible condicionado","No recomendado"))))</x:f>
      </x:c>
    </x:row>
    <x:row r="227">
      <x:c r="F227" t="str">
        <x:f>IF(A227="","",(C227*40%+D227*30%+E227*30%)*15%)</x:f>
      </x:c>
      <x:c r="K227" t="str">
        <x:f>IF(A227="","",(G227*35%+H227*35%+I227*20%+J227*10%)*55%)</x:f>
      </x:c>
      <x:c r="P227" t="str">
        <x:f>IF(A227="","",(L227*35%+M227*35%+N227*20%+O227*10%)*25%)</x:f>
      </x:c>
      <x:c r="S227" t="str">
        <x:f>IF(R227="","",IF(R227="Mujer",10,IF(R227="Hombre",'11_Config'!$B$13,0)))</x:f>
      </x:c>
      <x:c r="T227" t="str">
        <x:f>IF(R227="Hombre","REVISAR REGLA OFICIAL","")</x:f>
      </x:c>
      <x:c r="V227" t="str">
        <x:f>IF(A227="","",(Q227*40%+S227*30%+U227*30%)*5%)</x:f>
      </x:c>
      <x:c r="W227" t="str">
        <x:f>IF(A227="","",F227+K227+P227+V227)</x:f>
      </x:c>
      <x:c r="X227" t="str">
        <x:f>IF(W227="","",IF(W227&gt;='11_Config'!$B$9,"Selección prioritaria",IF(W227&gt;='11_Config'!$B$10,"Elegible / reserva",IF(W227&gt;='11_Config'!$B$11,"Elegible condicionado","No recomendado"))))</x:f>
      </x:c>
    </x:row>
    <x:row r="228">
      <x:c r="F228" t="str">
        <x:f>IF(A228="","",(C228*40%+D228*30%+E228*30%)*15%)</x:f>
      </x:c>
      <x:c r="K228" t="str">
        <x:f>IF(A228="","",(G228*35%+H228*35%+I228*20%+J228*10%)*55%)</x:f>
      </x:c>
      <x:c r="P228" t="str">
        <x:f>IF(A228="","",(L228*35%+M228*35%+N228*20%+O228*10%)*25%)</x:f>
      </x:c>
      <x:c r="S228" t="str">
        <x:f>IF(R228="","",IF(R228="Mujer",10,IF(R228="Hombre",'11_Config'!$B$13,0)))</x:f>
      </x:c>
      <x:c r="T228" t="str">
        <x:f>IF(R228="Hombre","REVISAR REGLA OFICIAL","")</x:f>
      </x:c>
      <x:c r="V228" t="str">
        <x:f>IF(A228="","",(Q228*40%+S228*30%+U228*30%)*5%)</x:f>
      </x:c>
      <x:c r="W228" t="str">
        <x:f>IF(A228="","",F228+K228+P228+V228)</x:f>
      </x:c>
      <x:c r="X228" t="str">
        <x:f>IF(W228="","",IF(W228&gt;='11_Config'!$B$9,"Selección prioritaria",IF(W228&gt;='11_Config'!$B$10,"Elegible / reserva",IF(W228&gt;='11_Config'!$B$11,"Elegible condicionado","No recomendado"))))</x:f>
      </x:c>
    </x:row>
    <x:row r="229">
      <x:c r="F229" t="str">
        <x:f>IF(A229="","",(C229*40%+D229*30%+E229*30%)*15%)</x:f>
      </x:c>
      <x:c r="K229" t="str">
        <x:f>IF(A229="","",(G229*35%+H229*35%+I229*20%+J229*10%)*55%)</x:f>
      </x:c>
      <x:c r="P229" t="str">
        <x:f>IF(A229="","",(L229*35%+M229*35%+N229*20%+O229*10%)*25%)</x:f>
      </x:c>
      <x:c r="S229" t="str">
        <x:f>IF(R229="","",IF(R229="Mujer",10,IF(R229="Hombre",'11_Config'!$B$13,0)))</x:f>
      </x:c>
      <x:c r="T229" t="str">
        <x:f>IF(R229="Hombre","REVISAR REGLA OFICIAL","")</x:f>
      </x:c>
      <x:c r="V229" t="str">
        <x:f>IF(A229="","",(Q229*40%+S229*30%+U229*30%)*5%)</x:f>
      </x:c>
      <x:c r="W229" t="str">
        <x:f>IF(A229="","",F229+K229+P229+V229)</x:f>
      </x:c>
      <x:c r="X229" t="str">
        <x:f>IF(W229="","",IF(W229&gt;='11_Config'!$B$9,"Selección prioritaria",IF(W229&gt;='11_Config'!$B$10,"Elegible / reserva",IF(W229&gt;='11_Config'!$B$11,"Elegible condicionado","No recomendado"))))</x:f>
      </x:c>
    </x:row>
    <x:row r="230">
      <x:c r="F230" t="str">
        <x:f>IF(A230="","",(C230*40%+D230*30%+E230*30%)*15%)</x:f>
      </x:c>
      <x:c r="K230" t="str">
        <x:f>IF(A230="","",(G230*35%+H230*35%+I230*20%+J230*10%)*55%)</x:f>
      </x:c>
      <x:c r="P230" t="str">
        <x:f>IF(A230="","",(L230*35%+M230*35%+N230*20%+O230*10%)*25%)</x:f>
      </x:c>
      <x:c r="S230" t="str">
        <x:f>IF(R230="","",IF(R230="Mujer",10,IF(R230="Hombre",'11_Config'!$B$13,0)))</x:f>
      </x:c>
      <x:c r="T230" t="str">
        <x:f>IF(R230="Hombre","REVISAR REGLA OFICIAL","")</x:f>
      </x:c>
      <x:c r="V230" t="str">
        <x:f>IF(A230="","",(Q230*40%+S230*30%+U230*30%)*5%)</x:f>
      </x:c>
      <x:c r="W230" t="str">
        <x:f>IF(A230="","",F230+K230+P230+V230)</x:f>
      </x:c>
      <x:c r="X230" t="str">
        <x:f>IF(W230="","",IF(W230&gt;='11_Config'!$B$9,"Selección prioritaria",IF(W230&gt;='11_Config'!$B$10,"Elegible / reserva",IF(W230&gt;='11_Config'!$B$11,"Elegible condicionado","No recomendado"))))</x:f>
      </x:c>
    </x:row>
    <x:row r="231">
      <x:c r="F231" t="str">
        <x:f>IF(A231="","",(C231*40%+D231*30%+E231*30%)*15%)</x:f>
      </x:c>
      <x:c r="K231" t="str">
        <x:f>IF(A231="","",(G231*35%+H231*35%+I231*20%+J231*10%)*55%)</x:f>
      </x:c>
      <x:c r="P231" t="str">
        <x:f>IF(A231="","",(L231*35%+M231*35%+N231*20%+O231*10%)*25%)</x:f>
      </x:c>
      <x:c r="S231" t="str">
        <x:f>IF(R231="","",IF(R231="Mujer",10,IF(R231="Hombre",'11_Config'!$B$13,0)))</x:f>
      </x:c>
      <x:c r="T231" t="str">
        <x:f>IF(R231="Hombre","REVISAR REGLA OFICIAL","")</x:f>
      </x:c>
      <x:c r="V231" t="str">
        <x:f>IF(A231="","",(Q231*40%+S231*30%+U231*30%)*5%)</x:f>
      </x:c>
      <x:c r="W231" t="str">
        <x:f>IF(A231="","",F231+K231+P231+V231)</x:f>
      </x:c>
      <x:c r="X231" t="str">
        <x:f>IF(W231="","",IF(W231&gt;='11_Config'!$B$9,"Selección prioritaria",IF(W231&gt;='11_Config'!$B$10,"Elegible / reserva",IF(W231&gt;='11_Config'!$B$11,"Elegible condicionado","No recomendado"))))</x:f>
      </x:c>
    </x:row>
    <x:row r="232">
      <x:c r="F232" t="str">
        <x:f>IF(A232="","",(C232*40%+D232*30%+E232*30%)*15%)</x:f>
      </x:c>
      <x:c r="K232" t="str">
        <x:f>IF(A232="","",(G232*35%+H232*35%+I232*20%+J232*10%)*55%)</x:f>
      </x:c>
      <x:c r="P232" t="str">
        <x:f>IF(A232="","",(L232*35%+M232*35%+N232*20%+O232*10%)*25%)</x:f>
      </x:c>
      <x:c r="S232" t="str">
        <x:f>IF(R232="","",IF(R232="Mujer",10,IF(R232="Hombre",'11_Config'!$B$13,0)))</x:f>
      </x:c>
      <x:c r="T232" t="str">
        <x:f>IF(R232="Hombre","REVISAR REGLA OFICIAL","")</x:f>
      </x:c>
      <x:c r="V232" t="str">
        <x:f>IF(A232="","",(Q232*40%+S232*30%+U232*30%)*5%)</x:f>
      </x:c>
      <x:c r="W232" t="str">
        <x:f>IF(A232="","",F232+K232+P232+V232)</x:f>
      </x:c>
      <x:c r="X232" t="str">
        <x:f>IF(W232="","",IF(W232&gt;='11_Config'!$B$9,"Selección prioritaria",IF(W232&gt;='11_Config'!$B$10,"Elegible / reserva",IF(W232&gt;='11_Config'!$B$11,"Elegible condicionado","No recomendado"))))</x:f>
      </x:c>
    </x:row>
    <x:row r="233">
      <x:c r="F233" t="str">
        <x:f>IF(A233="","",(C233*40%+D233*30%+E233*30%)*15%)</x:f>
      </x:c>
      <x:c r="K233" t="str">
        <x:f>IF(A233="","",(G233*35%+H233*35%+I233*20%+J233*10%)*55%)</x:f>
      </x:c>
      <x:c r="P233" t="str">
        <x:f>IF(A233="","",(L233*35%+M233*35%+N233*20%+O233*10%)*25%)</x:f>
      </x:c>
      <x:c r="S233" t="str">
        <x:f>IF(R233="","",IF(R233="Mujer",10,IF(R233="Hombre",'11_Config'!$B$13,0)))</x:f>
      </x:c>
      <x:c r="T233" t="str">
        <x:f>IF(R233="Hombre","REVISAR REGLA OFICIAL","")</x:f>
      </x:c>
      <x:c r="V233" t="str">
        <x:f>IF(A233="","",(Q233*40%+S233*30%+U233*30%)*5%)</x:f>
      </x:c>
      <x:c r="W233" t="str">
        <x:f>IF(A233="","",F233+K233+P233+V233)</x:f>
      </x:c>
      <x:c r="X233" t="str">
        <x:f>IF(W233="","",IF(W233&gt;='11_Config'!$B$9,"Selección prioritaria",IF(W233&gt;='11_Config'!$B$10,"Elegible / reserva",IF(W233&gt;='11_Config'!$B$11,"Elegible condicionado","No recomendado"))))</x:f>
      </x:c>
    </x:row>
    <x:row r="234">
      <x:c r="F234" t="str">
        <x:f>IF(A234="","",(C234*40%+D234*30%+E234*30%)*15%)</x:f>
      </x:c>
      <x:c r="K234" t="str">
        <x:f>IF(A234="","",(G234*35%+H234*35%+I234*20%+J234*10%)*55%)</x:f>
      </x:c>
      <x:c r="P234" t="str">
        <x:f>IF(A234="","",(L234*35%+M234*35%+N234*20%+O234*10%)*25%)</x:f>
      </x:c>
      <x:c r="S234" t="str">
        <x:f>IF(R234="","",IF(R234="Mujer",10,IF(R234="Hombre",'11_Config'!$B$13,0)))</x:f>
      </x:c>
      <x:c r="T234" t="str">
        <x:f>IF(R234="Hombre","REVISAR REGLA OFICIAL","")</x:f>
      </x:c>
      <x:c r="V234" t="str">
        <x:f>IF(A234="","",(Q234*40%+S234*30%+U234*30%)*5%)</x:f>
      </x:c>
      <x:c r="W234" t="str">
        <x:f>IF(A234="","",F234+K234+P234+V234)</x:f>
      </x:c>
      <x:c r="X234" t="str">
        <x:f>IF(W234="","",IF(W234&gt;='11_Config'!$B$9,"Selección prioritaria",IF(W234&gt;='11_Config'!$B$10,"Elegible / reserva",IF(W234&gt;='11_Config'!$B$11,"Elegible condicionado","No recomendado"))))</x:f>
      </x:c>
    </x:row>
    <x:row r="235">
      <x:c r="F235" t="str">
        <x:f>IF(A235="","",(C235*40%+D235*30%+E235*30%)*15%)</x:f>
      </x:c>
      <x:c r="K235" t="str">
        <x:f>IF(A235="","",(G235*35%+H235*35%+I235*20%+J235*10%)*55%)</x:f>
      </x:c>
      <x:c r="P235" t="str">
        <x:f>IF(A235="","",(L235*35%+M235*35%+N235*20%+O235*10%)*25%)</x:f>
      </x:c>
      <x:c r="S235" t="str">
        <x:f>IF(R235="","",IF(R235="Mujer",10,IF(R235="Hombre",'11_Config'!$B$13,0)))</x:f>
      </x:c>
      <x:c r="T235" t="str">
        <x:f>IF(R235="Hombre","REVISAR REGLA OFICIAL","")</x:f>
      </x:c>
      <x:c r="V235" t="str">
        <x:f>IF(A235="","",(Q235*40%+S235*30%+U235*30%)*5%)</x:f>
      </x:c>
      <x:c r="W235" t="str">
        <x:f>IF(A235="","",F235+K235+P235+V235)</x:f>
      </x:c>
      <x:c r="X235" t="str">
        <x:f>IF(W235="","",IF(W235&gt;='11_Config'!$B$9,"Selección prioritaria",IF(W235&gt;='11_Config'!$B$10,"Elegible / reserva",IF(W235&gt;='11_Config'!$B$11,"Elegible condicionado","No recomendado"))))</x:f>
      </x:c>
    </x:row>
    <x:row r="236">
      <x:c r="F236" t="str">
        <x:f>IF(A236="","",(C236*40%+D236*30%+E236*30%)*15%)</x:f>
      </x:c>
      <x:c r="K236" t="str">
        <x:f>IF(A236="","",(G236*35%+H236*35%+I236*20%+J236*10%)*55%)</x:f>
      </x:c>
      <x:c r="P236" t="str">
        <x:f>IF(A236="","",(L236*35%+M236*35%+N236*20%+O236*10%)*25%)</x:f>
      </x:c>
      <x:c r="S236" t="str">
        <x:f>IF(R236="","",IF(R236="Mujer",10,IF(R236="Hombre",'11_Config'!$B$13,0)))</x:f>
      </x:c>
      <x:c r="T236" t="str">
        <x:f>IF(R236="Hombre","REVISAR REGLA OFICIAL","")</x:f>
      </x:c>
      <x:c r="V236" t="str">
        <x:f>IF(A236="","",(Q236*40%+S236*30%+U236*30%)*5%)</x:f>
      </x:c>
      <x:c r="W236" t="str">
        <x:f>IF(A236="","",F236+K236+P236+V236)</x:f>
      </x:c>
      <x:c r="X236" t="str">
        <x:f>IF(W236="","",IF(W236&gt;='11_Config'!$B$9,"Selección prioritaria",IF(W236&gt;='11_Config'!$B$10,"Elegible / reserva",IF(W236&gt;='11_Config'!$B$11,"Elegible condicionado","No recomendado"))))</x:f>
      </x:c>
    </x:row>
    <x:row r="237">
      <x:c r="F237" t="str">
        <x:f>IF(A237="","",(C237*40%+D237*30%+E237*30%)*15%)</x:f>
      </x:c>
      <x:c r="K237" t="str">
        <x:f>IF(A237="","",(G237*35%+H237*35%+I237*20%+J237*10%)*55%)</x:f>
      </x:c>
      <x:c r="P237" t="str">
        <x:f>IF(A237="","",(L237*35%+M237*35%+N237*20%+O237*10%)*25%)</x:f>
      </x:c>
      <x:c r="S237" t="str">
        <x:f>IF(R237="","",IF(R237="Mujer",10,IF(R237="Hombre",'11_Config'!$B$13,0)))</x:f>
      </x:c>
      <x:c r="T237" t="str">
        <x:f>IF(R237="Hombre","REVISAR REGLA OFICIAL","")</x:f>
      </x:c>
      <x:c r="V237" t="str">
        <x:f>IF(A237="","",(Q237*40%+S237*30%+U237*30%)*5%)</x:f>
      </x:c>
      <x:c r="W237" t="str">
        <x:f>IF(A237="","",F237+K237+P237+V237)</x:f>
      </x:c>
      <x:c r="X237" t="str">
        <x:f>IF(W237="","",IF(W237&gt;='11_Config'!$B$9,"Selección prioritaria",IF(W237&gt;='11_Config'!$B$10,"Elegible / reserva",IF(W237&gt;='11_Config'!$B$11,"Elegible condicionado","No recomendado"))))</x:f>
      </x:c>
    </x:row>
    <x:row r="238">
      <x:c r="F238" t="str">
        <x:f>IF(A238="","",(C238*40%+D238*30%+E238*30%)*15%)</x:f>
      </x:c>
      <x:c r="K238" t="str">
        <x:f>IF(A238="","",(G238*35%+H238*35%+I238*20%+J238*10%)*55%)</x:f>
      </x:c>
      <x:c r="P238" t="str">
        <x:f>IF(A238="","",(L238*35%+M238*35%+N238*20%+O238*10%)*25%)</x:f>
      </x:c>
      <x:c r="S238" t="str">
        <x:f>IF(R238="","",IF(R238="Mujer",10,IF(R238="Hombre",'11_Config'!$B$13,0)))</x:f>
      </x:c>
      <x:c r="T238" t="str">
        <x:f>IF(R238="Hombre","REVISAR REGLA OFICIAL","")</x:f>
      </x:c>
      <x:c r="V238" t="str">
        <x:f>IF(A238="","",(Q238*40%+S238*30%+U238*30%)*5%)</x:f>
      </x:c>
      <x:c r="W238" t="str">
        <x:f>IF(A238="","",F238+K238+P238+V238)</x:f>
      </x:c>
      <x:c r="X238" t="str">
        <x:f>IF(W238="","",IF(W238&gt;='11_Config'!$B$9,"Selección prioritaria",IF(W238&gt;='11_Config'!$B$10,"Elegible / reserva",IF(W238&gt;='11_Config'!$B$11,"Elegible condicionado","No recomendado"))))</x:f>
      </x:c>
    </x:row>
    <x:row r="239">
      <x:c r="F239" t="str">
        <x:f>IF(A239="","",(C239*40%+D239*30%+E239*30%)*15%)</x:f>
      </x:c>
      <x:c r="K239" t="str">
        <x:f>IF(A239="","",(G239*35%+H239*35%+I239*20%+J239*10%)*55%)</x:f>
      </x:c>
      <x:c r="P239" t="str">
        <x:f>IF(A239="","",(L239*35%+M239*35%+N239*20%+O239*10%)*25%)</x:f>
      </x:c>
      <x:c r="S239" t="str">
        <x:f>IF(R239="","",IF(R239="Mujer",10,IF(R239="Hombre",'11_Config'!$B$13,0)))</x:f>
      </x:c>
      <x:c r="T239" t="str">
        <x:f>IF(R239="Hombre","REVISAR REGLA OFICIAL","")</x:f>
      </x:c>
      <x:c r="V239" t="str">
        <x:f>IF(A239="","",(Q239*40%+S239*30%+U239*30%)*5%)</x:f>
      </x:c>
      <x:c r="W239" t="str">
        <x:f>IF(A239="","",F239+K239+P239+V239)</x:f>
      </x:c>
      <x:c r="X239" t="str">
        <x:f>IF(W239="","",IF(W239&gt;='11_Config'!$B$9,"Selección prioritaria",IF(W239&gt;='11_Config'!$B$10,"Elegible / reserva",IF(W239&gt;='11_Config'!$B$11,"Elegible condicionado","No recomendado"))))</x:f>
      </x:c>
    </x:row>
    <x:row r="240">
      <x:c r="F240" t="str">
        <x:f>IF(A240="","",(C240*40%+D240*30%+E240*30%)*15%)</x:f>
      </x:c>
      <x:c r="K240" t="str">
        <x:f>IF(A240="","",(G240*35%+H240*35%+I240*20%+J240*10%)*55%)</x:f>
      </x:c>
      <x:c r="P240" t="str">
        <x:f>IF(A240="","",(L240*35%+M240*35%+N240*20%+O240*10%)*25%)</x:f>
      </x:c>
      <x:c r="S240" t="str">
        <x:f>IF(R240="","",IF(R240="Mujer",10,IF(R240="Hombre",'11_Config'!$B$13,0)))</x:f>
      </x:c>
      <x:c r="T240" t="str">
        <x:f>IF(R240="Hombre","REVISAR REGLA OFICIAL","")</x:f>
      </x:c>
      <x:c r="V240" t="str">
        <x:f>IF(A240="","",(Q240*40%+S240*30%+U240*30%)*5%)</x:f>
      </x:c>
      <x:c r="W240" t="str">
        <x:f>IF(A240="","",F240+K240+P240+V240)</x:f>
      </x:c>
      <x:c r="X240" t="str">
        <x:f>IF(W240="","",IF(W240&gt;='11_Config'!$B$9,"Selección prioritaria",IF(W240&gt;='11_Config'!$B$10,"Elegible / reserva",IF(W240&gt;='11_Config'!$B$11,"Elegible condicionado","No recomendado"))))</x:f>
      </x:c>
    </x:row>
    <x:row r="241">
      <x:c r="F241" t="str">
        <x:f>IF(A241="","",(C241*40%+D241*30%+E241*30%)*15%)</x:f>
      </x:c>
      <x:c r="K241" t="str">
        <x:f>IF(A241="","",(G241*35%+H241*35%+I241*20%+J241*10%)*55%)</x:f>
      </x:c>
      <x:c r="P241" t="str">
        <x:f>IF(A241="","",(L241*35%+M241*35%+N241*20%+O241*10%)*25%)</x:f>
      </x:c>
      <x:c r="S241" t="str">
        <x:f>IF(R241="","",IF(R241="Mujer",10,IF(R241="Hombre",'11_Config'!$B$13,0)))</x:f>
      </x:c>
      <x:c r="T241" t="str">
        <x:f>IF(R241="Hombre","REVISAR REGLA OFICIAL","")</x:f>
      </x:c>
      <x:c r="V241" t="str">
        <x:f>IF(A241="","",(Q241*40%+S241*30%+U241*30%)*5%)</x:f>
      </x:c>
      <x:c r="W241" t="str">
        <x:f>IF(A241="","",F241+K241+P241+V241)</x:f>
      </x:c>
      <x:c r="X241" t="str">
        <x:f>IF(W241="","",IF(W241&gt;='11_Config'!$B$9,"Selección prioritaria",IF(W241&gt;='11_Config'!$B$10,"Elegible / reserva",IF(W241&gt;='11_Config'!$B$11,"Elegible condicionado","No recomendado"))))</x:f>
      </x:c>
    </x:row>
    <x:row r="242">
      <x:c r="F242" t="str">
        <x:f>IF(A242="","",(C242*40%+D242*30%+E242*30%)*15%)</x:f>
      </x:c>
      <x:c r="K242" t="str">
        <x:f>IF(A242="","",(G242*35%+H242*35%+I242*20%+J242*10%)*55%)</x:f>
      </x:c>
      <x:c r="P242" t="str">
        <x:f>IF(A242="","",(L242*35%+M242*35%+N242*20%+O242*10%)*25%)</x:f>
      </x:c>
      <x:c r="S242" t="str">
        <x:f>IF(R242="","",IF(R242="Mujer",10,IF(R242="Hombre",'11_Config'!$B$13,0)))</x:f>
      </x:c>
      <x:c r="T242" t="str">
        <x:f>IF(R242="Hombre","REVISAR REGLA OFICIAL","")</x:f>
      </x:c>
      <x:c r="V242" t="str">
        <x:f>IF(A242="","",(Q242*40%+S242*30%+U242*30%)*5%)</x:f>
      </x:c>
      <x:c r="W242" t="str">
        <x:f>IF(A242="","",F242+K242+P242+V242)</x:f>
      </x:c>
      <x:c r="X242" t="str">
        <x:f>IF(W242="","",IF(W242&gt;='11_Config'!$B$9,"Selección prioritaria",IF(W242&gt;='11_Config'!$B$10,"Elegible / reserva",IF(W242&gt;='11_Config'!$B$11,"Elegible condicionado","No recomendado"))))</x:f>
      </x:c>
    </x:row>
    <x:row r="243">
      <x:c r="F243" t="str">
        <x:f>IF(A243="","",(C243*40%+D243*30%+E243*30%)*15%)</x:f>
      </x:c>
      <x:c r="K243" t="str">
        <x:f>IF(A243="","",(G243*35%+H243*35%+I243*20%+J243*10%)*55%)</x:f>
      </x:c>
      <x:c r="P243" t="str">
        <x:f>IF(A243="","",(L243*35%+M243*35%+N243*20%+O243*10%)*25%)</x:f>
      </x:c>
      <x:c r="S243" t="str">
        <x:f>IF(R243="","",IF(R243="Mujer",10,IF(R243="Hombre",'11_Config'!$B$13,0)))</x:f>
      </x:c>
      <x:c r="T243" t="str">
        <x:f>IF(R243="Hombre","REVISAR REGLA OFICIAL","")</x:f>
      </x:c>
      <x:c r="V243" t="str">
        <x:f>IF(A243="","",(Q243*40%+S243*30%+U243*30%)*5%)</x:f>
      </x:c>
      <x:c r="W243" t="str">
        <x:f>IF(A243="","",F243+K243+P243+V243)</x:f>
      </x:c>
      <x:c r="X243" t="str">
        <x:f>IF(W243="","",IF(W243&gt;='11_Config'!$B$9,"Selección prioritaria",IF(W243&gt;='11_Config'!$B$10,"Elegible / reserva",IF(W243&gt;='11_Config'!$B$11,"Elegible condicionado","No recomendado"))))</x:f>
      </x:c>
    </x:row>
    <x:row r="244">
      <x:c r="F244" t="str">
        <x:f>IF(A244="","",(C244*40%+D244*30%+E244*30%)*15%)</x:f>
      </x:c>
      <x:c r="K244" t="str">
        <x:f>IF(A244="","",(G244*35%+H244*35%+I244*20%+J244*10%)*55%)</x:f>
      </x:c>
      <x:c r="P244" t="str">
        <x:f>IF(A244="","",(L244*35%+M244*35%+N244*20%+O244*10%)*25%)</x:f>
      </x:c>
      <x:c r="S244" t="str">
        <x:f>IF(R244="","",IF(R244="Mujer",10,IF(R244="Hombre",'11_Config'!$B$13,0)))</x:f>
      </x:c>
      <x:c r="T244" t="str">
        <x:f>IF(R244="Hombre","REVISAR REGLA OFICIAL","")</x:f>
      </x:c>
      <x:c r="V244" t="str">
        <x:f>IF(A244="","",(Q244*40%+S244*30%+U244*30%)*5%)</x:f>
      </x:c>
      <x:c r="W244" t="str">
        <x:f>IF(A244="","",F244+K244+P244+V244)</x:f>
      </x:c>
      <x:c r="X244" t="str">
        <x:f>IF(W244="","",IF(W244&gt;='11_Config'!$B$9,"Selección prioritaria",IF(W244&gt;='11_Config'!$B$10,"Elegible / reserva",IF(W244&gt;='11_Config'!$B$11,"Elegible condicionado","No recomendado"))))</x:f>
      </x:c>
    </x:row>
    <x:row r="245">
      <x:c r="F245" t="str">
        <x:f>IF(A245="","",(C245*40%+D245*30%+E245*30%)*15%)</x:f>
      </x:c>
      <x:c r="K245" t="str">
        <x:f>IF(A245="","",(G245*35%+H245*35%+I245*20%+J245*10%)*55%)</x:f>
      </x:c>
      <x:c r="P245" t="str">
        <x:f>IF(A245="","",(L245*35%+M245*35%+N245*20%+O245*10%)*25%)</x:f>
      </x:c>
      <x:c r="S245" t="str">
        <x:f>IF(R245="","",IF(R245="Mujer",10,IF(R245="Hombre",'11_Config'!$B$13,0)))</x:f>
      </x:c>
      <x:c r="T245" t="str">
        <x:f>IF(R245="Hombre","REVISAR REGLA OFICIAL","")</x:f>
      </x:c>
      <x:c r="V245" t="str">
        <x:f>IF(A245="","",(Q245*40%+S245*30%+U245*30%)*5%)</x:f>
      </x:c>
      <x:c r="W245" t="str">
        <x:f>IF(A245="","",F245+K245+P245+V245)</x:f>
      </x:c>
      <x:c r="X245" t="str">
        <x:f>IF(W245="","",IF(W245&gt;='11_Config'!$B$9,"Selección prioritaria",IF(W245&gt;='11_Config'!$B$10,"Elegible / reserva",IF(W245&gt;='11_Config'!$B$11,"Elegible condicionado","No recomendado"))))</x:f>
      </x:c>
    </x:row>
    <x:row r="246">
      <x:c r="F246" t="str">
        <x:f>IF(A246="","",(C246*40%+D246*30%+E246*30%)*15%)</x:f>
      </x:c>
      <x:c r="K246" t="str">
        <x:f>IF(A246="","",(G246*35%+H246*35%+I246*20%+J246*10%)*55%)</x:f>
      </x:c>
      <x:c r="P246" t="str">
        <x:f>IF(A246="","",(L246*35%+M246*35%+N246*20%+O246*10%)*25%)</x:f>
      </x:c>
      <x:c r="S246" t="str">
        <x:f>IF(R246="","",IF(R246="Mujer",10,IF(R246="Hombre",'11_Config'!$B$13,0)))</x:f>
      </x:c>
      <x:c r="T246" t="str">
        <x:f>IF(R246="Hombre","REVISAR REGLA OFICIAL","")</x:f>
      </x:c>
      <x:c r="V246" t="str">
        <x:f>IF(A246="","",(Q246*40%+S246*30%+U246*30%)*5%)</x:f>
      </x:c>
      <x:c r="W246" t="str">
        <x:f>IF(A246="","",F246+K246+P246+V246)</x:f>
      </x:c>
      <x:c r="X246" t="str">
        <x:f>IF(W246="","",IF(W246&gt;='11_Config'!$B$9,"Selección prioritaria",IF(W246&gt;='11_Config'!$B$10,"Elegible / reserva",IF(W246&gt;='11_Config'!$B$11,"Elegible condicionado","No recomendado"))))</x:f>
      </x:c>
    </x:row>
    <x:row r="247">
      <x:c r="F247" t="str">
        <x:f>IF(A247="","",(C247*40%+D247*30%+E247*30%)*15%)</x:f>
      </x:c>
      <x:c r="K247" t="str">
        <x:f>IF(A247="","",(G247*35%+H247*35%+I247*20%+J247*10%)*55%)</x:f>
      </x:c>
      <x:c r="P247" t="str">
        <x:f>IF(A247="","",(L247*35%+M247*35%+N247*20%+O247*10%)*25%)</x:f>
      </x:c>
      <x:c r="S247" t="str">
        <x:f>IF(R247="","",IF(R247="Mujer",10,IF(R247="Hombre",'11_Config'!$B$13,0)))</x:f>
      </x:c>
      <x:c r="T247" t="str">
        <x:f>IF(R247="Hombre","REVISAR REGLA OFICIAL","")</x:f>
      </x:c>
      <x:c r="V247" t="str">
        <x:f>IF(A247="","",(Q247*40%+S247*30%+U247*30%)*5%)</x:f>
      </x:c>
      <x:c r="W247" t="str">
        <x:f>IF(A247="","",F247+K247+P247+V247)</x:f>
      </x:c>
      <x:c r="X247" t="str">
        <x:f>IF(W247="","",IF(W247&gt;='11_Config'!$B$9,"Selección prioritaria",IF(W247&gt;='11_Config'!$B$10,"Elegible / reserva",IF(W247&gt;='11_Config'!$B$11,"Elegible condicionado","No recomendado"))))</x:f>
      </x:c>
    </x:row>
    <x:row r="248">
      <x:c r="F248" t="str">
        <x:f>IF(A248="","",(C248*40%+D248*30%+E248*30%)*15%)</x:f>
      </x:c>
      <x:c r="K248" t="str">
        <x:f>IF(A248="","",(G248*35%+H248*35%+I248*20%+J248*10%)*55%)</x:f>
      </x:c>
      <x:c r="P248" t="str">
        <x:f>IF(A248="","",(L248*35%+M248*35%+N248*20%+O248*10%)*25%)</x:f>
      </x:c>
      <x:c r="S248" t="str">
        <x:f>IF(R248="","",IF(R248="Mujer",10,IF(R248="Hombre",'11_Config'!$B$13,0)))</x:f>
      </x:c>
      <x:c r="T248" t="str">
        <x:f>IF(R248="Hombre","REVISAR REGLA OFICIAL","")</x:f>
      </x:c>
      <x:c r="V248" t="str">
        <x:f>IF(A248="","",(Q248*40%+S248*30%+U248*30%)*5%)</x:f>
      </x:c>
      <x:c r="W248" t="str">
        <x:f>IF(A248="","",F248+K248+P248+V248)</x:f>
      </x:c>
      <x:c r="X248" t="str">
        <x:f>IF(W248="","",IF(W248&gt;='11_Config'!$B$9,"Selección prioritaria",IF(W248&gt;='11_Config'!$B$10,"Elegible / reserva",IF(W248&gt;='11_Config'!$B$11,"Elegible condicionado","No recomendado"))))</x:f>
      </x:c>
    </x:row>
    <x:row r="249">
      <x:c r="F249" t="str">
        <x:f>IF(A249="","",(C249*40%+D249*30%+E249*30%)*15%)</x:f>
      </x:c>
      <x:c r="K249" t="str">
        <x:f>IF(A249="","",(G249*35%+H249*35%+I249*20%+J249*10%)*55%)</x:f>
      </x:c>
      <x:c r="P249" t="str">
        <x:f>IF(A249="","",(L249*35%+M249*35%+N249*20%+O249*10%)*25%)</x:f>
      </x:c>
      <x:c r="S249" t="str">
        <x:f>IF(R249="","",IF(R249="Mujer",10,IF(R249="Hombre",'11_Config'!$B$13,0)))</x:f>
      </x:c>
      <x:c r="T249" t="str">
        <x:f>IF(R249="Hombre","REVISAR REGLA OFICIAL","")</x:f>
      </x:c>
      <x:c r="V249" t="str">
        <x:f>IF(A249="","",(Q249*40%+S249*30%+U249*30%)*5%)</x:f>
      </x:c>
      <x:c r="W249" t="str">
        <x:f>IF(A249="","",F249+K249+P249+V249)</x:f>
      </x:c>
      <x:c r="X249" t="str">
        <x:f>IF(W249="","",IF(W249&gt;='11_Config'!$B$9,"Selección prioritaria",IF(W249&gt;='11_Config'!$B$10,"Elegible / reserva",IF(W249&gt;='11_Config'!$B$11,"Elegible condicionado","No recomendado"))))</x:f>
      </x:c>
    </x:row>
    <x:row r="250">
      <x:c r="F250" t="str">
        <x:f>IF(A250="","",(C250*40%+D250*30%+E250*30%)*15%)</x:f>
      </x:c>
      <x:c r="K250" t="str">
        <x:f>IF(A250="","",(G250*35%+H250*35%+I250*20%+J250*10%)*55%)</x:f>
      </x:c>
      <x:c r="P250" t="str">
        <x:f>IF(A250="","",(L250*35%+M250*35%+N250*20%+O250*10%)*25%)</x:f>
      </x:c>
      <x:c r="S250" t="str">
        <x:f>IF(R250="","",IF(R250="Mujer",10,IF(R250="Hombre",'11_Config'!$B$13,0)))</x:f>
      </x:c>
      <x:c r="T250" t="str">
        <x:f>IF(R250="Hombre","REVISAR REGLA OFICIAL","")</x:f>
      </x:c>
      <x:c r="V250" t="str">
        <x:f>IF(A250="","",(Q250*40%+S250*30%+U250*30%)*5%)</x:f>
      </x:c>
      <x:c r="W250" t="str">
        <x:f>IF(A250="","",F250+K250+P250+V250)</x:f>
      </x:c>
      <x:c r="X250" t="str">
        <x:f>IF(W250="","",IF(W250&gt;='11_Config'!$B$9,"Selección prioritaria",IF(W250&gt;='11_Config'!$B$10,"Elegible / reserva",IF(W250&gt;='11_Config'!$B$11,"Elegible condicionado","No recomendado"))))</x:f>
      </x:c>
    </x:row>
    <x:row r="251">
      <x:c r="F251" t="str">
        <x:f>IF(A251="","",(C251*40%+D251*30%+E251*30%)*15%)</x:f>
      </x:c>
      <x:c r="K251" t="str">
        <x:f>IF(A251="","",(G251*35%+H251*35%+I251*20%+J251*10%)*55%)</x:f>
      </x:c>
      <x:c r="P251" t="str">
        <x:f>IF(A251="","",(L251*35%+M251*35%+N251*20%+O251*10%)*25%)</x:f>
      </x:c>
      <x:c r="S251" t="str">
        <x:f>IF(R251="","",IF(R251="Mujer",10,IF(R251="Hombre",'11_Config'!$B$13,0)))</x:f>
      </x:c>
      <x:c r="T251" t="str">
        <x:f>IF(R251="Hombre","REVISAR REGLA OFICIAL","")</x:f>
      </x:c>
      <x:c r="V251" t="str">
        <x:f>IF(A251="","",(Q251*40%+S251*30%+U251*30%)*5%)</x:f>
      </x:c>
      <x:c r="W251" t="str">
        <x:f>IF(A251="","",F251+K251+P251+V251)</x:f>
      </x:c>
      <x:c r="X251" t="str">
        <x:f>IF(W251="","",IF(W251&gt;='11_Config'!$B$9,"Selección prioritaria",IF(W251&gt;='11_Config'!$B$10,"Elegible / reserva",IF(W251&gt;='11_Config'!$B$11,"Elegible condicionado","No recomendado"))))</x:f>
      </x:c>
    </x:row>
    <x:row r="252">
      <x:c r="F252" t="str">
        <x:f>IF(A252="","",(C252*40%+D252*30%+E252*30%)*15%)</x:f>
      </x:c>
      <x:c r="K252" t="str">
        <x:f>IF(A252="","",(G252*35%+H252*35%+I252*20%+J252*10%)*55%)</x:f>
      </x:c>
      <x:c r="P252" t="str">
        <x:f>IF(A252="","",(L252*35%+M252*35%+N252*20%+O252*10%)*25%)</x:f>
      </x:c>
      <x:c r="S252" t="str">
        <x:f>IF(R252="","",IF(R252="Mujer",10,IF(R252="Hombre",'11_Config'!$B$13,0)))</x:f>
      </x:c>
      <x:c r="T252" t="str">
        <x:f>IF(R252="Hombre","REVISAR REGLA OFICIAL","")</x:f>
      </x:c>
      <x:c r="V252" t="str">
        <x:f>IF(A252="","",(Q252*40%+S252*30%+U252*30%)*5%)</x:f>
      </x:c>
      <x:c r="W252" t="str">
        <x:f>IF(A252="","",F252+K252+P252+V252)</x:f>
      </x:c>
      <x:c r="X252" t="str">
        <x:f>IF(W252="","",IF(W252&gt;='11_Config'!$B$9,"Selección prioritaria",IF(W252&gt;='11_Config'!$B$10,"Elegible / reserva",IF(W252&gt;='11_Config'!$B$11,"Elegible condicionado","No recomendado"))))</x:f>
      </x:c>
    </x:row>
    <x:row r="253">
      <x:c r="F253" t="str">
        <x:f>IF(A253="","",(C253*40%+D253*30%+E253*30%)*15%)</x:f>
      </x:c>
      <x:c r="K253" t="str">
        <x:f>IF(A253="","",(G253*35%+H253*35%+I253*20%+J253*10%)*55%)</x:f>
      </x:c>
      <x:c r="P253" t="str">
        <x:f>IF(A253="","",(L253*35%+M253*35%+N253*20%+O253*10%)*25%)</x:f>
      </x:c>
      <x:c r="S253" t="str">
        <x:f>IF(R253="","",IF(R253="Mujer",10,IF(R253="Hombre",'11_Config'!$B$13,0)))</x:f>
      </x:c>
      <x:c r="T253" t="str">
        <x:f>IF(R253="Hombre","REVISAR REGLA OFICIAL","")</x:f>
      </x:c>
      <x:c r="V253" t="str">
        <x:f>IF(A253="","",(Q253*40%+S253*30%+U253*30%)*5%)</x:f>
      </x:c>
      <x:c r="W253" t="str">
        <x:f>IF(A253="","",F253+K253+P253+V253)</x:f>
      </x:c>
      <x:c r="X253" t="str">
        <x:f>IF(W253="","",IF(W253&gt;='11_Config'!$B$9,"Selección prioritaria",IF(W253&gt;='11_Config'!$B$10,"Elegible / reserva",IF(W253&gt;='11_Config'!$B$11,"Elegible condicionado","No recomendado"))))</x:f>
      </x:c>
    </x:row>
    <x:row r="254">
      <x:c r="F254" t="str">
        <x:f>IF(A254="","",(C254*40%+D254*30%+E254*30%)*15%)</x:f>
      </x:c>
      <x:c r="K254" t="str">
        <x:f>IF(A254="","",(G254*35%+H254*35%+I254*20%+J254*10%)*55%)</x:f>
      </x:c>
      <x:c r="P254" t="str">
        <x:f>IF(A254="","",(L254*35%+M254*35%+N254*20%+O254*10%)*25%)</x:f>
      </x:c>
      <x:c r="S254" t="str">
        <x:f>IF(R254="","",IF(R254="Mujer",10,IF(R254="Hombre",'11_Config'!$B$13,0)))</x:f>
      </x:c>
      <x:c r="T254" t="str">
        <x:f>IF(R254="Hombre","REVISAR REGLA OFICIAL","")</x:f>
      </x:c>
      <x:c r="V254" t="str">
        <x:f>IF(A254="","",(Q254*40%+S254*30%+U254*30%)*5%)</x:f>
      </x:c>
      <x:c r="W254" t="str">
        <x:f>IF(A254="","",F254+K254+P254+V254)</x:f>
      </x:c>
      <x:c r="X254" t="str">
        <x:f>IF(W254="","",IF(W254&gt;='11_Config'!$B$9,"Selección prioritaria",IF(W254&gt;='11_Config'!$B$10,"Elegible / reserva",IF(W254&gt;='11_Config'!$B$11,"Elegible condicionado","No recomendado"))))</x:f>
      </x:c>
    </x:row>
    <x:row r="255">
      <x:c r="F255" t="str">
        <x:f>IF(A255="","",(C255*40%+D255*30%+E255*30%)*15%)</x:f>
      </x:c>
      <x:c r="K255" t="str">
        <x:f>IF(A255="","",(G255*35%+H255*35%+I255*20%+J255*10%)*55%)</x:f>
      </x:c>
      <x:c r="P255" t="str">
        <x:f>IF(A255="","",(L255*35%+M255*35%+N255*20%+O255*10%)*25%)</x:f>
      </x:c>
      <x:c r="S255" t="str">
        <x:f>IF(R255="","",IF(R255="Mujer",10,IF(R255="Hombre",'11_Config'!$B$13,0)))</x:f>
      </x:c>
      <x:c r="T255" t="str">
        <x:f>IF(R255="Hombre","REVISAR REGLA OFICIAL","")</x:f>
      </x:c>
      <x:c r="V255" t="str">
        <x:f>IF(A255="","",(Q255*40%+S255*30%+U255*30%)*5%)</x:f>
      </x:c>
      <x:c r="W255" t="str">
        <x:f>IF(A255="","",F255+K255+P255+V255)</x:f>
      </x:c>
      <x:c r="X255" t="str">
        <x:f>IF(W255="","",IF(W255&gt;='11_Config'!$B$9,"Selección prioritaria",IF(W255&gt;='11_Config'!$B$10,"Elegible / reserva",IF(W255&gt;='11_Config'!$B$11,"Elegible condicionado","No recomendado"))))</x:f>
      </x:c>
    </x:row>
    <x:row r="256">
      <x:c r="F256" t="str">
        <x:f>IF(A256="","",(C256*40%+D256*30%+E256*30%)*15%)</x:f>
      </x:c>
      <x:c r="K256" t="str">
        <x:f>IF(A256="","",(G256*35%+H256*35%+I256*20%+J256*10%)*55%)</x:f>
      </x:c>
      <x:c r="P256" t="str">
        <x:f>IF(A256="","",(L256*35%+M256*35%+N256*20%+O256*10%)*25%)</x:f>
      </x:c>
      <x:c r="S256" t="str">
        <x:f>IF(R256="","",IF(R256="Mujer",10,IF(R256="Hombre",'11_Config'!$B$13,0)))</x:f>
      </x:c>
      <x:c r="T256" t="str">
        <x:f>IF(R256="Hombre","REVISAR REGLA OFICIAL","")</x:f>
      </x:c>
      <x:c r="V256" t="str">
        <x:f>IF(A256="","",(Q256*40%+S256*30%+U256*30%)*5%)</x:f>
      </x:c>
      <x:c r="W256" t="str">
        <x:f>IF(A256="","",F256+K256+P256+V256)</x:f>
      </x:c>
      <x:c r="X256" t="str">
        <x:f>IF(W256="","",IF(W256&gt;='11_Config'!$B$9,"Selección prioritaria",IF(W256&gt;='11_Config'!$B$10,"Elegible / reserva",IF(W256&gt;='11_Config'!$B$11,"Elegible condicionado","No recomendado"))))</x:f>
      </x:c>
    </x:row>
    <x:row r="257">
      <x:c r="F257" t="str">
        <x:f>IF(A257="","",(C257*40%+D257*30%+E257*30%)*15%)</x:f>
      </x:c>
      <x:c r="K257" t="str">
        <x:f>IF(A257="","",(G257*35%+H257*35%+I257*20%+J257*10%)*55%)</x:f>
      </x:c>
      <x:c r="P257" t="str">
        <x:f>IF(A257="","",(L257*35%+M257*35%+N257*20%+O257*10%)*25%)</x:f>
      </x:c>
      <x:c r="S257" t="str">
        <x:f>IF(R257="","",IF(R257="Mujer",10,IF(R257="Hombre",'11_Config'!$B$13,0)))</x:f>
      </x:c>
      <x:c r="T257" t="str">
        <x:f>IF(R257="Hombre","REVISAR REGLA OFICIAL","")</x:f>
      </x:c>
      <x:c r="V257" t="str">
        <x:f>IF(A257="","",(Q257*40%+S257*30%+U257*30%)*5%)</x:f>
      </x:c>
      <x:c r="W257" t="str">
        <x:f>IF(A257="","",F257+K257+P257+V257)</x:f>
      </x:c>
      <x:c r="X257" t="str">
        <x:f>IF(W257="","",IF(W257&gt;='11_Config'!$B$9,"Selección prioritaria",IF(W257&gt;='11_Config'!$B$10,"Elegible / reserva",IF(W257&gt;='11_Config'!$B$11,"Elegible condicionado","No recomendado"))))</x:f>
      </x:c>
    </x:row>
    <x:row r="258">
      <x:c r="F258" t="str">
        <x:f>IF(A258="","",(C258*40%+D258*30%+E258*30%)*15%)</x:f>
      </x:c>
      <x:c r="K258" t="str">
        <x:f>IF(A258="","",(G258*35%+H258*35%+I258*20%+J258*10%)*55%)</x:f>
      </x:c>
      <x:c r="P258" t="str">
        <x:f>IF(A258="","",(L258*35%+M258*35%+N258*20%+O258*10%)*25%)</x:f>
      </x:c>
      <x:c r="S258" t="str">
        <x:f>IF(R258="","",IF(R258="Mujer",10,IF(R258="Hombre",'11_Config'!$B$13,0)))</x:f>
      </x:c>
      <x:c r="T258" t="str">
        <x:f>IF(R258="Hombre","REVISAR REGLA OFICIAL","")</x:f>
      </x:c>
      <x:c r="V258" t="str">
        <x:f>IF(A258="","",(Q258*40%+S258*30%+U258*30%)*5%)</x:f>
      </x:c>
      <x:c r="W258" t="str">
        <x:f>IF(A258="","",F258+K258+P258+V258)</x:f>
      </x:c>
      <x:c r="X258" t="str">
        <x:f>IF(W258="","",IF(W258&gt;='11_Config'!$B$9,"Selección prioritaria",IF(W258&gt;='11_Config'!$B$10,"Elegible / reserva",IF(W258&gt;='11_Config'!$B$11,"Elegible condicionado","No recomendado"))))</x:f>
      </x:c>
    </x:row>
    <x:row r="259">
      <x:c r="F259" t="str">
        <x:f>IF(A259="","",(C259*40%+D259*30%+E259*30%)*15%)</x:f>
      </x:c>
      <x:c r="K259" t="str">
        <x:f>IF(A259="","",(G259*35%+H259*35%+I259*20%+J259*10%)*55%)</x:f>
      </x:c>
      <x:c r="P259" t="str">
        <x:f>IF(A259="","",(L259*35%+M259*35%+N259*20%+O259*10%)*25%)</x:f>
      </x:c>
      <x:c r="S259" t="str">
        <x:f>IF(R259="","",IF(R259="Mujer",10,IF(R259="Hombre",'11_Config'!$B$13,0)))</x:f>
      </x:c>
      <x:c r="T259" t="str">
        <x:f>IF(R259="Hombre","REVISAR REGLA OFICIAL","")</x:f>
      </x:c>
      <x:c r="V259" t="str">
        <x:f>IF(A259="","",(Q259*40%+S259*30%+U259*30%)*5%)</x:f>
      </x:c>
      <x:c r="W259" t="str">
        <x:f>IF(A259="","",F259+K259+P259+V259)</x:f>
      </x:c>
      <x:c r="X259" t="str">
        <x:f>IF(W259="","",IF(W259&gt;='11_Config'!$B$9,"Selección prioritaria",IF(W259&gt;='11_Config'!$B$10,"Elegible / reserva",IF(W259&gt;='11_Config'!$B$11,"Elegible condicionado","No recomendado"))))</x:f>
      </x:c>
    </x:row>
    <x:row r="260">
      <x:c r="F260" t="str">
        <x:f>IF(A260="","",(C260*40%+D260*30%+E260*30%)*15%)</x:f>
      </x:c>
      <x:c r="K260" t="str">
        <x:f>IF(A260="","",(G260*35%+H260*35%+I260*20%+J260*10%)*55%)</x:f>
      </x:c>
      <x:c r="P260" t="str">
        <x:f>IF(A260="","",(L260*35%+M260*35%+N260*20%+O260*10%)*25%)</x:f>
      </x:c>
      <x:c r="S260" t="str">
        <x:f>IF(R260="","",IF(R260="Mujer",10,IF(R260="Hombre",'11_Config'!$B$13,0)))</x:f>
      </x:c>
      <x:c r="T260" t="str">
        <x:f>IF(R260="Hombre","REVISAR REGLA OFICIAL","")</x:f>
      </x:c>
      <x:c r="V260" t="str">
        <x:f>IF(A260="","",(Q260*40%+S260*30%+U260*30%)*5%)</x:f>
      </x:c>
      <x:c r="W260" t="str">
        <x:f>IF(A260="","",F260+K260+P260+V260)</x:f>
      </x:c>
      <x:c r="X260" t="str">
        <x:f>IF(W260="","",IF(W260&gt;='11_Config'!$B$9,"Selección prioritaria",IF(W260&gt;='11_Config'!$B$10,"Elegible / reserva",IF(W260&gt;='11_Config'!$B$11,"Elegible condicionado","No recomendado"))))</x:f>
      </x:c>
    </x:row>
    <x:row r="261">
      <x:c r="F261" t="str">
        <x:f>IF(A261="","",(C261*40%+D261*30%+E261*30%)*15%)</x:f>
      </x:c>
      <x:c r="K261" t="str">
        <x:f>IF(A261="","",(G261*35%+H261*35%+I261*20%+J261*10%)*55%)</x:f>
      </x:c>
      <x:c r="P261" t="str">
        <x:f>IF(A261="","",(L261*35%+M261*35%+N261*20%+O261*10%)*25%)</x:f>
      </x:c>
      <x:c r="S261" t="str">
        <x:f>IF(R261="","",IF(R261="Mujer",10,IF(R261="Hombre",'11_Config'!$B$13,0)))</x:f>
      </x:c>
      <x:c r="T261" t="str">
        <x:f>IF(R261="Hombre","REVISAR REGLA OFICIAL","")</x:f>
      </x:c>
      <x:c r="V261" t="str">
        <x:f>IF(A261="","",(Q261*40%+S261*30%+U261*30%)*5%)</x:f>
      </x:c>
      <x:c r="W261" t="str">
        <x:f>IF(A261="","",F261+K261+P261+V261)</x:f>
      </x:c>
      <x:c r="X261" t="str">
        <x:f>IF(W261="","",IF(W261&gt;='11_Config'!$B$9,"Selección prioritaria",IF(W261&gt;='11_Config'!$B$10,"Elegible / reserva",IF(W261&gt;='11_Config'!$B$11,"Elegible condicionado","No recomendado"))))</x:f>
      </x:c>
    </x:row>
    <x:row r="262">
      <x:c r="F262" t="str">
        <x:f>IF(A262="","",(C262*40%+D262*30%+E262*30%)*15%)</x:f>
      </x:c>
      <x:c r="K262" t="str">
        <x:f>IF(A262="","",(G262*35%+H262*35%+I262*20%+J262*10%)*55%)</x:f>
      </x:c>
      <x:c r="P262" t="str">
        <x:f>IF(A262="","",(L262*35%+M262*35%+N262*20%+O262*10%)*25%)</x:f>
      </x:c>
      <x:c r="S262" t="str">
        <x:f>IF(R262="","",IF(R262="Mujer",10,IF(R262="Hombre",'11_Config'!$B$13,0)))</x:f>
      </x:c>
      <x:c r="T262" t="str">
        <x:f>IF(R262="Hombre","REVISAR REGLA OFICIAL","")</x:f>
      </x:c>
      <x:c r="V262" t="str">
        <x:f>IF(A262="","",(Q262*40%+S262*30%+U262*30%)*5%)</x:f>
      </x:c>
      <x:c r="W262" t="str">
        <x:f>IF(A262="","",F262+K262+P262+V262)</x:f>
      </x:c>
      <x:c r="X262" t="str">
        <x:f>IF(W262="","",IF(W262&gt;='11_Config'!$B$9,"Selección prioritaria",IF(W262&gt;='11_Config'!$B$10,"Elegible / reserva",IF(W262&gt;='11_Config'!$B$11,"Elegible condicionado","No recomendado"))))</x:f>
      </x:c>
    </x:row>
    <x:row r="263">
      <x:c r="F263" t="str">
        <x:f>IF(A263="","",(C263*40%+D263*30%+E263*30%)*15%)</x:f>
      </x:c>
      <x:c r="K263" t="str">
        <x:f>IF(A263="","",(G263*35%+H263*35%+I263*20%+J263*10%)*55%)</x:f>
      </x:c>
      <x:c r="P263" t="str">
        <x:f>IF(A263="","",(L263*35%+M263*35%+N263*20%+O263*10%)*25%)</x:f>
      </x:c>
      <x:c r="S263" t="str">
        <x:f>IF(R263="","",IF(R263="Mujer",10,IF(R263="Hombre",'11_Config'!$B$13,0)))</x:f>
      </x:c>
      <x:c r="T263" t="str">
        <x:f>IF(R263="Hombre","REVISAR REGLA OFICIAL","")</x:f>
      </x:c>
      <x:c r="V263" t="str">
        <x:f>IF(A263="","",(Q263*40%+S263*30%+U263*30%)*5%)</x:f>
      </x:c>
      <x:c r="W263" t="str">
        <x:f>IF(A263="","",F263+K263+P263+V263)</x:f>
      </x:c>
      <x:c r="X263" t="str">
        <x:f>IF(W263="","",IF(W263&gt;='11_Config'!$B$9,"Selección prioritaria",IF(W263&gt;='11_Config'!$B$10,"Elegible / reserva",IF(W263&gt;='11_Config'!$B$11,"Elegible condicionado","No recomendado"))))</x:f>
      </x:c>
    </x:row>
    <x:row r="264">
      <x:c r="F264" t="str">
        <x:f>IF(A264="","",(C264*40%+D264*30%+E264*30%)*15%)</x:f>
      </x:c>
      <x:c r="K264" t="str">
        <x:f>IF(A264="","",(G264*35%+H264*35%+I264*20%+J264*10%)*55%)</x:f>
      </x:c>
      <x:c r="P264" t="str">
        <x:f>IF(A264="","",(L264*35%+M264*35%+N264*20%+O264*10%)*25%)</x:f>
      </x:c>
      <x:c r="S264" t="str">
        <x:f>IF(R264="","",IF(R264="Mujer",10,IF(R264="Hombre",'11_Config'!$B$13,0)))</x:f>
      </x:c>
      <x:c r="T264" t="str">
        <x:f>IF(R264="Hombre","REVISAR REGLA OFICIAL","")</x:f>
      </x:c>
      <x:c r="V264" t="str">
        <x:f>IF(A264="","",(Q264*40%+S264*30%+U264*30%)*5%)</x:f>
      </x:c>
      <x:c r="W264" t="str">
        <x:f>IF(A264="","",F264+K264+P264+V264)</x:f>
      </x:c>
      <x:c r="X264" t="str">
        <x:f>IF(W264="","",IF(W264&gt;='11_Config'!$B$9,"Selección prioritaria",IF(W264&gt;='11_Config'!$B$10,"Elegible / reserva",IF(W264&gt;='11_Config'!$B$11,"Elegible condicionado","No recomendado"))))</x:f>
      </x:c>
    </x:row>
    <x:row r="265">
      <x:c r="F265" t="str">
        <x:f>IF(A265="","",(C265*40%+D265*30%+E265*30%)*15%)</x:f>
      </x:c>
      <x:c r="K265" t="str">
        <x:f>IF(A265="","",(G265*35%+H265*35%+I265*20%+J265*10%)*55%)</x:f>
      </x:c>
      <x:c r="P265" t="str">
        <x:f>IF(A265="","",(L265*35%+M265*35%+N265*20%+O265*10%)*25%)</x:f>
      </x:c>
      <x:c r="S265" t="str">
        <x:f>IF(R265="","",IF(R265="Mujer",10,IF(R265="Hombre",'11_Config'!$B$13,0)))</x:f>
      </x:c>
      <x:c r="T265" t="str">
        <x:f>IF(R265="Hombre","REVISAR REGLA OFICIAL","")</x:f>
      </x:c>
      <x:c r="V265" t="str">
        <x:f>IF(A265="","",(Q265*40%+S265*30%+U265*30%)*5%)</x:f>
      </x:c>
      <x:c r="W265" t="str">
        <x:f>IF(A265="","",F265+K265+P265+V265)</x:f>
      </x:c>
      <x:c r="X265" t="str">
        <x:f>IF(W265="","",IF(W265&gt;='11_Config'!$B$9,"Selección prioritaria",IF(W265&gt;='11_Config'!$B$10,"Elegible / reserva",IF(W265&gt;='11_Config'!$B$11,"Elegible condicionado","No recomendado"))))</x:f>
      </x:c>
    </x:row>
    <x:row r="266">
      <x:c r="F266" t="str">
        <x:f>IF(A266="","",(C266*40%+D266*30%+E266*30%)*15%)</x:f>
      </x:c>
      <x:c r="K266" t="str">
        <x:f>IF(A266="","",(G266*35%+H266*35%+I266*20%+J266*10%)*55%)</x:f>
      </x:c>
      <x:c r="P266" t="str">
        <x:f>IF(A266="","",(L266*35%+M266*35%+N266*20%+O266*10%)*25%)</x:f>
      </x:c>
      <x:c r="S266" t="str">
        <x:f>IF(R266="","",IF(R266="Mujer",10,IF(R266="Hombre",'11_Config'!$B$13,0)))</x:f>
      </x:c>
      <x:c r="T266" t="str">
        <x:f>IF(R266="Hombre","REVISAR REGLA OFICIAL","")</x:f>
      </x:c>
      <x:c r="V266" t="str">
        <x:f>IF(A266="","",(Q266*40%+S266*30%+U266*30%)*5%)</x:f>
      </x:c>
      <x:c r="W266" t="str">
        <x:f>IF(A266="","",F266+K266+P266+V266)</x:f>
      </x:c>
      <x:c r="X266" t="str">
        <x:f>IF(W266="","",IF(W266&gt;='11_Config'!$B$9,"Selección prioritaria",IF(W266&gt;='11_Config'!$B$10,"Elegible / reserva",IF(W266&gt;='11_Config'!$B$11,"Elegible condicionado","No recomendado"))))</x:f>
      </x:c>
    </x:row>
    <x:row r="267">
      <x:c r="F267" t="str">
        <x:f>IF(A267="","",(C267*40%+D267*30%+E267*30%)*15%)</x:f>
      </x:c>
      <x:c r="K267" t="str">
        <x:f>IF(A267="","",(G267*35%+H267*35%+I267*20%+J267*10%)*55%)</x:f>
      </x:c>
      <x:c r="P267" t="str">
        <x:f>IF(A267="","",(L267*35%+M267*35%+N267*20%+O267*10%)*25%)</x:f>
      </x:c>
      <x:c r="S267" t="str">
        <x:f>IF(R267="","",IF(R267="Mujer",10,IF(R267="Hombre",'11_Config'!$B$13,0)))</x:f>
      </x:c>
      <x:c r="T267" t="str">
        <x:f>IF(R267="Hombre","REVISAR REGLA OFICIAL","")</x:f>
      </x:c>
      <x:c r="V267" t="str">
        <x:f>IF(A267="","",(Q267*40%+S267*30%+U267*30%)*5%)</x:f>
      </x:c>
      <x:c r="W267" t="str">
        <x:f>IF(A267="","",F267+K267+P267+V267)</x:f>
      </x:c>
      <x:c r="X267" t="str">
        <x:f>IF(W267="","",IF(W267&gt;='11_Config'!$B$9,"Selección prioritaria",IF(W267&gt;='11_Config'!$B$10,"Elegible / reserva",IF(W267&gt;='11_Config'!$B$11,"Elegible condicionado","No recomendado"))))</x:f>
      </x:c>
    </x:row>
    <x:row r="268">
      <x:c r="F268" t="str">
        <x:f>IF(A268="","",(C268*40%+D268*30%+E268*30%)*15%)</x:f>
      </x:c>
      <x:c r="K268" t="str">
        <x:f>IF(A268="","",(G268*35%+H268*35%+I268*20%+J268*10%)*55%)</x:f>
      </x:c>
      <x:c r="P268" t="str">
        <x:f>IF(A268="","",(L268*35%+M268*35%+N268*20%+O268*10%)*25%)</x:f>
      </x:c>
      <x:c r="S268" t="str">
        <x:f>IF(R268="","",IF(R268="Mujer",10,IF(R268="Hombre",'11_Config'!$B$13,0)))</x:f>
      </x:c>
      <x:c r="T268" t="str">
        <x:f>IF(R268="Hombre","REVISAR REGLA OFICIAL","")</x:f>
      </x:c>
      <x:c r="V268" t="str">
        <x:f>IF(A268="","",(Q268*40%+S268*30%+U268*30%)*5%)</x:f>
      </x:c>
      <x:c r="W268" t="str">
        <x:f>IF(A268="","",F268+K268+P268+V268)</x:f>
      </x:c>
      <x:c r="X268" t="str">
        <x:f>IF(W268="","",IF(W268&gt;='11_Config'!$B$9,"Selección prioritaria",IF(W268&gt;='11_Config'!$B$10,"Elegible / reserva",IF(W268&gt;='11_Config'!$B$11,"Elegible condicionado","No recomendado"))))</x:f>
      </x:c>
    </x:row>
    <x:row r="269">
      <x:c r="F269" t="str">
        <x:f>IF(A269="","",(C269*40%+D269*30%+E269*30%)*15%)</x:f>
      </x:c>
      <x:c r="K269" t="str">
        <x:f>IF(A269="","",(G269*35%+H269*35%+I269*20%+J269*10%)*55%)</x:f>
      </x:c>
      <x:c r="P269" t="str">
        <x:f>IF(A269="","",(L269*35%+M269*35%+N269*20%+O269*10%)*25%)</x:f>
      </x:c>
      <x:c r="S269" t="str">
        <x:f>IF(R269="","",IF(R269="Mujer",10,IF(R269="Hombre",'11_Config'!$B$13,0)))</x:f>
      </x:c>
      <x:c r="T269" t="str">
        <x:f>IF(R269="Hombre","REVISAR REGLA OFICIAL","")</x:f>
      </x:c>
      <x:c r="V269" t="str">
        <x:f>IF(A269="","",(Q269*40%+S269*30%+U269*30%)*5%)</x:f>
      </x:c>
      <x:c r="W269" t="str">
        <x:f>IF(A269="","",F269+K269+P269+V269)</x:f>
      </x:c>
      <x:c r="X269" t="str">
        <x:f>IF(W269="","",IF(W269&gt;='11_Config'!$B$9,"Selección prioritaria",IF(W269&gt;='11_Config'!$B$10,"Elegible / reserva",IF(W269&gt;='11_Config'!$B$11,"Elegible condicionado","No recomendado"))))</x:f>
      </x:c>
    </x:row>
    <x:row r="270">
      <x:c r="F270" t="str">
        <x:f>IF(A270="","",(C270*40%+D270*30%+E270*30%)*15%)</x:f>
      </x:c>
      <x:c r="K270" t="str">
        <x:f>IF(A270="","",(G270*35%+H270*35%+I270*20%+J270*10%)*55%)</x:f>
      </x:c>
      <x:c r="P270" t="str">
        <x:f>IF(A270="","",(L270*35%+M270*35%+N270*20%+O270*10%)*25%)</x:f>
      </x:c>
      <x:c r="S270" t="str">
        <x:f>IF(R270="","",IF(R270="Mujer",10,IF(R270="Hombre",'11_Config'!$B$13,0)))</x:f>
      </x:c>
      <x:c r="T270" t="str">
        <x:f>IF(R270="Hombre","REVISAR REGLA OFICIAL","")</x:f>
      </x:c>
      <x:c r="V270" t="str">
        <x:f>IF(A270="","",(Q270*40%+S270*30%+U270*30%)*5%)</x:f>
      </x:c>
      <x:c r="W270" t="str">
        <x:f>IF(A270="","",F270+K270+P270+V270)</x:f>
      </x:c>
      <x:c r="X270" t="str">
        <x:f>IF(W270="","",IF(W270&gt;='11_Config'!$B$9,"Selección prioritaria",IF(W270&gt;='11_Config'!$B$10,"Elegible / reserva",IF(W270&gt;='11_Config'!$B$11,"Elegible condicionado","No recomendado"))))</x:f>
      </x:c>
    </x:row>
    <x:row r="271">
      <x:c r="F271" t="str">
        <x:f>IF(A271="","",(C271*40%+D271*30%+E271*30%)*15%)</x:f>
      </x:c>
      <x:c r="K271" t="str">
        <x:f>IF(A271="","",(G271*35%+H271*35%+I271*20%+J271*10%)*55%)</x:f>
      </x:c>
      <x:c r="P271" t="str">
        <x:f>IF(A271="","",(L271*35%+M271*35%+N271*20%+O271*10%)*25%)</x:f>
      </x:c>
      <x:c r="S271" t="str">
        <x:f>IF(R271="","",IF(R271="Mujer",10,IF(R271="Hombre",'11_Config'!$B$13,0)))</x:f>
      </x:c>
      <x:c r="T271" t="str">
        <x:f>IF(R271="Hombre","REVISAR REGLA OFICIAL","")</x:f>
      </x:c>
      <x:c r="V271" t="str">
        <x:f>IF(A271="","",(Q271*40%+S271*30%+U271*30%)*5%)</x:f>
      </x:c>
      <x:c r="W271" t="str">
        <x:f>IF(A271="","",F271+K271+P271+V271)</x:f>
      </x:c>
      <x:c r="X271" t="str">
        <x:f>IF(W271="","",IF(W271&gt;='11_Config'!$B$9,"Selección prioritaria",IF(W271&gt;='11_Config'!$B$10,"Elegible / reserva",IF(W271&gt;='11_Config'!$B$11,"Elegible condicionado","No recomendado"))))</x:f>
      </x:c>
    </x:row>
    <x:row r="272">
      <x:c r="F272" t="str">
        <x:f>IF(A272="","",(C272*40%+D272*30%+E272*30%)*15%)</x:f>
      </x:c>
      <x:c r="K272" t="str">
        <x:f>IF(A272="","",(G272*35%+H272*35%+I272*20%+J272*10%)*55%)</x:f>
      </x:c>
      <x:c r="P272" t="str">
        <x:f>IF(A272="","",(L272*35%+M272*35%+N272*20%+O272*10%)*25%)</x:f>
      </x:c>
      <x:c r="S272" t="str">
        <x:f>IF(R272="","",IF(R272="Mujer",10,IF(R272="Hombre",'11_Config'!$B$13,0)))</x:f>
      </x:c>
      <x:c r="T272" t="str">
        <x:f>IF(R272="Hombre","REVISAR REGLA OFICIAL","")</x:f>
      </x:c>
      <x:c r="V272" t="str">
        <x:f>IF(A272="","",(Q272*40%+S272*30%+U272*30%)*5%)</x:f>
      </x:c>
      <x:c r="W272" t="str">
        <x:f>IF(A272="","",F272+K272+P272+V272)</x:f>
      </x:c>
      <x:c r="X272" t="str">
        <x:f>IF(W272="","",IF(W272&gt;='11_Config'!$B$9,"Selección prioritaria",IF(W272&gt;='11_Config'!$B$10,"Elegible / reserva",IF(W272&gt;='11_Config'!$B$11,"Elegible condicionado","No recomendado"))))</x:f>
      </x:c>
    </x:row>
    <x:row r="273">
      <x:c r="F273" t="str">
        <x:f>IF(A273="","",(C273*40%+D273*30%+E273*30%)*15%)</x:f>
      </x:c>
      <x:c r="K273" t="str">
        <x:f>IF(A273="","",(G273*35%+H273*35%+I273*20%+J273*10%)*55%)</x:f>
      </x:c>
      <x:c r="P273" t="str">
        <x:f>IF(A273="","",(L273*35%+M273*35%+N273*20%+O273*10%)*25%)</x:f>
      </x:c>
      <x:c r="S273" t="str">
        <x:f>IF(R273="","",IF(R273="Mujer",10,IF(R273="Hombre",'11_Config'!$B$13,0)))</x:f>
      </x:c>
      <x:c r="T273" t="str">
        <x:f>IF(R273="Hombre","REVISAR REGLA OFICIAL","")</x:f>
      </x:c>
      <x:c r="V273" t="str">
        <x:f>IF(A273="","",(Q273*40%+S273*30%+U273*30%)*5%)</x:f>
      </x:c>
      <x:c r="W273" t="str">
        <x:f>IF(A273="","",F273+K273+P273+V273)</x:f>
      </x:c>
      <x:c r="X273" t="str">
        <x:f>IF(W273="","",IF(W273&gt;='11_Config'!$B$9,"Selección prioritaria",IF(W273&gt;='11_Config'!$B$10,"Elegible / reserva",IF(W273&gt;='11_Config'!$B$11,"Elegible condicionado","No recomendado"))))</x:f>
      </x:c>
    </x:row>
    <x:row r="274">
      <x:c r="F274" t="str">
        <x:f>IF(A274="","",(C274*40%+D274*30%+E274*30%)*15%)</x:f>
      </x:c>
      <x:c r="K274" t="str">
        <x:f>IF(A274="","",(G274*35%+H274*35%+I274*20%+J274*10%)*55%)</x:f>
      </x:c>
      <x:c r="P274" t="str">
        <x:f>IF(A274="","",(L274*35%+M274*35%+N274*20%+O274*10%)*25%)</x:f>
      </x:c>
      <x:c r="S274" t="str">
        <x:f>IF(R274="","",IF(R274="Mujer",10,IF(R274="Hombre",'11_Config'!$B$13,0)))</x:f>
      </x:c>
      <x:c r="T274" t="str">
        <x:f>IF(R274="Hombre","REVISAR REGLA OFICIAL","")</x:f>
      </x:c>
      <x:c r="V274" t="str">
        <x:f>IF(A274="","",(Q274*40%+S274*30%+U274*30%)*5%)</x:f>
      </x:c>
      <x:c r="W274" t="str">
        <x:f>IF(A274="","",F274+K274+P274+V274)</x:f>
      </x:c>
      <x:c r="X274" t="str">
        <x:f>IF(W274="","",IF(W274&gt;='11_Config'!$B$9,"Selección prioritaria",IF(W274&gt;='11_Config'!$B$10,"Elegible / reserva",IF(W274&gt;='11_Config'!$B$11,"Elegible condicionado","No recomendado"))))</x:f>
      </x:c>
    </x:row>
    <x:row r="275">
      <x:c r="F275" t="str">
        <x:f>IF(A275="","",(C275*40%+D275*30%+E275*30%)*15%)</x:f>
      </x:c>
      <x:c r="K275" t="str">
        <x:f>IF(A275="","",(G275*35%+H275*35%+I275*20%+J275*10%)*55%)</x:f>
      </x:c>
      <x:c r="P275" t="str">
        <x:f>IF(A275="","",(L275*35%+M275*35%+N275*20%+O275*10%)*25%)</x:f>
      </x:c>
      <x:c r="S275" t="str">
        <x:f>IF(R275="","",IF(R275="Mujer",10,IF(R275="Hombre",'11_Config'!$B$13,0)))</x:f>
      </x:c>
      <x:c r="T275" t="str">
        <x:f>IF(R275="Hombre","REVISAR REGLA OFICIAL","")</x:f>
      </x:c>
      <x:c r="V275" t="str">
        <x:f>IF(A275="","",(Q275*40%+S275*30%+U275*30%)*5%)</x:f>
      </x:c>
      <x:c r="W275" t="str">
        <x:f>IF(A275="","",F275+K275+P275+V275)</x:f>
      </x:c>
      <x:c r="X275" t="str">
        <x:f>IF(W275="","",IF(W275&gt;='11_Config'!$B$9,"Selección prioritaria",IF(W275&gt;='11_Config'!$B$10,"Elegible / reserva",IF(W275&gt;='11_Config'!$B$11,"Elegible condicionado","No recomendado"))))</x:f>
      </x:c>
    </x:row>
    <x:row r="276">
      <x:c r="F276" t="str">
        <x:f>IF(A276="","",(C276*40%+D276*30%+E276*30%)*15%)</x:f>
      </x:c>
      <x:c r="K276" t="str">
        <x:f>IF(A276="","",(G276*35%+H276*35%+I276*20%+J276*10%)*55%)</x:f>
      </x:c>
      <x:c r="P276" t="str">
        <x:f>IF(A276="","",(L276*35%+M276*35%+N276*20%+O276*10%)*25%)</x:f>
      </x:c>
      <x:c r="S276" t="str">
        <x:f>IF(R276="","",IF(R276="Mujer",10,IF(R276="Hombre",'11_Config'!$B$13,0)))</x:f>
      </x:c>
      <x:c r="T276" t="str">
        <x:f>IF(R276="Hombre","REVISAR REGLA OFICIAL","")</x:f>
      </x:c>
      <x:c r="V276" t="str">
        <x:f>IF(A276="","",(Q276*40%+S276*30%+U276*30%)*5%)</x:f>
      </x:c>
      <x:c r="W276" t="str">
        <x:f>IF(A276="","",F276+K276+P276+V276)</x:f>
      </x:c>
      <x:c r="X276" t="str">
        <x:f>IF(W276="","",IF(W276&gt;='11_Config'!$B$9,"Selección prioritaria",IF(W276&gt;='11_Config'!$B$10,"Elegible / reserva",IF(W276&gt;='11_Config'!$B$11,"Elegible condicionado","No recomendado"))))</x:f>
      </x:c>
    </x:row>
    <x:row r="277">
      <x:c r="F277" t="str">
        <x:f>IF(A277="","",(C277*40%+D277*30%+E277*30%)*15%)</x:f>
      </x:c>
      <x:c r="K277" t="str">
        <x:f>IF(A277="","",(G277*35%+H277*35%+I277*20%+J277*10%)*55%)</x:f>
      </x:c>
      <x:c r="P277" t="str">
        <x:f>IF(A277="","",(L277*35%+M277*35%+N277*20%+O277*10%)*25%)</x:f>
      </x:c>
      <x:c r="S277" t="str">
        <x:f>IF(R277="","",IF(R277="Mujer",10,IF(R277="Hombre",'11_Config'!$B$13,0)))</x:f>
      </x:c>
      <x:c r="T277" t="str">
        <x:f>IF(R277="Hombre","REVISAR REGLA OFICIAL","")</x:f>
      </x:c>
      <x:c r="V277" t="str">
        <x:f>IF(A277="","",(Q277*40%+S277*30%+U277*30%)*5%)</x:f>
      </x:c>
      <x:c r="W277" t="str">
        <x:f>IF(A277="","",F277+K277+P277+V277)</x:f>
      </x:c>
      <x:c r="X277" t="str">
        <x:f>IF(W277="","",IF(W277&gt;='11_Config'!$B$9,"Selección prioritaria",IF(W277&gt;='11_Config'!$B$10,"Elegible / reserva",IF(W277&gt;='11_Config'!$B$11,"Elegible condicionado","No recomendado"))))</x:f>
      </x:c>
    </x:row>
    <x:row r="278">
      <x:c r="F278" t="str">
        <x:f>IF(A278="","",(C278*40%+D278*30%+E278*30%)*15%)</x:f>
      </x:c>
      <x:c r="K278" t="str">
        <x:f>IF(A278="","",(G278*35%+H278*35%+I278*20%+J278*10%)*55%)</x:f>
      </x:c>
      <x:c r="P278" t="str">
        <x:f>IF(A278="","",(L278*35%+M278*35%+N278*20%+O278*10%)*25%)</x:f>
      </x:c>
      <x:c r="S278" t="str">
        <x:f>IF(R278="","",IF(R278="Mujer",10,IF(R278="Hombre",'11_Config'!$B$13,0)))</x:f>
      </x:c>
      <x:c r="T278" t="str">
        <x:f>IF(R278="Hombre","REVISAR REGLA OFICIAL","")</x:f>
      </x:c>
      <x:c r="V278" t="str">
        <x:f>IF(A278="","",(Q278*40%+S278*30%+U278*30%)*5%)</x:f>
      </x:c>
      <x:c r="W278" t="str">
        <x:f>IF(A278="","",F278+K278+P278+V278)</x:f>
      </x:c>
      <x:c r="X278" t="str">
        <x:f>IF(W278="","",IF(W278&gt;='11_Config'!$B$9,"Selección prioritaria",IF(W278&gt;='11_Config'!$B$10,"Elegible / reserva",IF(W278&gt;='11_Config'!$B$11,"Elegible condicionado","No recomendado"))))</x:f>
      </x:c>
    </x:row>
    <x:row r="279">
      <x:c r="F279" t="str">
        <x:f>IF(A279="","",(C279*40%+D279*30%+E279*30%)*15%)</x:f>
      </x:c>
      <x:c r="K279" t="str">
        <x:f>IF(A279="","",(G279*35%+H279*35%+I279*20%+J279*10%)*55%)</x:f>
      </x:c>
      <x:c r="P279" t="str">
        <x:f>IF(A279="","",(L279*35%+M279*35%+N279*20%+O279*10%)*25%)</x:f>
      </x:c>
      <x:c r="S279" t="str">
        <x:f>IF(R279="","",IF(R279="Mujer",10,IF(R279="Hombre",'11_Config'!$B$13,0)))</x:f>
      </x:c>
      <x:c r="T279" t="str">
        <x:f>IF(R279="Hombre","REVISAR REGLA OFICIAL","")</x:f>
      </x:c>
      <x:c r="V279" t="str">
        <x:f>IF(A279="","",(Q279*40%+S279*30%+U279*30%)*5%)</x:f>
      </x:c>
      <x:c r="W279" t="str">
        <x:f>IF(A279="","",F279+K279+P279+V279)</x:f>
      </x:c>
      <x:c r="X279" t="str">
        <x:f>IF(W279="","",IF(W279&gt;='11_Config'!$B$9,"Selección prioritaria",IF(W279&gt;='11_Config'!$B$10,"Elegible / reserva",IF(W279&gt;='11_Config'!$B$11,"Elegible condicionado","No recomendado"))))</x:f>
      </x:c>
    </x:row>
    <x:row r="280">
      <x:c r="F280" t="str">
        <x:f>IF(A280="","",(C280*40%+D280*30%+E280*30%)*15%)</x:f>
      </x:c>
      <x:c r="K280" t="str">
        <x:f>IF(A280="","",(G280*35%+H280*35%+I280*20%+J280*10%)*55%)</x:f>
      </x:c>
      <x:c r="P280" t="str">
        <x:f>IF(A280="","",(L280*35%+M280*35%+N280*20%+O280*10%)*25%)</x:f>
      </x:c>
      <x:c r="S280" t="str">
        <x:f>IF(R280="","",IF(R280="Mujer",10,IF(R280="Hombre",'11_Config'!$B$13,0)))</x:f>
      </x:c>
      <x:c r="T280" t="str">
        <x:f>IF(R280="Hombre","REVISAR REGLA OFICIAL","")</x:f>
      </x:c>
      <x:c r="V280" t="str">
        <x:f>IF(A280="","",(Q280*40%+S280*30%+U280*30%)*5%)</x:f>
      </x:c>
      <x:c r="W280" t="str">
        <x:f>IF(A280="","",F280+K280+P280+V280)</x:f>
      </x:c>
      <x:c r="X280" t="str">
        <x:f>IF(W280="","",IF(W280&gt;='11_Config'!$B$9,"Selección prioritaria",IF(W280&gt;='11_Config'!$B$10,"Elegible / reserva",IF(W280&gt;='11_Config'!$B$11,"Elegible condicionado","No recomendado"))))</x:f>
      </x:c>
    </x:row>
    <x:row r="281">
      <x:c r="F281" t="str">
        <x:f>IF(A281="","",(C281*40%+D281*30%+E281*30%)*15%)</x:f>
      </x:c>
      <x:c r="K281" t="str">
        <x:f>IF(A281="","",(G281*35%+H281*35%+I281*20%+J281*10%)*55%)</x:f>
      </x:c>
      <x:c r="P281" t="str">
        <x:f>IF(A281="","",(L281*35%+M281*35%+N281*20%+O281*10%)*25%)</x:f>
      </x:c>
      <x:c r="S281" t="str">
        <x:f>IF(R281="","",IF(R281="Mujer",10,IF(R281="Hombre",'11_Config'!$B$13,0)))</x:f>
      </x:c>
      <x:c r="T281" t="str">
        <x:f>IF(R281="Hombre","REVISAR REGLA OFICIAL","")</x:f>
      </x:c>
      <x:c r="V281" t="str">
        <x:f>IF(A281="","",(Q281*40%+S281*30%+U281*30%)*5%)</x:f>
      </x:c>
      <x:c r="W281" t="str">
        <x:f>IF(A281="","",F281+K281+P281+V281)</x:f>
      </x:c>
      <x:c r="X281" t="str">
        <x:f>IF(W281="","",IF(W281&gt;='11_Config'!$B$9,"Selección prioritaria",IF(W281&gt;='11_Config'!$B$10,"Elegible / reserva",IF(W281&gt;='11_Config'!$B$11,"Elegible condicionado","No recomendado"))))</x:f>
      </x:c>
    </x:row>
    <x:row r="282">
      <x:c r="F282" t="str">
        <x:f>IF(A282="","",(C282*40%+D282*30%+E282*30%)*15%)</x:f>
      </x:c>
      <x:c r="K282" t="str">
        <x:f>IF(A282="","",(G282*35%+H282*35%+I282*20%+J282*10%)*55%)</x:f>
      </x:c>
      <x:c r="P282" t="str">
        <x:f>IF(A282="","",(L282*35%+M282*35%+N282*20%+O282*10%)*25%)</x:f>
      </x:c>
      <x:c r="S282" t="str">
        <x:f>IF(R282="","",IF(R282="Mujer",10,IF(R282="Hombre",'11_Config'!$B$13,0)))</x:f>
      </x:c>
      <x:c r="T282" t="str">
        <x:f>IF(R282="Hombre","REVISAR REGLA OFICIAL","")</x:f>
      </x:c>
      <x:c r="V282" t="str">
        <x:f>IF(A282="","",(Q282*40%+S282*30%+U282*30%)*5%)</x:f>
      </x:c>
      <x:c r="W282" t="str">
        <x:f>IF(A282="","",F282+K282+P282+V282)</x:f>
      </x:c>
      <x:c r="X282" t="str">
        <x:f>IF(W282="","",IF(W282&gt;='11_Config'!$B$9,"Selección prioritaria",IF(W282&gt;='11_Config'!$B$10,"Elegible / reserva",IF(W282&gt;='11_Config'!$B$11,"Elegible condicionado","No recomendado"))))</x:f>
      </x:c>
    </x:row>
    <x:row r="283">
      <x:c r="F283" t="str">
        <x:f>IF(A283="","",(C283*40%+D283*30%+E283*30%)*15%)</x:f>
      </x:c>
      <x:c r="K283" t="str">
        <x:f>IF(A283="","",(G283*35%+H283*35%+I283*20%+J283*10%)*55%)</x:f>
      </x:c>
      <x:c r="P283" t="str">
        <x:f>IF(A283="","",(L283*35%+M283*35%+N283*20%+O283*10%)*25%)</x:f>
      </x:c>
      <x:c r="S283" t="str">
        <x:f>IF(R283="","",IF(R283="Mujer",10,IF(R283="Hombre",'11_Config'!$B$13,0)))</x:f>
      </x:c>
      <x:c r="T283" t="str">
        <x:f>IF(R283="Hombre","REVISAR REGLA OFICIAL","")</x:f>
      </x:c>
      <x:c r="V283" t="str">
        <x:f>IF(A283="","",(Q283*40%+S283*30%+U283*30%)*5%)</x:f>
      </x:c>
      <x:c r="W283" t="str">
        <x:f>IF(A283="","",F283+K283+P283+V283)</x:f>
      </x:c>
      <x:c r="X283" t="str">
        <x:f>IF(W283="","",IF(W283&gt;='11_Config'!$B$9,"Selección prioritaria",IF(W283&gt;='11_Config'!$B$10,"Elegible / reserva",IF(W283&gt;='11_Config'!$B$11,"Elegible condicionado","No recomendado"))))</x:f>
      </x:c>
    </x:row>
    <x:row r="284">
      <x:c r="F284" t="str">
        <x:f>IF(A284="","",(C284*40%+D284*30%+E284*30%)*15%)</x:f>
      </x:c>
      <x:c r="K284" t="str">
        <x:f>IF(A284="","",(G284*35%+H284*35%+I284*20%+J284*10%)*55%)</x:f>
      </x:c>
      <x:c r="P284" t="str">
        <x:f>IF(A284="","",(L284*35%+M284*35%+N284*20%+O284*10%)*25%)</x:f>
      </x:c>
      <x:c r="S284" t="str">
        <x:f>IF(R284="","",IF(R284="Mujer",10,IF(R284="Hombre",'11_Config'!$B$13,0)))</x:f>
      </x:c>
      <x:c r="T284" t="str">
        <x:f>IF(R284="Hombre","REVISAR REGLA OFICIAL","")</x:f>
      </x:c>
      <x:c r="V284" t="str">
        <x:f>IF(A284="","",(Q284*40%+S284*30%+U284*30%)*5%)</x:f>
      </x:c>
      <x:c r="W284" t="str">
        <x:f>IF(A284="","",F284+K284+P284+V284)</x:f>
      </x:c>
      <x:c r="X284" t="str">
        <x:f>IF(W284="","",IF(W284&gt;='11_Config'!$B$9,"Selección prioritaria",IF(W284&gt;='11_Config'!$B$10,"Elegible / reserva",IF(W284&gt;='11_Config'!$B$11,"Elegible condicionado","No recomendado"))))</x:f>
      </x:c>
    </x:row>
    <x:row r="285">
      <x:c r="F285" t="str">
        <x:f>IF(A285="","",(C285*40%+D285*30%+E285*30%)*15%)</x:f>
      </x:c>
      <x:c r="K285" t="str">
        <x:f>IF(A285="","",(G285*35%+H285*35%+I285*20%+J285*10%)*55%)</x:f>
      </x:c>
      <x:c r="P285" t="str">
        <x:f>IF(A285="","",(L285*35%+M285*35%+N285*20%+O285*10%)*25%)</x:f>
      </x:c>
      <x:c r="S285" t="str">
        <x:f>IF(R285="","",IF(R285="Mujer",10,IF(R285="Hombre",'11_Config'!$B$13,0)))</x:f>
      </x:c>
      <x:c r="T285" t="str">
        <x:f>IF(R285="Hombre","REVISAR REGLA OFICIAL","")</x:f>
      </x:c>
      <x:c r="V285" t="str">
        <x:f>IF(A285="","",(Q285*40%+S285*30%+U285*30%)*5%)</x:f>
      </x:c>
      <x:c r="W285" t="str">
        <x:f>IF(A285="","",F285+K285+P285+V285)</x:f>
      </x:c>
      <x:c r="X285" t="str">
        <x:f>IF(W285="","",IF(W285&gt;='11_Config'!$B$9,"Selección prioritaria",IF(W285&gt;='11_Config'!$B$10,"Elegible / reserva",IF(W285&gt;='11_Config'!$B$11,"Elegible condicionado","No recomendado"))))</x:f>
      </x:c>
    </x:row>
    <x:row r="286">
      <x:c r="F286" t="str">
        <x:f>IF(A286="","",(C286*40%+D286*30%+E286*30%)*15%)</x:f>
      </x:c>
      <x:c r="K286" t="str">
        <x:f>IF(A286="","",(G286*35%+H286*35%+I286*20%+J286*10%)*55%)</x:f>
      </x:c>
      <x:c r="P286" t="str">
        <x:f>IF(A286="","",(L286*35%+M286*35%+N286*20%+O286*10%)*25%)</x:f>
      </x:c>
      <x:c r="S286" t="str">
        <x:f>IF(R286="","",IF(R286="Mujer",10,IF(R286="Hombre",'11_Config'!$B$13,0)))</x:f>
      </x:c>
      <x:c r="T286" t="str">
        <x:f>IF(R286="Hombre","REVISAR REGLA OFICIAL","")</x:f>
      </x:c>
      <x:c r="V286" t="str">
        <x:f>IF(A286="","",(Q286*40%+S286*30%+U286*30%)*5%)</x:f>
      </x:c>
      <x:c r="W286" t="str">
        <x:f>IF(A286="","",F286+K286+P286+V286)</x:f>
      </x:c>
      <x:c r="X286" t="str">
        <x:f>IF(W286="","",IF(W286&gt;='11_Config'!$B$9,"Selección prioritaria",IF(W286&gt;='11_Config'!$B$10,"Elegible / reserva",IF(W286&gt;='11_Config'!$B$11,"Elegible condicionado","No recomendado"))))</x:f>
      </x:c>
    </x:row>
    <x:row r="287">
      <x:c r="F287" t="str">
        <x:f>IF(A287="","",(C287*40%+D287*30%+E287*30%)*15%)</x:f>
      </x:c>
      <x:c r="K287" t="str">
        <x:f>IF(A287="","",(G287*35%+H287*35%+I287*20%+J287*10%)*55%)</x:f>
      </x:c>
      <x:c r="P287" t="str">
        <x:f>IF(A287="","",(L287*35%+M287*35%+N287*20%+O287*10%)*25%)</x:f>
      </x:c>
      <x:c r="S287" t="str">
        <x:f>IF(R287="","",IF(R287="Mujer",10,IF(R287="Hombre",'11_Config'!$B$13,0)))</x:f>
      </x:c>
      <x:c r="T287" t="str">
        <x:f>IF(R287="Hombre","REVISAR REGLA OFICIAL","")</x:f>
      </x:c>
      <x:c r="V287" t="str">
        <x:f>IF(A287="","",(Q287*40%+S287*30%+U287*30%)*5%)</x:f>
      </x:c>
      <x:c r="W287" t="str">
        <x:f>IF(A287="","",F287+K287+P287+V287)</x:f>
      </x:c>
      <x:c r="X287" t="str">
        <x:f>IF(W287="","",IF(W287&gt;='11_Config'!$B$9,"Selección prioritaria",IF(W287&gt;='11_Config'!$B$10,"Elegible / reserva",IF(W287&gt;='11_Config'!$B$11,"Elegible condicionado","No recomendado"))))</x:f>
      </x:c>
    </x:row>
    <x:row r="288">
      <x:c r="F288" t="str">
        <x:f>IF(A288="","",(C288*40%+D288*30%+E288*30%)*15%)</x:f>
      </x:c>
      <x:c r="K288" t="str">
        <x:f>IF(A288="","",(G288*35%+H288*35%+I288*20%+J288*10%)*55%)</x:f>
      </x:c>
      <x:c r="P288" t="str">
        <x:f>IF(A288="","",(L288*35%+M288*35%+N288*20%+O288*10%)*25%)</x:f>
      </x:c>
      <x:c r="S288" t="str">
        <x:f>IF(R288="","",IF(R288="Mujer",10,IF(R288="Hombre",'11_Config'!$B$13,0)))</x:f>
      </x:c>
      <x:c r="T288" t="str">
        <x:f>IF(R288="Hombre","REVISAR REGLA OFICIAL","")</x:f>
      </x:c>
      <x:c r="V288" t="str">
        <x:f>IF(A288="","",(Q288*40%+S288*30%+U288*30%)*5%)</x:f>
      </x:c>
      <x:c r="W288" t="str">
        <x:f>IF(A288="","",F288+K288+P288+V288)</x:f>
      </x:c>
      <x:c r="X288" t="str">
        <x:f>IF(W288="","",IF(W288&gt;='11_Config'!$B$9,"Selección prioritaria",IF(W288&gt;='11_Config'!$B$10,"Elegible / reserva",IF(W288&gt;='11_Config'!$B$11,"Elegible condicionado","No recomendado"))))</x:f>
      </x:c>
    </x:row>
    <x:row r="289">
      <x:c r="F289" t="str">
        <x:f>IF(A289="","",(C289*40%+D289*30%+E289*30%)*15%)</x:f>
      </x:c>
      <x:c r="K289" t="str">
        <x:f>IF(A289="","",(G289*35%+H289*35%+I289*20%+J289*10%)*55%)</x:f>
      </x:c>
      <x:c r="P289" t="str">
        <x:f>IF(A289="","",(L289*35%+M289*35%+N289*20%+O289*10%)*25%)</x:f>
      </x:c>
      <x:c r="S289" t="str">
        <x:f>IF(R289="","",IF(R289="Mujer",10,IF(R289="Hombre",'11_Config'!$B$13,0)))</x:f>
      </x:c>
      <x:c r="T289" t="str">
        <x:f>IF(R289="Hombre","REVISAR REGLA OFICIAL","")</x:f>
      </x:c>
      <x:c r="V289" t="str">
        <x:f>IF(A289="","",(Q289*40%+S289*30%+U289*30%)*5%)</x:f>
      </x:c>
      <x:c r="W289" t="str">
        <x:f>IF(A289="","",F289+K289+P289+V289)</x:f>
      </x:c>
      <x:c r="X289" t="str">
        <x:f>IF(W289="","",IF(W289&gt;='11_Config'!$B$9,"Selección prioritaria",IF(W289&gt;='11_Config'!$B$10,"Elegible / reserva",IF(W289&gt;='11_Config'!$B$11,"Elegible condicionado","No recomendado"))))</x:f>
      </x:c>
    </x:row>
    <x:row r="290">
      <x:c r="F290" t="str">
        <x:f>IF(A290="","",(C290*40%+D290*30%+E290*30%)*15%)</x:f>
      </x:c>
      <x:c r="K290" t="str">
        <x:f>IF(A290="","",(G290*35%+H290*35%+I290*20%+J290*10%)*55%)</x:f>
      </x:c>
      <x:c r="P290" t="str">
        <x:f>IF(A290="","",(L290*35%+M290*35%+N290*20%+O290*10%)*25%)</x:f>
      </x:c>
      <x:c r="S290" t="str">
        <x:f>IF(R290="","",IF(R290="Mujer",10,IF(R290="Hombre",'11_Config'!$B$13,0)))</x:f>
      </x:c>
      <x:c r="T290" t="str">
        <x:f>IF(R290="Hombre","REVISAR REGLA OFICIAL","")</x:f>
      </x:c>
      <x:c r="V290" t="str">
        <x:f>IF(A290="","",(Q290*40%+S290*30%+U290*30%)*5%)</x:f>
      </x:c>
      <x:c r="W290" t="str">
        <x:f>IF(A290="","",F290+K290+P290+V290)</x:f>
      </x:c>
      <x:c r="X290" t="str">
        <x:f>IF(W290="","",IF(W290&gt;='11_Config'!$B$9,"Selección prioritaria",IF(W290&gt;='11_Config'!$B$10,"Elegible / reserva",IF(W290&gt;='11_Config'!$B$11,"Elegible condicionado","No recomendado"))))</x:f>
      </x:c>
    </x:row>
    <x:row r="291">
      <x:c r="F291" t="str">
        <x:f>IF(A291="","",(C291*40%+D291*30%+E291*30%)*15%)</x:f>
      </x:c>
      <x:c r="K291" t="str">
        <x:f>IF(A291="","",(G291*35%+H291*35%+I291*20%+J291*10%)*55%)</x:f>
      </x:c>
      <x:c r="P291" t="str">
        <x:f>IF(A291="","",(L291*35%+M291*35%+N291*20%+O291*10%)*25%)</x:f>
      </x:c>
      <x:c r="S291" t="str">
        <x:f>IF(R291="","",IF(R291="Mujer",10,IF(R291="Hombre",'11_Config'!$B$13,0)))</x:f>
      </x:c>
      <x:c r="T291" t="str">
        <x:f>IF(R291="Hombre","REVISAR REGLA OFICIAL","")</x:f>
      </x:c>
      <x:c r="V291" t="str">
        <x:f>IF(A291="","",(Q291*40%+S291*30%+U291*30%)*5%)</x:f>
      </x:c>
      <x:c r="W291" t="str">
        <x:f>IF(A291="","",F291+K291+P291+V291)</x:f>
      </x:c>
      <x:c r="X291" t="str">
        <x:f>IF(W291="","",IF(W291&gt;='11_Config'!$B$9,"Selección prioritaria",IF(W291&gt;='11_Config'!$B$10,"Elegible / reserva",IF(W291&gt;='11_Config'!$B$11,"Elegible condicionado","No recomendado"))))</x:f>
      </x:c>
    </x:row>
    <x:row r="292">
      <x:c r="F292" t="str">
        <x:f>IF(A292="","",(C292*40%+D292*30%+E292*30%)*15%)</x:f>
      </x:c>
      <x:c r="K292" t="str">
        <x:f>IF(A292="","",(G292*35%+H292*35%+I292*20%+J292*10%)*55%)</x:f>
      </x:c>
      <x:c r="P292" t="str">
        <x:f>IF(A292="","",(L292*35%+M292*35%+N292*20%+O292*10%)*25%)</x:f>
      </x:c>
      <x:c r="S292" t="str">
        <x:f>IF(R292="","",IF(R292="Mujer",10,IF(R292="Hombre",'11_Config'!$B$13,0)))</x:f>
      </x:c>
      <x:c r="T292" t="str">
        <x:f>IF(R292="Hombre","REVISAR REGLA OFICIAL","")</x:f>
      </x:c>
      <x:c r="V292" t="str">
        <x:f>IF(A292="","",(Q292*40%+S292*30%+U292*30%)*5%)</x:f>
      </x:c>
      <x:c r="W292" t="str">
        <x:f>IF(A292="","",F292+K292+P292+V292)</x:f>
      </x:c>
      <x:c r="X292" t="str">
        <x:f>IF(W292="","",IF(W292&gt;='11_Config'!$B$9,"Selección prioritaria",IF(W292&gt;='11_Config'!$B$10,"Elegible / reserva",IF(W292&gt;='11_Config'!$B$11,"Elegible condicionado","No recomendado"))))</x:f>
      </x:c>
    </x:row>
    <x:row r="293">
      <x:c r="F293" t="str">
        <x:f>IF(A293="","",(C293*40%+D293*30%+E293*30%)*15%)</x:f>
      </x:c>
      <x:c r="K293" t="str">
        <x:f>IF(A293="","",(G293*35%+H293*35%+I293*20%+J293*10%)*55%)</x:f>
      </x:c>
      <x:c r="P293" t="str">
        <x:f>IF(A293="","",(L293*35%+M293*35%+N293*20%+O293*10%)*25%)</x:f>
      </x:c>
      <x:c r="S293" t="str">
        <x:f>IF(R293="","",IF(R293="Mujer",10,IF(R293="Hombre",'11_Config'!$B$13,0)))</x:f>
      </x:c>
      <x:c r="T293" t="str">
        <x:f>IF(R293="Hombre","REVISAR REGLA OFICIAL","")</x:f>
      </x:c>
      <x:c r="V293" t="str">
        <x:f>IF(A293="","",(Q293*40%+S293*30%+U293*30%)*5%)</x:f>
      </x:c>
      <x:c r="W293" t="str">
        <x:f>IF(A293="","",F293+K293+P293+V293)</x:f>
      </x:c>
      <x:c r="X293" t="str">
        <x:f>IF(W293="","",IF(W293&gt;='11_Config'!$B$9,"Selección prioritaria",IF(W293&gt;='11_Config'!$B$10,"Elegible / reserva",IF(W293&gt;='11_Config'!$B$11,"Elegible condicionado","No recomendado"))))</x:f>
      </x:c>
    </x:row>
    <x:row r="294">
      <x:c r="F294" t="str">
        <x:f>IF(A294="","",(C294*40%+D294*30%+E294*30%)*15%)</x:f>
      </x:c>
      <x:c r="K294" t="str">
        <x:f>IF(A294="","",(G294*35%+H294*35%+I294*20%+J294*10%)*55%)</x:f>
      </x:c>
      <x:c r="P294" t="str">
        <x:f>IF(A294="","",(L294*35%+M294*35%+N294*20%+O294*10%)*25%)</x:f>
      </x:c>
      <x:c r="S294" t="str">
        <x:f>IF(R294="","",IF(R294="Mujer",10,IF(R294="Hombre",'11_Config'!$B$13,0)))</x:f>
      </x:c>
      <x:c r="T294" t="str">
        <x:f>IF(R294="Hombre","REVISAR REGLA OFICIAL","")</x:f>
      </x:c>
      <x:c r="V294" t="str">
        <x:f>IF(A294="","",(Q294*40%+S294*30%+U294*30%)*5%)</x:f>
      </x:c>
      <x:c r="W294" t="str">
        <x:f>IF(A294="","",F294+K294+P294+V294)</x:f>
      </x:c>
      <x:c r="X294" t="str">
        <x:f>IF(W294="","",IF(W294&gt;='11_Config'!$B$9,"Selección prioritaria",IF(W294&gt;='11_Config'!$B$10,"Elegible / reserva",IF(W294&gt;='11_Config'!$B$11,"Elegible condicionado","No recomendado"))))</x:f>
      </x:c>
    </x:row>
    <x:row r="295">
      <x:c r="F295" t="str">
        <x:f>IF(A295="","",(C295*40%+D295*30%+E295*30%)*15%)</x:f>
      </x:c>
      <x:c r="K295" t="str">
        <x:f>IF(A295="","",(G295*35%+H295*35%+I295*20%+J295*10%)*55%)</x:f>
      </x:c>
      <x:c r="P295" t="str">
        <x:f>IF(A295="","",(L295*35%+M295*35%+N295*20%+O295*10%)*25%)</x:f>
      </x:c>
      <x:c r="S295" t="str">
        <x:f>IF(R295="","",IF(R295="Mujer",10,IF(R295="Hombre",'11_Config'!$B$13,0)))</x:f>
      </x:c>
      <x:c r="T295" t="str">
        <x:f>IF(R295="Hombre","REVISAR REGLA OFICIAL","")</x:f>
      </x:c>
      <x:c r="V295" t="str">
        <x:f>IF(A295="","",(Q295*40%+S295*30%+U295*30%)*5%)</x:f>
      </x:c>
      <x:c r="W295" t="str">
        <x:f>IF(A295="","",F295+K295+P295+V295)</x:f>
      </x:c>
      <x:c r="X295" t="str">
        <x:f>IF(W295="","",IF(W295&gt;='11_Config'!$B$9,"Selección prioritaria",IF(W295&gt;='11_Config'!$B$10,"Elegible / reserva",IF(W295&gt;='11_Config'!$B$11,"Elegible condicionado","No recomendado"))))</x:f>
      </x:c>
    </x:row>
    <x:row r="296">
      <x:c r="F296" t="str">
        <x:f>IF(A296="","",(C296*40%+D296*30%+E296*30%)*15%)</x:f>
      </x:c>
      <x:c r="K296" t="str">
        <x:f>IF(A296="","",(G296*35%+H296*35%+I296*20%+J296*10%)*55%)</x:f>
      </x:c>
      <x:c r="P296" t="str">
        <x:f>IF(A296="","",(L296*35%+M296*35%+N296*20%+O296*10%)*25%)</x:f>
      </x:c>
      <x:c r="S296" t="str">
        <x:f>IF(R296="","",IF(R296="Mujer",10,IF(R296="Hombre",'11_Config'!$B$13,0)))</x:f>
      </x:c>
      <x:c r="T296" t="str">
        <x:f>IF(R296="Hombre","REVISAR REGLA OFICIAL","")</x:f>
      </x:c>
      <x:c r="V296" t="str">
        <x:f>IF(A296="","",(Q296*40%+S296*30%+U296*30%)*5%)</x:f>
      </x:c>
      <x:c r="W296" t="str">
        <x:f>IF(A296="","",F296+K296+P296+V296)</x:f>
      </x:c>
      <x:c r="X296" t="str">
        <x:f>IF(W296="","",IF(W296&gt;='11_Config'!$B$9,"Selección prioritaria",IF(W296&gt;='11_Config'!$B$10,"Elegible / reserva",IF(W296&gt;='11_Config'!$B$11,"Elegible condicionado","No recomendado"))))</x:f>
      </x:c>
    </x:row>
    <x:row r="297">
      <x:c r="F297" t="str">
        <x:f>IF(A297="","",(C297*40%+D297*30%+E297*30%)*15%)</x:f>
      </x:c>
      <x:c r="K297" t="str">
        <x:f>IF(A297="","",(G297*35%+H297*35%+I297*20%+J297*10%)*55%)</x:f>
      </x:c>
      <x:c r="P297" t="str">
        <x:f>IF(A297="","",(L297*35%+M297*35%+N297*20%+O297*10%)*25%)</x:f>
      </x:c>
      <x:c r="S297" t="str">
        <x:f>IF(R297="","",IF(R297="Mujer",10,IF(R297="Hombre",'11_Config'!$B$13,0)))</x:f>
      </x:c>
      <x:c r="T297" t="str">
        <x:f>IF(R297="Hombre","REVISAR REGLA OFICIAL","")</x:f>
      </x:c>
      <x:c r="V297" t="str">
        <x:f>IF(A297="","",(Q297*40%+S297*30%+U297*30%)*5%)</x:f>
      </x:c>
      <x:c r="W297" t="str">
        <x:f>IF(A297="","",F297+K297+P297+V297)</x:f>
      </x:c>
      <x:c r="X297" t="str">
        <x:f>IF(W297="","",IF(W297&gt;='11_Config'!$B$9,"Selección prioritaria",IF(W297&gt;='11_Config'!$B$10,"Elegible / reserva",IF(W297&gt;='11_Config'!$B$11,"Elegible condicionado","No recomendado"))))</x:f>
      </x:c>
    </x:row>
    <x:row r="298">
      <x:c r="F298" t="str">
        <x:f>IF(A298="","",(C298*40%+D298*30%+E298*30%)*15%)</x:f>
      </x:c>
      <x:c r="K298" t="str">
        <x:f>IF(A298="","",(G298*35%+H298*35%+I298*20%+J298*10%)*55%)</x:f>
      </x:c>
      <x:c r="P298" t="str">
        <x:f>IF(A298="","",(L298*35%+M298*35%+N298*20%+O298*10%)*25%)</x:f>
      </x:c>
      <x:c r="S298" t="str">
        <x:f>IF(R298="","",IF(R298="Mujer",10,IF(R298="Hombre",'11_Config'!$B$13,0)))</x:f>
      </x:c>
      <x:c r="T298" t="str">
        <x:f>IF(R298="Hombre","REVISAR REGLA OFICIAL","")</x:f>
      </x:c>
      <x:c r="V298" t="str">
        <x:f>IF(A298="","",(Q298*40%+S298*30%+U298*30%)*5%)</x:f>
      </x:c>
      <x:c r="W298" t="str">
        <x:f>IF(A298="","",F298+K298+P298+V298)</x:f>
      </x:c>
      <x:c r="X298" t="str">
        <x:f>IF(W298="","",IF(W298&gt;='11_Config'!$B$9,"Selección prioritaria",IF(W298&gt;='11_Config'!$B$10,"Elegible / reserva",IF(W298&gt;='11_Config'!$B$11,"Elegible condicionado","No recomendado"))))</x:f>
      </x:c>
    </x:row>
    <x:row r="299">
      <x:c r="F299" t="str">
        <x:f>IF(A299="","",(C299*40%+D299*30%+E299*30%)*15%)</x:f>
      </x:c>
      <x:c r="K299" t="str">
        <x:f>IF(A299="","",(G299*35%+H299*35%+I299*20%+J299*10%)*55%)</x:f>
      </x:c>
      <x:c r="P299" t="str">
        <x:f>IF(A299="","",(L299*35%+M299*35%+N299*20%+O299*10%)*25%)</x:f>
      </x:c>
      <x:c r="S299" t="str">
        <x:f>IF(R299="","",IF(R299="Mujer",10,IF(R299="Hombre",'11_Config'!$B$13,0)))</x:f>
      </x:c>
      <x:c r="T299" t="str">
        <x:f>IF(R299="Hombre","REVISAR REGLA OFICIAL","")</x:f>
      </x:c>
      <x:c r="V299" t="str">
        <x:f>IF(A299="","",(Q299*40%+S299*30%+U299*30%)*5%)</x:f>
      </x:c>
      <x:c r="W299" t="str">
        <x:f>IF(A299="","",F299+K299+P299+V299)</x:f>
      </x:c>
      <x:c r="X299" t="str">
        <x:f>IF(W299="","",IF(W299&gt;='11_Config'!$B$9,"Selección prioritaria",IF(W299&gt;='11_Config'!$B$10,"Elegible / reserva",IF(W299&gt;='11_Config'!$B$11,"Elegible condicionado","No recomendado"))))</x:f>
      </x:c>
    </x:row>
    <x:row r="300">
      <x:c r="F300" t="str">
        <x:f>IF(A300="","",(C300*40%+D300*30%+E300*30%)*15%)</x:f>
      </x:c>
      <x:c r="K300" t="str">
        <x:f>IF(A300="","",(G300*35%+H300*35%+I300*20%+J300*10%)*55%)</x:f>
      </x:c>
      <x:c r="P300" t="str">
        <x:f>IF(A300="","",(L300*35%+M300*35%+N300*20%+O300*10%)*25%)</x:f>
      </x:c>
      <x:c r="S300" t="str">
        <x:f>IF(R300="","",IF(R300="Mujer",10,IF(R300="Hombre",'11_Config'!$B$13,0)))</x:f>
      </x:c>
      <x:c r="T300" t="str">
        <x:f>IF(R300="Hombre","REVISAR REGLA OFICIAL","")</x:f>
      </x:c>
      <x:c r="V300" t="str">
        <x:f>IF(A300="","",(Q300*40%+S300*30%+U300*30%)*5%)</x:f>
      </x:c>
      <x:c r="W300" t="str">
        <x:f>IF(A300="","",F300+K300+P300+V300)</x:f>
      </x:c>
      <x:c r="X300" t="str">
        <x:f>IF(W300="","",IF(W300&gt;='11_Config'!$B$9,"Selección prioritaria",IF(W300&gt;='11_Config'!$B$10,"Elegible / reserva",IF(W300&gt;='11_Config'!$B$11,"Elegible condicionado","No recomendado"))))</x:f>
      </x:c>
    </x:row>
    <x:row r="301">
      <x:c r="F301" t="str">
        <x:f>IF(A301="","",(C301*40%+D301*30%+E301*30%)*15%)</x:f>
      </x:c>
      <x:c r="K301" t="str">
        <x:f>IF(A301="","",(G301*35%+H301*35%+I301*20%+J301*10%)*55%)</x:f>
      </x:c>
      <x:c r="P301" t="str">
        <x:f>IF(A301="","",(L301*35%+M301*35%+N301*20%+O301*10%)*25%)</x:f>
      </x:c>
      <x:c r="S301" t="str">
        <x:f>IF(R301="","",IF(R301="Mujer",10,IF(R301="Hombre",'11_Config'!$B$13,0)))</x:f>
      </x:c>
      <x:c r="T301" t="str">
        <x:f>IF(R301="Hombre","REVISAR REGLA OFICIAL","")</x:f>
      </x:c>
      <x:c r="V301" t="str">
        <x:f>IF(A301="","",(Q301*40%+S301*30%+U301*30%)*5%)</x:f>
      </x:c>
      <x:c r="W301" t="str">
        <x:f>IF(A301="","",F301+K301+P301+V301)</x:f>
      </x:c>
      <x:c r="X301" t="str">
        <x:f>IF(W301="","",IF(W301&gt;='11_Config'!$B$9,"Selección prioritaria",IF(W301&gt;='11_Config'!$B$10,"Elegible / reserva",IF(W301&gt;='11_Config'!$B$11,"Elegible condicionado","No recomendado"))))</x:f>
      </x:c>
    </x:row>
    <x:row r="302">
      <x:c r="F302" t="str">
        <x:f>IF(A302="","",(C302*40%+D302*30%+E302*30%)*15%)</x:f>
      </x:c>
      <x:c r="K302" t="str">
        <x:f>IF(A302="","",(G302*35%+H302*35%+I302*20%+J302*10%)*55%)</x:f>
      </x:c>
      <x:c r="P302" t="str">
        <x:f>IF(A302="","",(L302*35%+M302*35%+N302*20%+O302*10%)*25%)</x:f>
      </x:c>
      <x:c r="S302" t="str">
        <x:f>IF(R302="","",IF(R302="Mujer",10,IF(R302="Hombre",'11_Config'!$B$13,0)))</x:f>
      </x:c>
      <x:c r="T302" t="str">
        <x:f>IF(R302="Hombre","REVISAR REGLA OFICIAL","")</x:f>
      </x:c>
      <x:c r="V302" t="str">
        <x:f>IF(A302="","",(Q302*40%+S302*30%+U302*30%)*5%)</x:f>
      </x:c>
      <x:c r="W302" t="str">
        <x:f>IF(A302="","",F302+K302+P302+V302)</x:f>
      </x:c>
      <x:c r="X302" t="str">
        <x:f>IF(W302="","",IF(W302&gt;='11_Config'!$B$9,"Selección prioritaria",IF(W302&gt;='11_Config'!$B$10,"Elegible / reserva",IF(W302&gt;='11_Config'!$B$11,"Elegible condicionado","No recomendado"))))</x:f>
      </x:c>
    </x:row>
    <x:row r="303">
      <x:c r="F303" t="str">
        <x:f>IF(A303="","",(C303*40%+D303*30%+E303*30%)*15%)</x:f>
      </x:c>
      <x:c r="K303" t="str">
        <x:f>IF(A303="","",(G303*35%+H303*35%+I303*20%+J303*10%)*55%)</x:f>
      </x:c>
      <x:c r="P303" t="str">
        <x:f>IF(A303="","",(L303*35%+M303*35%+N303*20%+O303*10%)*25%)</x:f>
      </x:c>
      <x:c r="S303" t="str">
        <x:f>IF(R303="","",IF(R303="Mujer",10,IF(R303="Hombre",'11_Config'!$B$13,0)))</x:f>
      </x:c>
      <x:c r="T303" t="str">
        <x:f>IF(R303="Hombre","REVISAR REGLA OFICIAL","")</x:f>
      </x:c>
      <x:c r="V303" t="str">
        <x:f>IF(A303="","",(Q303*40%+S303*30%+U303*30%)*5%)</x:f>
      </x:c>
      <x:c r="W303" t="str">
        <x:f>IF(A303="","",F303+K303+P303+V303)</x:f>
      </x:c>
      <x:c r="X303" t="str">
        <x:f>IF(W303="","",IF(W303&gt;='11_Config'!$B$9,"Selección prioritaria",IF(W303&gt;='11_Config'!$B$10,"Elegible / reserva",IF(W303&gt;='11_Config'!$B$11,"Elegible condicionado","No recomendado"))))</x:f>
      </x:c>
    </x:row>
    <x:row r="304">
      <x:c r="F304" t="str">
        <x:f>IF(A304="","",(C304*40%+D304*30%+E304*30%)*15%)</x:f>
      </x:c>
      <x:c r="K304" t="str">
        <x:f>IF(A304="","",(G304*35%+H304*35%+I304*20%+J304*10%)*55%)</x:f>
      </x:c>
      <x:c r="P304" t="str">
        <x:f>IF(A304="","",(L304*35%+M304*35%+N304*20%+O304*10%)*25%)</x:f>
      </x:c>
      <x:c r="S304" t="str">
        <x:f>IF(R304="","",IF(R304="Mujer",10,IF(R304="Hombre",'11_Config'!$B$13,0)))</x:f>
      </x:c>
      <x:c r="T304" t="str">
        <x:f>IF(R304="Hombre","REVISAR REGLA OFICIAL","")</x:f>
      </x:c>
      <x:c r="V304" t="str">
        <x:f>IF(A304="","",(Q304*40%+S304*30%+U304*30%)*5%)</x:f>
      </x:c>
      <x:c r="W304" t="str">
        <x:f>IF(A304="","",F304+K304+P304+V304)</x:f>
      </x:c>
      <x:c r="X304" t="str">
        <x:f>IF(W304="","",IF(W304&gt;='11_Config'!$B$9,"Selección prioritaria",IF(W304&gt;='11_Config'!$B$10,"Elegible / reserva",IF(W304&gt;='11_Config'!$B$11,"Elegible condicionado","No recomendado"))))</x:f>
      </x:c>
    </x:row>
    <x:row r="305">
      <x:c r="F305" t="str">
        <x:f>IF(A305="","",(C305*40%+D305*30%+E305*30%)*15%)</x:f>
      </x:c>
      <x:c r="K305" t="str">
        <x:f>IF(A305="","",(G305*35%+H305*35%+I305*20%+J305*10%)*55%)</x:f>
      </x:c>
      <x:c r="P305" t="str">
        <x:f>IF(A305="","",(L305*35%+M305*35%+N305*20%+O305*10%)*25%)</x:f>
      </x:c>
      <x:c r="S305" t="str">
        <x:f>IF(R305="","",IF(R305="Mujer",10,IF(R305="Hombre",'11_Config'!$B$13,0)))</x:f>
      </x:c>
      <x:c r="T305" t="str">
        <x:f>IF(R305="Hombre","REVISAR REGLA OFICIAL","")</x:f>
      </x:c>
      <x:c r="V305" t="str">
        <x:f>IF(A305="","",(Q305*40%+S305*30%+U305*30%)*5%)</x:f>
      </x:c>
      <x:c r="W305" t="str">
        <x:f>IF(A305="","",F305+K305+P305+V305)</x:f>
      </x:c>
      <x:c r="X305" t="str">
        <x:f>IF(W305="","",IF(W305&gt;='11_Config'!$B$9,"Selección prioritaria",IF(W305&gt;='11_Config'!$B$10,"Elegible / reserva",IF(W305&gt;='11_Config'!$B$11,"Elegible condicionado","No recomendado"))))</x:f>
      </x:c>
    </x:row>
    <x:row r="306">
      <x:c r="F306" t="str">
        <x:f>IF(A306="","",(C306*40%+D306*30%+E306*30%)*15%)</x:f>
      </x:c>
      <x:c r="K306" t="str">
        <x:f>IF(A306="","",(G306*35%+H306*35%+I306*20%+J306*10%)*55%)</x:f>
      </x:c>
      <x:c r="P306" t="str">
        <x:f>IF(A306="","",(L306*35%+M306*35%+N306*20%+O306*10%)*25%)</x:f>
      </x:c>
      <x:c r="S306" t="str">
        <x:f>IF(R306="","",IF(R306="Mujer",10,IF(R306="Hombre",'11_Config'!$B$13,0)))</x:f>
      </x:c>
      <x:c r="T306" t="str">
        <x:f>IF(R306="Hombre","REVISAR REGLA OFICIAL","")</x:f>
      </x:c>
      <x:c r="V306" t="str">
        <x:f>IF(A306="","",(Q306*40%+S306*30%+U306*30%)*5%)</x:f>
      </x:c>
      <x:c r="W306" t="str">
        <x:f>IF(A306="","",F306+K306+P306+V306)</x:f>
      </x:c>
      <x:c r="X306" t="str">
        <x:f>IF(W306="","",IF(W306&gt;='11_Config'!$B$9,"Selección prioritaria",IF(W306&gt;='11_Config'!$B$10,"Elegible / reserva",IF(W306&gt;='11_Config'!$B$11,"Elegible condicionado","No recomendado"))))</x:f>
      </x:c>
    </x:row>
    <x:row r="307">
      <x:c r="F307" t="str">
        <x:f>IF(A307="","",(C307*40%+D307*30%+E307*30%)*15%)</x:f>
      </x:c>
      <x:c r="K307" t="str">
        <x:f>IF(A307="","",(G307*35%+H307*35%+I307*20%+J307*10%)*55%)</x:f>
      </x:c>
      <x:c r="P307" t="str">
        <x:f>IF(A307="","",(L307*35%+M307*35%+N307*20%+O307*10%)*25%)</x:f>
      </x:c>
      <x:c r="S307" t="str">
        <x:f>IF(R307="","",IF(R307="Mujer",10,IF(R307="Hombre",'11_Config'!$B$13,0)))</x:f>
      </x:c>
      <x:c r="T307" t="str">
        <x:f>IF(R307="Hombre","REVISAR REGLA OFICIAL","")</x:f>
      </x:c>
      <x:c r="V307" t="str">
        <x:f>IF(A307="","",(Q307*40%+S307*30%+U307*30%)*5%)</x:f>
      </x:c>
      <x:c r="W307" t="str">
        <x:f>IF(A307="","",F307+K307+P307+V307)</x:f>
      </x:c>
      <x:c r="X307" t="str">
        <x:f>IF(W307="","",IF(W307&gt;='11_Config'!$B$9,"Selección prioritaria",IF(W307&gt;='11_Config'!$B$10,"Elegible / reserva",IF(W307&gt;='11_Config'!$B$11,"Elegible condicionado","No recomendado"))))</x:f>
      </x:c>
    </x:row>
    <x:row r="308">
      <x:c r="F308" t="str">
        <x:f>IF(A308="","",(C308*40%+D308*30%+E308*30%)*15%)</x:f>
      </x:c>
      <x:c r="K308" t="str">
        <x:f>IF(A308="","",(G308*35%+H308*35%+I308*20%+J308*10%)*55%)</x:f>
      </x:c>
      <x:c r="P308" t="str">
        <x:f>IF(A308="","",(L308*35%+M308*35%+N308*20%+O308*10%)*25%)</x:f>
      </x:c>
      <x:c r="S308" t="str">
        <x:f>IF(R308="","",IF(R308="Mujer",10,IF(R308="Hombre",'11_Config'!$B$13,0)))</x:f>
      </x:c>
      <x:c r="T308" t="str">
        <x:f>IF(R308="Hombre","REVISAR REGLA OFICIAL","")</x:f>
      </x:c>
      <x:c r="V308" t="str">
        <x:f>IF(A308="","",(Q308*40%+S308*30%+U308*30%)*5%)</x:f>
      </x:c>
      <x:c r="W308" t="str">
        <x:f>IF(A308="","",F308+K308+P308+V308)</x:f>
      </x:c>
      <x:c r="X308" t="str">
        <x:f>IF(W308="","",IF(W308&gt;='11_Config'!$B$9,"Selección prioritaria",IF(W308&gt;='11_Config'!$B$10,"Elegible / reserva",IF(W308&gt;='11_Config'!$B$11,"Elegible condicionado","No recomendado"))))</x:f>
      </x:c>
    </x:row>
    <x:row r="309">
      <x:c r="F309" t="str">
        <x:f>IF(A309="","",(C309*40%+D309*30%+E309*30%)*15%)</x:f>
      </x:c>
      <x:c r="K309" t="str">
        <x:f>IF(A309="","",(G309*35%+H309*35%+I309*20%+J309*10%)*55%)</x:f>
      </x:c>
      <x:c r="P309" t="str">
        <x:f>IF(A309="","",(L309*35%+M309*35%+N309*20%+O309*10%)*25%)</x:f>
      </x:c>
      <x:c r="S309" t="str">
        <x:f>IF(R309="","",IF(R309="Mujer",10,IF(R309="Hombre",'11_Config'!$B$13,0)))</x:f>
      </x:c>
      <x:c r="T309" t="str">
        <x:f>IF(R309="Hombre","REVISAR REGLA OFICIAL","")</x:f>
      </x:c>
      <x:c r="V309" t="str">
        <x:f>IF(A309="","",(Q309*40%+S309*30%+U309*30%)*5%)</x:f>
      </x:c>
      <x:c r="W309" t="str">
        <x:f>IF(A309="","",F309+K309+P309+V309)</x:f>
      </x:c>
      <x:c r="X309" t="str">
        <x:f>IF(W309="","",IF(W309&gt;='11_Config'!$B$9,"Selección prioritaria",IF(W309&gt;='11_Config'!$B$10,"Elegible / reserva",IF(W309&gt;='11_Config'!$B$11,"Elegible condicionado","No recomendado"))))</x:f>
      </x:c>
    </x:row>
    <x:row r="310">
      <x:c r="F310" t="str">
        <x:f>IF(A310="","",(C310*40%+D310*30%+E310*30%)*15%)</x:f>
      </x:c>
      <x:c r="K310" t="str">
        <x:f>IF(A310="","",(G310*35%+H310*35%+I310*20%+J310*10%)*55%)</x:f>
      </x:c>
      <x:c r="P310" t="str">
        <x:f>IF(A310="","",(L310*35%+M310*35%+N310*20%+O310*10%)*25%)</x:f>
      </x:c>
      <x:c r="S310" t="str">
        <x:f>IF(R310="","",IF(R310="Mujer",10,IF(R310="Hombre",'11_Config'!$B$13,0)))</x:f>
      </x:c>
      <x:c r="T310" t="str">
        <x:f>IF(R310="Hombre","REVISAR REGLA OFICIAL","")</x:f>
      </x:c>
      <x:c r="V310" t="str">
        <x:f>IF(A310="","",(Q310*40%+S310*30%+U310*30%)*5%)</x:f>
      </x:c>
      <x:c r="W310" t="str">
        <x:f>IF(A310="","",F310+K310+P310+V310)</x:f>
      </x:c>
      <x:c r="X310" t="str">
        <x:f>IF(W310="","",IF(W310&gt;='11_Config'!$B$9,"Selección prioritaria",IF(W310&gt;='11_Config'!$B$10,"Elegible / reserva",IF(W310&gt;='11_Config'!$B$11,"Elegible condicionado","No recomendado"))))</x:f>
      </x:c>
    </x:row>
    <x:row r="311">
      <x:c r="F311" t="str">
        <x:f>IF(A311="","",(C311*40%+D311*30%+E311*30%)*15%)</x:f>
      </x:c>
      <x:c r="K311" t="str">
        <x:f>IF(A311="","",(G311*35%+H311*35%+I311*20%+J311*10%)*55%)</x:f>
      </x:c>
      <x:c r="P311" t="str">
        <x:f>IF(A311="","",(L311*35%+M311*35%+N311*20%+O311*10%)*25%)</x:f>
      </x:c>
      <x:c r="S311" t="str">
        <x:f>IF(R311="","",IF(R311="Mujer",10,IF(R311="Hombre",'11_Config'!$B$13,0)))</x:f>
      </x:c>
      <x:c r="T311" t="str">
        <x:f>IF(R311="Hombre","REVISAR REGLA OFICIAL","")</x:f>
      </x:c>
      <x:c r="V311" t="str">
        <x:f>IF(A311="","",(Q311*40%+S311*30%+U311*30%)*5%)</x:f>
      </x:c>
      <x:c r="W311" t="str">
        <x:f>IF(A311="","",F311+K311+P311+V311)</x:f>
      </x:c>
      <x:c r="X311" t="str">
        <x:f>IF(W311="","",IF(W311&gt;='11_Config'!$B$9,"Selección prioritaria",IF(W311&gt;='11_Config'!$B$10,"Elegible / reserva",IF(W311&gt;='11_Config'!$B$11,"Elegible condicionado","No recomendado"))))</x:f>
      </x:c>
    </x:row>
    <x:row r="312">
      <x:c r="F312" t="str">
        <x:f>IF(A312="","",(C312*40%+D312*30%+E312*30%)*15%)</x:f>
      </x:c>
      <x:c r="K312" t="str">
        <x:f>IF(A312="","",(G312*35%+H312*35%+I312*20%+J312*10%)*55%)</x:f>
      </x:c>
      <x:c r="P312" t="str">
        <x:f>IF(A312="","",(L312*35%+M312*35%+N312*20%+O312*10%)*25%)</x:f>
      </x:c>
      <x:c r="S312" t="str">
        <x:f>IF(R312="","",IF(R312="Mujer",10,IF(R312="Hombre",'11_Config'!$B$13,0)))</x:f>
      </x:c>
      <x:c r="T312" t="str">
        <x:f>IF(R312="Hombre","REVISAR REGLA OFICIAL","")</x:f>
      </x:c>
      <x:c r="V312" t="str">
        <x:f>IF(A312="","",(Q312*40%+S312*30%+U312*30%)*5%)</x:f>
      </x:c>
      <x:c r="W312" t="str">
        <x:f>IF(A312="","",F312+K312+P312+V312)</x:f>
      </x:c>
      <x:c r="X312" t="str">
        <x:f>IF(W312="","",IF(W312&gt;='11_Config'!$B$9,"Selección prioritaria",IF(W312&gt;='11_Config'!$B$10,"Elegible / reserva",IF(W312&gt;='11_Config'!$B$11,"Elegible condicionado","No recomendado"))))</x:f>
      </x:c>
    </x:row>
    <x:row r="313">
      <x:c r="F313" t="str">
        <x:f>IF(A313="","",(C313*40%+D313*30%+E313*30%)*15%)</x:f>
      </x:c>
      <x:c r="K313" t="str">
        <x:f>IF(A313="","",(G313*35%+H313*35%+I313*20%+J313*10%)*55%)</x:f>
      </x:c>
      <x:c r="P313" t="str">
        <x:f>IF(A313="","",(L313*35%+M313*35%+N313*20%+O313*10%)*25%)</x:f>
      </x:c>
      <x:c r="S313" t="str">
        <x:f>IF(R313="","",IF(R313="Mujer",10,IF(R313="Hombre",'11_Config'!$B$13,0)))</x:f>
      </x:c>
      <x:c r="T313" t="str">
        <x:f>IF(R313="Hombre","REVISAR REGLA OFICIAL","")</x:f>
      </x:c>
      <x:c r="V313" t="str">
        <x:f>IF(A313="","",(Q313*40%+S313*30%+U313*30%)*5%)</x:f>
      </x:c>
      <x:c r="W313" t="str">
        <x:f>IF(A313="","",F313+K313+P313+V313)</x:f>
      </x:c>
      <x:c r="X313" t="str">
        <x:f>IF(W313="","",IF(W313&gt;='11_Config'!$B$9,"Selección prioritaria",IF(W313&gt;='11_Config'!$B$10,"Elegible / reserva",IF(W313&gt;='11_Config'!$B$11,"Elegible condicionado","No recomendado"))))</x:f>
      </x:c>
    </x:row>
    <x:row r="314">
      <x:c r="F314" t="str">
        <x:f>IF(A314="","",(C314*40%+D314*30%+E314*30%)*15%)</x:f>
      </x:c>
      <x:c r="K314" t="str">
        <x:f>IF(A314="","",(G314*35%+H314*35%+I314*20%+J314*10%)*55%)</x:f>
      </x:c>
      <x:c r="P314" t="str">
        <x:f>IF(A314="","",(L314*35%+M314*35%+N314*20%+O314*10%)*25%)</x:f>
      </x:c>
      <x:c r="S314" t="str">
        <x:f>IF(R314="","",IF(R314="Mujer",10,IF(R314="Hombre",'11_Config'!$B$13,0)))</x:f>
      </x:c>
      <x:c r="T314" t="str">
        <x:f>IF(R314="Hombre","REVISAR REGLA OFICIAL","")</x:f>
      </x:c>
      <x:c r="V314" t="str">
        <x:f>IF(A314="","",(Q314*40%+S314*30%+U314*30%)*5%)</x:f>
      </x:c>
      <x:c r="W314" t="str">
        <x:f>IF(A314="","",F314+K314+P314+V314)</x:f>
      </x:c>
      <x:c r="X314" t="str">
        <x:f>IF(W314="","",IF(W314&gt;='11_Config'!$B$9,"Selección prioritaria",IF(W314&gt;='11_Config'!$B$10,"Elegible / reserva",IF(W314&gt;='11_Config'!$B$11,"Elegible condicionado","No recomendado"))))</x:f>
      </x:c>
    </x:row>
    <x:row r="315">
      <x:c r="F315" t="str">
        <x:f>IF(A315="","",(C315*40%+D315*30%+E315*30%)*15%)</x:f>
      </x:c>
      <x:c r="K315" t="str">
        <x:f>IF(A315="","",(G315*35%+H315*35%+I315*20%+J315*10%)*55%)</x:f>
      </x:c>
      <x:c r="P315" t="str">
        <x:f>IF(A315="","",(L315*35%+M315*35%+N315*20%+O315*10%)*25%)</x:f>
      </x:c>
      <x:c r="S315" t="str">
        <x:f>IF(R315="","",IF(R315="Mujer",10,IF(R315="Hombre",'11_Config'!$B$13,0)))</x:f>
      </x:c>
      <x:c r="T315" t="str">
        <x:f>IF(R315="Hombre","REVISAR REGLA OFICIAL","")</x:f>
      </x:c>
      <x:c r="V315" t="str">
        <x:f>IF(A315="","",(Q315*40%+S315*30%+U315*30%)*5%)</x:f>
      </x:c>
      <x:c r="W315" t="str">
        <x:f>IF(A315="","",F315+K315+P315+V315)</x:f>
      </x:c>
      <x:c r="X315" t="str">
        <x:f>IF(W315="","",IF(W315&gt;='11_Config'!$B$9,"Selección prioritaria",IF(W315&gt;='11_Config'!$B$10,"Elegible / reserva",IF(W315&gt;='11_Config'!$B$11,"Elegible condicionado","No recomendado"))))</x:f>
      </x:c>
    </x:row>
    <x:row r="316">
      <x:c r="F316" t="str">
        <x:f>IF(A316="","",(C316*40%+D316*30%+E316*30%)*15%)</x:f>
      </x:c>
      <x:c r="K316" t="str">
        <x:f>IF(A316="","",(G316*35%+H316*35%+I316*20%+J316*10%)*55%)</x:f>
      </x:c>
      <x:c r="P316" t="str">
        <x:f>IF(A316="","",(L316*35%+M316*35%+N316*20%+O316*10%)*25%)</x:f>
      </x:c>
      <x:c r="S316" t="str">
        <x:f>IF(R316="","",IF(R316="Mujer",10,IF(R316="Hombre",'11_Config'!$B$13,0)))</x:f>
      </x:c>
      <x:c r="T316" t="str">
        <x:f>IF(R316="Hombre","REVISAR REGLA OFICIAL","")</x:f>
      </x:c>
      <x:c r="V316" t="str">
        <x:f>IF(A316="","",(Q316*40%+S316*30%+U316*30%)*5%)</x:f>
      </x:c>
      <x:c r="W316" t="str">
        <x:f>IF(A316="","",F316+K316+P316+V316)</x:f>
      </x:c>
      <x:c r="X316" t="str">
        <x:f>IF(W316="","",IF(W316&gt;='11_Config'!$B$9,"Selección prioritaria",IF(W316&gt;='11_Config'!$B$10,"Elegible / reserva",IF(W316&gt;='11_Config'!$B$11,"Elegible condicionado","No recomendado"))))</x:f>
      </x:c>
    </x:row>
    <x:row r="317">
      <x:c r="F317" t="str">
        <x:f>IF(A317="","",(C317*40%+D317*30%+E317*30%)*15%)</x:f>
      </x:c>
      <x:c r="K317" t="str">
        <x:f>IF(A317="","",(G317*35%+H317*35%+I317*20%+J317*10%)*55%)</x:f>
      </x:c>
      <x:c r="P317" t="str">
        <x:f>IF(A317="","",(L317*35%+M317*35%+N317*20%+O317*10%)*25%)</x:f>
      </x:c>
      <x:c r="S317" t="str">
        <x:f>IF(R317="","",IF(R317="Mujer",10,IF(R317="Hombre",'11_Config'!$B$13,0)))</x:f>
      </x:c>
      <x:c r="T317" t="str">
        <x:f>IF(R317="Hombre","REVISAR REGLA OFICIAL","")</x:f>
      </x:c>
      <x:c r="V317" t="str">
        <x:f>IF(A317="","",(Q317*40%+S317*30%+U317*30%)*5%)</x:f>
      </x:c>
      <x:c r="W317" t="str">
        <x:f>IF(A317="","",F317+K317+P317+V317)</x:f>
      </x:c>
      <x:c r="X317" t="str">
        <x:f>IF(W317="","",IF(W317&gt;='11_Config'!$B$9,"Selección prioritaria",IF(W317&gt;='11_Config'!$B$10,"Elegible / reserva",IF(W317&gt;='11_Config'!$B$11,"Elegible condicionado","No recomendado"))))</x:f>
      </x:c>
    </x:row>
    <x:row r="318">
      <x:c r="F318" t="str">
        <x:f>IF(A318="","",(C318*40%+D318*30%+E318*30%)*15%)</x:f>
      </x:c>
      <x:c r="K318" t="str">
        <x:f>IF(A318="","",(G318*35%+H318*35%+I318*20%+J318*10%)*55%)</x:f>
      </x:c>
      <x:c r="P318" t="str">
        <x:f>IF(A318="","",(L318*35%+M318*35%+N318*20%+O318*10%)*25%)</x:f>
      </x:c>
      <x:c r="S318" t="str">
        <x:f>IF(R318="","",IF(R318="Mujer",10,IF(R318="Hombre",'11_Config'!$B$13,0)))</x:f>
      </x:c>
      <x:c r="T318" t="str">
        <x:f>IF(R318="Hombre","REVISAR REGLA OFICIAL","")</x:f>
      </x:c>
      <x:c r="V318" t="str">
        <x:f>IF(A318="","",(Q318*40%+S318*30%+U318*30%)*5%)</x:f>
      </x:c>
      <x:c r="W318" t="str">
        <x:f>IF(A318="","",F318+K318+P318+V318)</x:f>
      </x:c>
      <x:c r="X318" t="str">
        <x:f>IF(W318="","",IF(W318&gt;='11_Config'!$B$9,"Selección prioritaria",IF(W318&gt;='11_Config'!$B$10,"Elegible / reserva",IF(W318&gt;='11_Config'!$B$11,"Elegible condicionado","No recomendado"))))</x:f>
      </x:c>
    </x:row>
    <x:row r="319">
      <x:c r="F319" t="str">
        <x:f>IF(A319="","",(C319*40%+D319*30%+E319*30%)*15%)</x:f>
      </x:c>
      <x:c r="K319" t="str">
        <x:f>IF(A319="","",(G319*35%+H319*35%+I319*20%+J319*10%)*55%)</x:f>
      </x:c>
      <x:c r="P319" t="str">
        <x:f>IF(A319="","",(L319*35%+M319*35%+N319*20%+O319*10%)*25%)</x:f>
      </x:c>
      <x:c r="S319" t="str">
        <x:f>IF(R319="","",IF(R319="Mujer",10,IF(R319="Hombre",'11_Config'!$B$13,0)))</x:f>
      </x:c>
      <x:c r="T319" t="str">
        <x:f>IF(R319="Hombre","REVISAR REGLA OFICIAL","")</x:f>
      </x:c>
      <x:c r="V319" t="str">
        <x:f>IF(A319="","",(Q319*40%+S319*30%+U319*30%)*5%)</x:f>
      </x:c>
      <x:c r="W319" t="str">
        <x:f>IF(A319="","",F319+K319+P319+V319)</x:f>
      </x:c>
      <x:c r="X319" t="str">
        <x:f>IF(W319="","",IF(W319&gt;='11_Config'!$B$9,"Selección prioritaria",IF(W319&gt;='11_Config'!$B$10,"Elegible / reserva",IF(W319&gt;='11_Config'!$B$11,"Elegible condicionado","No recomendado"))))</x:f>
      </x:c>
    </x:row>
    <x:row r="320">
      <x:c r="F320" t="str">
        <x:f>IF(A320="","",(C320*40%+D320*30%+E320*30%)*15%)</x:f>
      </x:c>
      <x:c r="K320" t="str">
        <x:f>IF(A320="","",(G320*35%+H320*35%+I320*20%+J320*10%)*55%)</x:f>
      </x:c>
      <x:c r="P320" t="str">
        <x:f>IF(A320="","",(L320*35%+M320*35%+N320*20%+O320*10%)*25%)</x:f>
      </x:c>
      <x:c r="S320" t="str">
        <x:f>IF(R320="","",IF(R320="Mujer",10,IF(R320="Hombre",'11_Config'!$B$13,0)))</x:f>
      </x:c>
      <x:c r="T320" t="str">
        <x:f>IF(R320="Hombre","REVISAR REGLA OFICIAL","")</x:f>
      </x:c>
      <x:c r="V320" t="str">
        <x:f>IF(A320="","",(Q320*40%+S320*30%+U320*30%)*5%)</x:f>
      </x:c>
      <x:c r="W320" t="str">
        <x:f>IF(A320="","",F320+K320+P320+V320)</x:f>
      </x:c>
      <x:c r="X320" t="str">
        <x:f>IF(W320="","",IF(W320&gt;='11_Config'!$B$9,"Selección prioritaria",IF(W320&gt;='11_Config'!$B$10,"Elegible / reserva",IF(W320&gt;='11_Config'!$B$11,"Elegible condicionado","No recomendado"))))</x:f>
      </x:c>
    </x:row>
    <x:row r="321">
      <x:c r="F321" t="str">
        <x:f>IF(A321="","",(C321*40%+D321*30%+E321*30%)*15%)</x:f>
      </x:c>
      <x:c r="K321" t="str">
        <x:f>IF(A321="","",(G321*35%+H321*35%+I321*20%+J321*10%)*55%)</x:f>
      </x:c>
      <x:c r="P321" t="str">
        <x:f>IF(A321="","",(L321*35%+M321*35%+N321*20%+O321*10%)*25%)</x:f>
      </x:c>
      <x:c r="S321" t="str">
        <x:f>IF(R321="","",IF(R321="Mujer",10,IF(R321="Hombre",'11_Config'!$B$13,0)))</x:f>
      </x:c>
      <x:c r="T321" t="str">
        <x:f>IF(R321="Hombre","REVISAR REGLA OFICIAL","")</x:f>
      </x:c>
      <x:c r="V321" t="str">
        <x:f>IF(A321="","",(Q321*40%+S321*30%+U321*30%)*5%)</x:f>
      </x:c>
      <x:c r="W321" t="str">
        <x:f>IF(A321="","",F321+K321+P321+V321)</x:f>
      </x:c>
      <x:c r="X321" t="str">
        <x:f>IF(W321="","",IF(W321&gt;='11_Config'!$B$9,"Selección prioritaria",IF(W321&gt;='11_Config'!$B$10,"Elegible / reserva",IF(W321&gt;='11_Config'!$B$11,"Elegible condicionado","No recomendado"))))</x:f>
      </x:c>
    </x:row>
    <x:row r="322">
      <x:c r="F322" t="str">
        <x:f>IF(A322="","",(C322*40%+D322*30%+E322*30%)*15%)</x:f>
      </x:c>
      <x:c r="K322" t="str">
        <x:f>IF(A322="","",(G322*35%+H322*35%+I322*20%+J322*10%)*55%)</x:f>
      </x:c>
      <x:c r="P322" t="str">
        <x:f>IF(A322="","",(L322*35%+M322*35%+N322*20%+O322*10%)*25%)</x:f>
      </x:c>
      <x:c r="S322" t="str">
        <x:f>IF(R322="","",IF(R322="Mujer",10,IF(R322="Hombre",'11_Config'!$B$13,0)))</x:f>
      </x:c>
      <x:c r="T322" t="str">
        <x:f>IF(R322="Hombre","REVISAR REGLA OFICIAL","")</x:f>
      </x:c>
      <x:c r="V322" t="str">
        <x:f>IF(A322="","",(Q322*40%+S322*30%+U322*30%)*5%)</x:f>
      </x:c>
      <x:c r="W322" t="str">
        <x:f>IF(A322="","",F322+K322+P322+V322)</x:f>
      </x:c>
      <x:c r="X322" t="str">
        <x:f>IF(W322="","",IF(W322&gt;='11_Config'!$B$9,"Selección prioritaria",IF(W322&gt;='11_Config'!$B$10,"Elegible / reserva",IF(W322&gt;='11_Config'!$B$11,"Elegible condicionado","No recomendado"))))</x:f>
      </x:c>
    </x:row>
    <x:row r="323">
      <x:c r="F323" t="str">
        <x:f>IF(A323="","",(C323*40%+D323*30%+E323*30%)*15%)</x:f>
      </x:c>
      <x:c r="K323" t="str">
        <x:f>IF(A323="","",(G323*35%+H323*35%+I323*20%+J323*10%)*55%)</x:f>
      </x:c>
      <x:c r="P323" t="str">
        <x:f>IF(A323="","",(L323*35%+M323*35%+N323*20%+O323*10%)*25%)</x:f>
      </x:c>
      <x:c r="S323" t="str">
        <x:f>IF(R323="","",IF(R323="Mujer",10,IF(R323="Hombre",'11_Config'!$B$13,0)))</x:f>
      </x:c>
      <x:c r="T323" t="str">
        <x:f>IF(R323="Hombre","REVISAR REGLA OFICIAL","")</x:f>
      </x:c>
      <x:c r="V323" t="str">
        <x:f>IF(A323="","",(Q323*40%+S323*30%+U323*30%)*5%)</x:f>
      </x:c>
      <x:c r="W323" t="str">
        <x:f>IF(A323="","",F323+K323+P323+V323)</x:f>
      </x:c>
      <x:c r="X323" t="str">
        <x:f>IF(W323="","",IF(W323&gt;='11_Config'!$B$9,"Selección prioritaria",IF(W323&gt;='11_Config'!$B$10,"Elegible / reserva",IF(W323&gt;='11_Config'!$B$11,"Elegible condicionado","No recomendado"))))</x:f>
      </x:c>
    </x:row>
    <x:row r="324">
      <x:c r="F324" t="str">
        <x:f>IF(A324="","",(C324*40%+D324*30%+E324*30%)*15%)</x:f>
      </x:c>
      <x:c r="K324" t="str">
        <x:f>IF(A324="","",(G324*35%+H324*35%+I324*20%+J324*10%)*55%)</x:f>
      </x:c>
      <x:c r="P324" t="str">
        <x:f>IF(A324="","",(L324*35%+M324*35%+N324*20%+O324*10%)*25%)</x:f>
      </x:c>
      <x:c r="S324" t="str">
        <x:f>IF(R324="","",IF(R324="Mujer",10,IF(R324="Hombre",'11_Config'!$B$13,0)))</x:f>
      </x:c>
      <x:c r="T324" t="str">
        <x:f>IF(R324="Hombre","REVISAR REGLA OFICIAL","")</x:f>
      </x:c>
      <x:c r="V324" t="str">
        <x:f>IF(A324="","",(Q324*40%+S324*30%+U324*30%)*5%)</x:f>
      </x:c>
      <x:c r="W324" t="str">
        <x:f>IF(A324="","",F324+K324+P324+V324)</x:f>
      </x:c>
      <x:c r="X324" t="str">
        <x:f>IF(W324="","",IF(W324&gt;='11_Config'!$B$9,"Selección prioritaria",IF(W324&gt;='11_Config'!$B$10,"Elegible / reserva",IF(W324&gt;='11_Config'!$B$11,"Elegible condicionado","No recomendado"))))</x:f>
      </x:c>
    </x:row>
    <x:row r="325">
      <x:c r="F325" t="str">
        <x:f>IF(A325="","",(C325*40%+D325*30%+E325*30%)*15%)</x:f>
      </x:c>
      <x:c r="K325" t="str">
        <x:f>IF(A325="","",(G325*35%+H325*35%+I325*20%+J325*10%)*55%)</x:f>
      </x:c>
      <x:c r="P325" t="str">
        <x:f>IF(A325="","",(L325*35%+M325*35%+N325*20%+O325*10%)*25%)</x:f>
      </x:c>
      <x:c r="S325" t="str">
        <x:f>IF(R325="","",IF(R325="Mujer",10,IF(R325="Hombre",'11_Config'!$B$13,0)))</x:f>
      </x:c>
      <x:c r="T325" t="str">
        <x:f>IF(R325="Hombre","REVISAR REGLA OFICIAL","")</x:f>
      </x:c>
      <x:c r="V325" t="str">
        <x:f>IF(A325="","",(Q325*40%+S325*30%+U325*30%)*5%)</x:f>
      </x:c>
      <x:c r="W325" t="str">
        <x:f>IF(A325="","",F325+K325+P325+V325)</x:f>
      </x:c>
      <x:c r="X325" t="str">
        <x:f>IF(W325="","",IF(W325&gt;='11_Config'!$B$9,"Selección prioritaria",IF(W325&gt;='11_Config'!$B$10,"Elegible / reserva",IF(W325&gt;='11_Config'!$B$11,"Elegible condicionado","No recomendado"))))</x:f>
      </x:c>
    </x:row>
    <x:row r="326">
      <x:c r="F326" t="str">
        <x:f>IF(A326="","",(C326*40%+D326*30%+E326*30%)*15%)</x:f>
      </x:c>
      <x:c r="K326" t="str">
        <x:f>IF(A326="","",(G326*35%+H326*35%+I326*20%+J326*10%)*55%)</x:f>
      </x:c>
      <x:c r="P326" t="str">
        <x:f>IF(A326="","",(L326*35%+M326*35%+N326*20%+O326*10%)*25%)</x:f>
      </x:c>
      <x:c r="S326" t="str">
        <x:f>IF(R326="","",IF(R326="Mujer",10,IF(R326="Hombre",'11_Config'!$B$13,0)))</x:f>
      </x:c>
      <x:c r="T326" t="str">
        <x:f>IF(R326="Hombre","REVISAR REGLA OFICIAL","")</x:f>
      </x:c>
      <x:c r="V326" t="str">
        <x:f>IF(A326="","",(Q326*40%+S326*30%+U326*30%)*5%)</x:f>
      </x:c>
      <x:c r="W326" t="str">
        <x:f>IF(A326="","",F326+K326+P326+V326)</x:f>
      </x:c>
      <x:c r="X326" t="str">
        <x:f>IF(W326="","",IF(W326&gt;='11_Config'!$B$9,"Selección prioritaria",IF(W326&gt;='11_Config'!$B$10,"Elegible / reserva",IF(W326&gt;='11_Config'!$B$11,"Elegible condicionado","No recomendado"))))</x:f>
      </x:c>
    </x:row>
    <x:row r="327">
      <x:c r="F327" t="str">
        <x:f>IF(A327="","",(C327*40%+D327*30%+E327*30%)*15%)</x:f>
      </x:c>
      <x:c r="K327" t="str">
        <x:f>IF(A327="","",(G327*35%+H327*35%+I327*20%+J327*10%)*55%)</x:f>
      </x:c>
      <x:c r="P327" t="str">
        <x:f>IF(A327="","",(L327*35%+M327*35%+N327*20%+O327*10%)*25%)</x:f>
      </x:c>
      <x:c r="S327" t="str">
        <x:f>IF(R327="","",IF(R327="Mujer",10,IF(R327="Hombre",'11_Config'!$B$13,0)))</x:f>
      </x:c>
      <x:c r="T327" t="str">
        <x:f>IF(R327="Hombre","REVISAR REGLA OFICIAL","")</x:f>
      </x:c>
      <x:c r="V327" t="str">
        <x:f>IF(A327="","",(Q327*40%+S327*30%+U327*30%)*5%)</x:f>
      </x:c>
      <x:c r="W327" t="str">
        <x:f>IF(A327="","",F327+K327+P327+V327)</x:f>
      </x:c>
      <x:c r="X327" t="str">
        <x:f>IF(W327="","",IF(W327&gt;='11_Config'!$B$9,"Selección prioritaria",IF(W327&gt;='11_Config'!$B$10,"Elegible / reserva",IF(W327&gt;='11_Config'!$B$11,"Elegible condicionado","No recomendado"))))</x:f>
      </x:c>
    </x:row>
    <x:row r="328">
      <x:c r="F328" t="str">
        <x:f>IF(A328="","",(C328*40%+D328*30%+E328*30%)*15%)</x:f>
      </x:c>
      <x:c r="K328" t="str">
        <x:f>IF(A328="","",(G328*35%+H328*35%+I328*20%+J328*10%)*55%)</x:f>
      </x:c>
      <x:c r="P328" t="str">
        <x:f>IF(A328="","",(L328*35%+M328*35%+N328*20%+O328*10%)*25%)</x:f>
      </x:c>
      <x:c r="S328" t="str">
        <x:f>IF(R328="","",IF(R328="Mujer",10,IF(R328="Hombre",'11_Config'!$B$13,0)))</x:f>
      </x:c>
      <x:c r="T328" t="str">
        <x:f>IF(R328="Hombre","REVISAR REGLA OFICIAL","")</x:f>
      </x:c>
      <x:c r="V328" t="str">
        <x:f>IF(A328="","",(Q328*40%+S328*30%+U328*30%)*5%)</x:f>
      </x:c>
      <x:c r="W328" t="str">
        <x:f>IF(A328="","",F328+K328+P328+V328)</x:f>
      </x:c>
      <x:c r="X328" t="str">
        <x:f>IF(W328="","",IF(W328&gt;='11_Config'!$B$9,"Selección prioritaria",IF(W328&gt;='11_Config'!$B$10,"Elegible / reserva",IF(W328&gt;='11_Config'!$B$11,"Elegible condicionado","No recomendado"))))</x:f>
      </x:c>
    </x:row>
    <x:row r="329">
      <x:c r="F329" t="str">
        <x:f>IF(A329="","",(C329*40%+D329*30%+E329*30%)*15%)</x:f>
      </x:c>
      <x:c r="K329" t="str">
        <x:f>IF(A329="","",(G329*35%+H329*35%+I329*20%+J329*10%)*55%)</x:f>
      </x:c>
      <x:c r="P329" t="str">
        <x:f>IF(A329="","",(L329*35%+M329*35%+N329*20%+O329*10%)*25%)</x:f>
      </x:c>
      <x:c r="S329" t="str">
        <x:f>IF(R329="","",IF(R329="Mujer",10,IF(R329="Hombre",'11_Config'!$B$13,0)))</x:f>
      </x:c>
      <x:c r="T329" t="str">
        <x:f>IF(R329="Hombre","REVISAR REGLA OFICIAL","")</x:f>
      </x:c>
      <x:c r="V329" t="str">
        <x:f>IF(A329="","",(Q329*40%+S329*30%+U329*30%)*5%)</x:f>
      </x:c>
      <x:c r="W329" t="str">
        <x:f>IF(A329="","",F329+K329+P329+V329)</x:f>
      </x:c>
      <x:c r="X329" t="str">
        <x:f>IF(W329="","",IF(W329&gt;='11_Config'!$B$9,"Selección prioritaria",IF(W329&gt;='11_Config'!$B$10,"Elegible / reserva",IF(W329&gt;='11_Config'!$B$11,"Elegible condicionado","No recomendado"))))</x:f>
      </x:c>
    </x:row>
    <x:row r="330">
      <x:c r="F330" t="str">
        <x:f>IF(A330="","",(C330*40%+D330*30%+E330*30%)*15%)</x:f>
      </x:c>
      <x:c r="K330" t="str">
        <x:f>IF(A330="","",(G330*35%+H330*35%+I330*20%+J330*10%)*55%)</x:f>
      </x:c>
      <x:c r="P330" t="str">
        <x:f>IF(A330="","",(L330*35%+M330*35%+N330*20%+O330*10%)*25%)</x:f>
      </x:c>
      <x:c r="S330" t="str">
        <x:f>IF(R330="","",IF(R330="Mujer",10,IF(R330="Hombre",'11_Config'!$B$13,0)))</x:f>
      </x:c>
      <x:c r="T330" t="str">
        <x:f>IF(R330="Hombre","REVISAR REGLA OFICIAL","")</x:f>
      </x:c>
      <x:c r="V330" t="str">
        <x:f>IF(A330="","",(Q330*40%+S330*30%+U330*30%)*5%)</x:f>
      </x:c>
      <x:c r="W330" t="str">
        <x:f>IF(A330="","",F330+K330+P330+V330)</x:f>
      </x:c>
      <x:c r="X330" t="str">
        <x:f>IF(W330="","",IF(W330&gt;='11_Config'!$B$9,"Selección prioritaria",IF(W330&gt;='11_Config'!$B$10,"Elegible / reserva",IF(W330&gt;='11_Config'!$B$11,"Elegible condicionado","No recomendado"))))</x:f>
      </x:c>
    </x:row>
    <x:row r="331">
      <x:c r="F331" t="str">
        <x:f>IF(A331="","",(C331*40%+D331*30%+E331*30%)*15%)</x:f>
      </x:c>
      <x:c r="K331" t="str">
        <x:f>IF(A331="","",(G331*35%+H331*35%+I331*20%+J331*10%)*55%)</x:f>
      </x:c>
      <x:c r="P331" t="str">
        <x:f>IF(A331="","",(L331*35%+M331*35%+N331*20%+O331*10%)*25%)</x:f>
      </x:c>
      <x:c r="S331" t="str">
        <x:f>IF(R331="","",IF(R331="Mujer",10,IF(R331="Hombre",'11_Config'!$B$13,0)))</x:f>
      </x:c>
      <x:c r="T331" t="str">
        <x:f>IF(R331="Hombre","REVISAR REGLA OFICIAL","")</x:f>
      </x:c>
      <x:c r="V331" t="str">
        <x:f>IF(A331="","",(Q331*40%+S331*30%+U331*30%)*5%)</x:f>
      </x:c>
      <x:c r="W331" t="str">
        <x:f>IF(A331="","",F331+K331+P331+V331)</x:f>
      </x:c>
      <x:c r="X331" t="str">
        <x:f>IF(W331="","",IF(W331&gt;='11_Config'!$B$9,"Selección prioritaria",IF(W331&gt;='11_Config'!$B$10,"Elegible / reserva",IF(W331&gt;='11_Config'!$B$11,"Elegible condicionado","No recomendado"))))</x:f>
      </x:c>
    </x:row>
    <x:row r="332">
      <x:c r="F332" t="str">
        <x:f>IF(A332="","",(C332*40%+D332*30%+E332*30%)*15%)</x:f>
      </x:c>
      <x:c r="K332" t="str">
        <x:f>IF(A332="","",(G332*35%+H332*35%+I332*20%+J332*10%)*55%)</x:f>
      </x:c>
      <x:c r="P332" t="str">
        <x:f>IF(A332="","",(L332*35%+M332*35%+N332*20%+O332*10%)*25%)</x:f>
      </x:c>
      <x:c r="S332" t="str">
        <x:f>IF(R332="","",IF(R332="Mujer",10,IF(R332="Hombre",'11_Config'!$B$13,0)))</x:f>
      </x:c>
      <x:c r="T332" t="str">
        <x:f>IF(R332="Hombre","REVISAR REGLA OFICIAL","")</x:f>
      </x:c>
      <x:c r="V332" t="str">
        <x:f>IF(A332="","",(Q332*40%+S332*30%+U332*30%)*5%)</x:f>
      </x:c>
      <x:c r="W332" t="str">
        <x:f>IF(A332="","",F332+K332+P332+V332)</x:f>
      </x:c>
      <x:c r="X332" t="str">
        <x:f>IF(W332="","",IF(W332&gt;='11_Config'!$B$9,"Selección prioritaria",IF(W332&gt;='11_Config'!$B$10,"Elegible / reserva",IF(W332&gt;='11_Config'!$B$11,"Elegible condicionado","No recomendado"))))</x:f>
      </x:c>
    </x:row>
    <x:row r="333">
      <x:c r="F333" t="str">
        <x:f>IF(A333="","",(C333*40%+D333*30%+E333*30%)*15%)</x:f>
      </x:c>
      <x:c r="K333" t="str">
        <x:f>IF(A333="","",(G333*35%+H333*35%+I333*20%+J333*10%)*55%)</x:f>
      </x:c>
      <x:c r="P333" t="str">
        <x:f>IF(A333="","",(L333*35%+M333*35%+N333*20%+O333*10%)*25%)</x:f>
      </x:c>
      <x:c r="S333" t="str">
        <x:f>IF(R333="","",IF(R333="Mujer",10,IF(R333="Hombre",'11_Config'!$B$13,0)))</x:f>
      </x:c>
      <x:c r="T333" t="str">
        <x:f>IF(R333="Hombre","REVISAR REGLA OFICIAL","")</x:f>
      </x:c>
      <x:c r="V333" t="str">
        <x:f>IF(A333="","",(Q333*40%+S333*30%+U333*30%)*5%)</x:f>
      </x:c>
      <x:c r="W333" t="str">
        <x:f>IF(A333="","",F333+K333+P333+V333)</x:f>
      </x:c>
      <x:c r="X333" t="str">
        <x:f>IF(W333="","",IF(W333&gt;='11_Config'!$B$9,"Selección prioritaria",IF(W333&gt;='11_Config'!$B$10,"Elegible / reserva",IF(W333&gt;='11_Config'!$B$11,"Elegible condicionado","No recomendado"))))</x:f>
      </x:c>
    </x:row>
    <x:row r="334">
      <x:c r="F334" t="str">
        <x:f>IF(A334="","",(C334*40%+D334*30%+E334*30%)*15%)</x:f>
      </x:c>
      <x:c r="K334" t="str">
        <x:f>IF(A334="","",(G334*35%+H334*35%+I334*20%+J334*10%)*55%)</x:f>
      </x:c>
      <x:c r="P334" t="str">
        <x:f>IF(A334="","",(L334*35%+M334*35%+N334*20%+O334*10%)*25%)</x:f>
      </x:c>
      <x:c r="S334" t="str">
        <x:f>IF(R334="","",IF(R334="Mujer",10,IF(R334="Hombre",'11_Config'!$B$13,0)))</x:f>
      </x:c>
      <x:c r="T334" t="str">
        <x:f>IF(R334="Hombre","REVISAR REGLA OFICIAL","")</x:f>
      </x:c>
      <x:c r="V334" t="str">
        <x:f>IF(A334="","",(Q334*40%+S334*30%+U334*30%)*5%)</x:f>
      </x:c>
      <x:c r="W334" t="str">
        <x:f>IF(A334="","",F334+K334+P334+V334)</x:f>
      </x:c>
      <x:c r="X334" t="str">
        <x:f>IF(W334="","",IF(W334&gt;='11_Config'!$B$9,"Selección prioritaria",IF(W334&gt;='11_Config'!$B$10,"Elegible / reserva",IF(W334&gt;='11_Config'!$B$11,"Elegible condicionado","No recomendado"))))</x:f>
      </x:c>
    </x:row>
    <x:row r="335">
      <x:c r="F335" t="str">
        <x:f>IF(A335="","",(C335*40%+D335*30%+E335*30%)*15%)</x:f>
      </x:c>
      <x:c r="K335" t="str">
        <x:f>IF(A335="","",(G335*35%+H335*35%+I335*20%+J335*10%)*55%)</x:f>
      </x:c>
      <x:c r="P335" t="str">
        <x:f>IF(A335="","",(L335*35%+M335*35%+N335*20%+O335*10%)*25%)</x:f>
      </x:c>
      <x:c r="S335" t="str">
        <x:f>IF(R335="","",IF(R335="Mujer",10,IF(R335="Hombre",'11_Config'!$B$13,0)))</x:f>
      </x:c>
      <x:c r="T335" t="str">
        <x:f>IF(R335="Hombre","REVISAR REGLA OFICIAL","")</x:f>
      </x:c>
      <x:c r="V335" t="str">
        <x:f>IF(A335="","",(Q335*40%+S335*30%+U335*30%)*5%)</x:f>
      </x:c>
      <x:c r="W335" t="str">
        <x:f>IF(A335="","",F335+K335+P335+V335)</x:f>
      </x:c>
      <x:c r="X335" t="str">
        <x:f>IF(W335="","",IF(W335&gt;='11_Config'!$B$9,"Selección prioritaria",IF(W335&gt;='11_Config'!$B$10,"Elegible / reserva",IF(W335&gt;='11_Config'!$B$11,"Elegible condicionado","No recomendado"))))</x:f>
      </x:c>
    </x:row>
    <x:row r="336">
      <x:c r="F336" t="str">
        <x:f>IF(A336="","",(C336*40%+D336*30%+E336*30%)*15%)</x:f>
      </x:c>
      <x:c r="K336" t="str">
        <x:f>IF(A336="","",(G336*35%+H336*35%+I336*20%+J336*10%)*55%)</x:f>
      </x:c>
      <x:c r="P336" t="str">
        <x:f>IF(A336="","",(L336*35%+M336*35%+N336*20%+O336*10%)*25%)</x:f>
      </x:c>
      <x:c r="S336" t="str">
        <x:f>IF(R336="","",IF(R336="Mujer",10,IF(R336="Hombre",'11_Config'!$B$13,0)))</x:f>
      </x:c>
      <x:c r="T336" t="str">
        <x:f>IF(R336="Hombre","REVISAR REGLA OFICIAL","")</x:f>
      </x:c>
      <x:c r="V336" t="str">
        <x:f>IF(A336="","",(Q336*40%+S336*30%+U336*30%)*5%)</x:f>
      </x:c>
      <x:c r="W336" t="str">
        <x:f>IF(A336="","",F336+K336+P336+V336)</x:f>
      </x:c>
      <x:c r="X336" t="str">
        <x:f>IF(W336="","",IF(W336&gt;='11_Config'!$B$9,"Selección prioritaria",IF(W336&gt;='11_Config'!$B$10,"Elegible / reserva",IF(W336&gt;='11_Config'!$B$11,"Elegible condicionado","No recomendado"))))</x:f>
      </x:c>
    </x:row>
    <x:row r="337">
      <x:c r="F337" t="str">
        <x:f>IF(A337="","",(C337*40%+D337*30%+E337*30%)*15%)</x:f>
      </x:c>
      <x:c r="K337" t="str">
        <x:f>IF(A337="","",(G337*35%+H337*35%+I337*20%+J337*10%)*55%)</x:f>
      </x:c>
      <x:c r="P337" t="str">
        <x:f>IF(A337="","",(L337*35%+M337*35%+N337*20%+O337*10%)*25%)</x:f>
      </x:c>
      <x:c r="S337" t="str">
        <x:f>IF(R337="","",IF(R337="Mujer",10,IF(R337="Hombre",'11_Config'!$B$13,0)))</x:f>
      </x:c>
      <x:c r="T337" t="str">
        <x:f>IF(R337="Hombre","REVISAR REGLA OFICIAL","")</x:f>
      </x:c>
      <x:c r="V337" t="str">
        <x:f>IF(A337="","",(Q337*40%+S337*30%+U337*30%)*5%)</x:f>
      </x:c>
      <x:c r="W337" t="str">
        <x:f>IF(A337="","",F337+K337+P337+V337)</x:f>
      </x:c>
      <x:c r="X337" t="str">
        <x:f>IF(W337="","",IF(W337&gt;='11_Config'!$B$9,"Selección prioritaria",IF(W337&gt;='11_Config'!$B$10,"Elegible / reserva",IF(W337&gt;='11_Config'!$B$11,"Elegible condicionado","No recomendado"))))</x:f>
      </x:c>
    </x:row>
    <x:row r="338">
      <x:c r="F338" t="str">
        <x:f>IF(A338="","",(C338*40%+D338*30%+E338*30%)*15%)</x:f>
      </x:c>
      <x:c r="K338" t="str">
        <x:f>IF(A338="","",(G338*35%+H338*35%+I338*20%+J338*10%)*55%)</x:f>
      </x:c>
      <x:c r="P338" t="str">
        <x:f>IF(A338="","",(L338*35%+M338*35%+N338*20%+O338*10%)*25%)</x:f>
      </x:c>
      <x:c r="S338" t="str">
        <x:f>IF(R338="","",IF(R338="Mujer",10,IF(R338="Hombre",'11_Config'!$B$13,0)))</x:f>
      </x:c>
      <x:c r="T338" t="str">
        <x:f>IF(R338="Hombre","REVISAR REGLA OFICIAL","")</x:f>
      </x:c>
      <x:c r="V338" t="str">
        <x:f>IF(A338="","",(Q338*40%+S338*30%+U338*30%)*5%)</x:f>
      </x:c>
      <x:c r="W338" t="str">
        <x:f>IF(A338="","",F338+K338+P338+V338)</x:f>
      </x:c>
      <x:c r="X338" t="str">
        <x:f>IF(W338="","",IF(W338&gt;='11_Config'!$B$9,"Selección prioritaria",IF(W338&gt;='11_Config'!$B$10,"Elegible / reserva",IF(W338&gt;='11_Config'!$B$11,"Elegible condicionado","No recomendado"))))</x:f>
      </x:c>
    </x:row>
    <x:row r="339">
      <x:c r="F339" t="str">
        <x:f>IF(A339="","",(C339*40%+D339*30%+E339*30%)*15%)</x:f>
      </x:c>
      <x:c r="K339" t="str">
        <x:f>IF(A339="","",(G339*35%+H339*35%+I339*20%+J339*10%)*55%)</x:f>
      </x:c>
      <x:c r="P339" t="str">
        <x:f>IF(A339="","",(L339*35%+M339*35%+N339*20%+O339*10%)*25%)</x:f>
      </x:c>
      <x:c r="S339" t="str">
        <x:f>IF(R339="","",IF(R339="Mujer",10,IF(R339="Hombre",'11_Config'!$B$13,0)))</x:f>
      </x:c>
      <x:c r="T339" t="str">
        <x:f>IF(R339="Hombre","REVISAR REGLA OFICIAL","")</x:f>
      </x:c>
      <x:c r="V339" t="str">
        <x:f>IF(A339="","",(Q339*40%+S339*30%+U339*30%)*5%)</x:f>
      </x:c>
      <x:c r="W339" t="str">
        <x:f>IF(A339="","",F339+K339+P339+V339)</x:f>
      </x:c>
      <x:c r="X339" t="str">
        <x:f>IF(W339="","",IF(W339&gt;='11_Config'!$B$9,"Selección prioritaria",IF(W339&gt;='11_Config'!$B$10,"Elegible / reserva",IF(W339&gt;='11_Config'!$B$11,"Elegible condicionado","No recomendado"))))</x:f>
      </x:c>
    </x:row>
    <x:row r="340">
      <x:c r="F340" t="str">
        <x:f>IF(A340="","",(C340*40%+D340*30%+E340*30%)*15%)</x:f>
      </x:c>
      <x:c r="K340" t="str">
        <x:f>IF(A340="","",(G340*35%+H340*35%+I340*20%+J340*10%)*55%)</x:f>
      </x:c>
      <x:c r="P340" t="str">
        <x:f>IF(A340="","",(L340*35%+M340*35%+N340*20%+O340*10%)*25%)</x:f>
      </x:c>
      <x:c r="S340" t="str">
        <x:f>IF(R340="","",IF(R340="Mujer",10,IF(R340="Hombre",'11_Config'!$B$13,0)))</x:f>
      </x:c>
      <x:c r="T340" t="str">
        <x:f>IF(R340="Hombre","REVISAR REGLA OFICIAL","")</x:f>
      </x:c>
      <x:c r="V340" t="str">
        <x:f>IF(A340="","",(Q340*40%+S340*30%+U340*30%)*5%)</x:f>
      </x:c>
      <x:c r="W340" t="str">
        <x:f>IF(A340="","",F340+K340+P340+V340)</x:f>
      </x:c>
      <x:c r="X340" t="str">
        <x:f>IF(W340="","",IF(W340&gt;='11_Config'!$B$9,"Selección prioritaria",IF(W340&gt;='11_Config'!$B$10,"Elegible / reserva",IF(W340&gt;='11_Config'!$B$11,"Elegible condicionado","No recomendado"))))</x:f>
      </x:c>
    </x:row>
    <x:row r="341">
      <x:c r="F341" t="str">
        <x:f>IF(A341="","",(C341*40%+D341*30%+E341*30%)*15%)</x:f>
      </x:c>
      <x:c r="K341" t="str">
        <x:f>IF(A341="","",(G341*35%+H341*35%+I341*20%+J341*10%)*55%)</x:f>
      </x:c>
      <x:c r="P341" t="str">
        <x:f>IF(A341="","",(L341*35%+M341*35%+N341*20%+O341*10%)*25%)</x:f>
      </x:c>
      <x:c r="S341" t="str">
        <x:f>IF(R341="","",IF(R341="Mujer",10,IF(R341="Hombre",'11_Config'!$B$13,0)))</x:f>
      </x:c>
      <x:c r="T341" t="str">
        <x:f>IF(R341="Hombre","REVISAR REGLA OFICIAL","")</x:f>
      </x:c>
      <x:c r="V341" t="str">
        <x:f>IF(A341="","",(Q341*40%+S341*30%+U341*30%)*5%)</x:f>
      </x:c>
      <x:c r="W341" t="str">
        <x:f>IF(A341="","",F341+K341+P341+V341)</x:f>
      </x:c>
      <x:c r="X341" t="str">
        <x:f>IF(W341="","",IF(W341&gt;='11_Config'!$B$9,"Selección prioritaria",IF(W341&gt;='11_Config'!$B$10,"Elegible / reserva",IF(W341&gt;='11_Config'!$B$11,"Elegible condicionado","No recomendado"))))</x:f>
      </x:c>
    </x:row>
    <x:row r="342">
      <x:c r="F342" t="str">
        <x:f>IF(A342="","",(C342*40%+D342*30%+E342*30%)*15%)</x:f>
      </x:c>
      <x:c r="K342" t="str">
        <x:f>IF(A342="","",(G342*35%+H342*35%+I342*20%+J342*10%)*55%)</x:f>
      </x:c>
      <x:c r="P342" t="str">
        <x:f>IF(A342="","",(L342*35%+M342*35%+N342*20%+O342*10%)*25%)</x:f>
      </x:c>
      <x:c r="S342" t="str">
        <x:f>IF(R342="","",IF(R342="Mujer",10,IF(R342="Hombre",'11_Config'!$B$13,0)))</x:f>
      </x:c>
      <x:c r="T342" t="str">
        <x:f>IF(R342="Hombre","REVISAR REGLA OFICIAL","")</x:f>
      </x:c>
      <x:c r="V342" t="str">
        <x:f>IF(A342="","",(Q342*40%+S342*30%+U342*30%)*5%)</x:f>
      </x:c>
      <x:c r="W342" t="str">
        <x:f>IF(A342="","",F342+K342+P342+V342)</x:f>
      </x:c>
      <x:c r="X342" t="str">
        <x:f>IF(W342="","",IF(W342&gt;='11_Config'!$B$9,"Selección prioritaria",IF(W342&gt;='11_Config'!$B$10,"Elegible / reserva",IF(W342&gt;='11_Config'!$B$11,"Elegible condicionado","No recomendado"))))</x:f>
      </x:c>
    </x:row>
    <x:row r="343">
      <x:c r="F343" t="str">
        <x:f>IF(A343="","",(C343*40%+D343*30%+E343*30%)*15%)</x:f>
      </x:c>
      <x:c r="K343" t="str">
        <x:f>IF(A343="","",(G343*35%+H343*35%+I343*20%+J343*10%)*55%)</x:f>
      </x:c>
      <x:c r="P343" t="str">
        <x:f>IF(A343="","",(L343*35%+M343*35%+N343*20%+O343*10%)*25%)</x:f>
      </x:c>
      <x:c r="S343" t="str">
        <x:f>IF(R343="","",IF(R343="Mujer",10,IF(R343="Hombre",'11_Config'!$B$13,0)))</x:f>
      </x:c>
      <x:c r="T343" t="str">
        <x:f>IF(R343="Hombre","REVISAR REGLA OFICIAL","")</x:f>
      </x:c>
      <x:c r="V343" t="str">
        <x:f>IF(A343="","",(Q343*40%+S343*30%+U343*30%)*5%)</x:f>
      </x:c>
      <x:c r="W343" t="str">
        <x:f>IF(A343="","",F343+K343+P343+V343)</x:f>
      </x:c>
      <x:c r="X343" t="str">
        <x:f>IF(W343="","",IF(W343&gt;='11_Config'!$B$9,"Selección prioritaria",IF(W343&gt;='11_Config'!$B$10,"Elegible / reserva",IF(W343&gt;='11_Config'!$B$11,"Elegible condicionado","No recomendado"))))</x:f>
      </x:c>
    </x:row>
    <x:row r="344">
      <x:c r="F344" t="str">
        <x:f>IF(A344="","",(C344*40%+D344*30%+E344*30%)*15%)</x:f>
      </x:c>
      <x:c r="K344" t="str">
        <x:f>IF(A344="","",(G344*35%+H344*35%+I344*20%+J344*10%)*55%)</x:f>
      </x:c>
      <x:c r="P344" t="str">
        <x:f>IF(A344="","",(L344*35%+M344*35%+N344*20%+O344*10%)*25%)</x:f>
      </x:c>
      <x:c r="S344" t="str">
        <x:f>IF(R344="","",IF(R344="Mujer",10,IF(R344="Hombre",'11_Config'!$B$13,0)))</x:f>
      </x:c>
      <x:c r="T344" t="str">
        <x:f>IF(R344="Hombre","REVISAR REGLA OFICIAL","")</x:f>
      </x:c>
      <x:c r="V344" t="str">
        <x:f>IF(A344="","",(Q344*40%+S344*30%+U344*30%)*5%)</x:f>
      </x:c>
      <x:c r="W344" t="str">
        <x:f>IF(A344="","",F344+K344+P344+V344)</x:f>
      </x:c>
      <x:c r="X344" t="str">
        <x:f>IF(W344="","",IF(W344&gt;='11_Config'!$B$9,"Selección prioritaria",IF(W344&gt;='11_Config'!$B$10,"Elegible / reserva",IF(W344&gt;='11_Config'!$B$11,"Elegible condicionado","No recomendado"))))</x:f>
      </x:c>
    </x:row>
    <x:row r="345">
      <x:c r="F345" t="str">
        <x:f>IF(A345="","",(C345*40%+D345*30%+E345*30%)*15%)</x:f>
      </x:c>
      <x:c r="K345" t="str">
        <x:f>IF(A345="","",(G345*35%+H345*35%+I345*20%+J345*10%)*55%)</x:f>
      </x:c>
      <x:c r="P345" t="str">
        <x:f>IF(A345="","",(L345*35%+M345*35%+N345*20%+O345*10%)*25%)</x:f>
      </x:c>
      <x:c r="S345" t="str">
        <x:f>IF(R345="","",IF(R345="Mujer",10,IF(R345="Hombre",'11_Config'!$B$13,0)))</x:f>
      </x:c>
      <x:c r="T345" t="str">
        <x:f>IF(R345="Hombre","REVISAR REGLA OFICIAL","")</x:f>
      </x:c>
      <x:c r="V345" t="str">
        <x:f>IF(A345="","",(Q345*40%+S345*30%+U345*30%)*5%)</x:f>
      </x:c>
      <x:c r="W345" t="str">
        <x:f>IF(A345="","",F345+K345+P345+V345)</x:f>
      </x:c>
      <x:c r="X345" t="str">
        <x:f>IF(W345="","",IF(W345&gt;='11_Config'!$B$9,"Selección prioritaria",IF(W345&gt;='11_Config'!$B$10,"Elegible / reserva",IF(W345&gt;='11_Config'!$B$11,"Elegible condicionado","No recomendado"))))</x:f>
      </x:c>
    </x:row>
    <x:row r="346">
      <x:c r="F346" t="str">
        <x:f>IF(A346="","",(C346*40%+D346*30%+E346*30%)*15%)</x:f>
      </x:c>
      <x:c r="K346" t="str">
        <x:f>IF(A346="","",(G346*35%+H346*35%+I346*20%+J346*10%)*55%)</x:f>
      </x:c>
      <x:c r="P346" t="str">
        <x:f>IF(A346="","",(L346*35%+M346*35%+N346*20%+O346*10%)*25%)</x:f>
      </x:c>
      <x:c r="S346" t="str">
        <x:f>IF(R346="","",IF(R346="Mujer",10,IF(R346="Hombre",'11_Config'!$B$13,0)))</x:f>
      </x:c>
      <x:c r="T346" t="str">
        <x:f>IF(R346="Hombre","REVISAR REGLA OFICIAL","")</x:f>
      </x:c>
      <x:c r="V346" t="str">
        <x:f>IF(A346="","",(Q346*40%+S346*30%+U346*30%)*5%)</x:f>
      </x:c>
      <x:c r="W346" t="str">
        <x:f>IF(A346="","",F346+K346+P346+V346)</x:f>
      </x:c>
      <x:c r="X346" t="str">
        <x:f>IF(W346="","",IF(W346&gt;='11_Config'!$B$9,"Selección prioritaria",IF(W346&gt;='11_Config'!$B$10,"Elegible / reserva",IF(W346&gt;='11_Config'!$B$11,"Elegible condicionado","No recomendado"))))</x:f>
      </x:c>
    </x:row>
    <x:row r="347">
      <x:c r="F347" t="str">
        <x:f>IF(A347="","",(C347*40%+D347*30%+E347*30%)*15%)</x:f>
      </x:c>
      <x:c r="K347" t="str">
        <x:f>IF(A347="","",(G347*35%+H347*35%+I347*20%+J347*10%)*55%)</x:f>
      </x:c>
      <x:c r="P347" t="str">
        <x:f>IF(A347="","",(L347*35%+M347*35%+N347*20%+O347*10%)*25%)</x:f>
      </x:c>
      <x:c r="S347" t="str">
        <x:f>IF(R347="","",IF(R347="Mujer",10,IF(R347="Hombre",'11_Config'!$B$13,0)))</x:f>
      </x:c>
      <x:c r="T347" t="str">
        <x:f>IF(R347="Hombre","REVISAR REGLA OFICIAL","")</x:f>
      </x:c>
      <x:c r="V347" t="str">
        <x:f>IF(A347="","",(Q347*40%+S347*30%+U347*30%)*5%)</x:f>
      </x:c>
      <x:c r="W347" t="str">
        <x:f>IF(A347="","",F347+K347+P347+V347)</x:f>
      </x:c>
      <x:c r="X347" t="str">
        <x:f>IF(W347="","",IF(W347&gt;='11_Config'!$B$9,"Selección prioritaria",IF(W347&gt;='11_Config'!$B$10,"Elegible / reserva",IF(W347&gt;='11_Config'!$B$11,"Elegible condicionado","No recomendado"))))</x:f>
      </x:c>
    </x:row>
    <x:row r="348">
      <x:c r="F348" t="str">
        <x:f>IF(A348="","",(C348*40%+D348*30%+E348*30%)*15%)</x:f>
      </x:c>
      <x:c r="K348" t="str">
        <x:f>IF(A348="","",(G348*35%+H348*35%+I348*20%+J348*10%)*55%)</x:f>
      </x:c>
      <x:c r="P348" t="str">
        <x:f>IF(A348="","",(L348*35%+M348*35%+N348*20%+O348*10%)*25%)</x:f>
      </x:c>
      <x:c r="S348" t="str">
        <x:f>IF(R348="","",IF(R348="Mujer",10,IF(R348="Hombre",'11_Config'!$B$13,0)))</x:f>
      </x:c>
      <x:c r="T348" t="str">
        <x:f>IF(R348="Hombre","REVISAR REGLA OFICIAL","")</x:f>
      </x:c>
      <x:c r="V348" t="str">
        <x:f>IF(A348="","",(Q348*40%+S348*30%+U348*30%)*5%)</x:f>
      </x:c>
      <x:c r="W348" t="str">
        <x:f>IF(A348="","",F348+K348+P348+V348)</x:f>
      </x:c>
      <x:c r="X348" t="str">
        <x:f>IF(W348="","",IF(W348&gt;='11_Config'!$B$9,"Selección prioritaria",IF(W348&gt;='11_Config'!$B$10,"Elegible / reserva",IF(W348&gt;='11_Config'!$B$11,"Elegible condicionado","No recomendado"))))</x:f>
      </x:c>
    </x:row>
    <x:row r="349">
      <x:c r="F349" t="str">
        <x:f>IF(A349="","",(C349*40%+D349*30%+E349*30%)*15%)</x:f>
      </x:c>
      <x:c r="K349" t="str">
        <x:f>IF(A349="","",(G349*35%+H349*35%+I349*20%+J349*10%)*55%)</x:f>
      </x:c>
      <x:c r="P349" t="str">
        <x:f>IF(A349="","",(L349*35%+M349*35%+N349*20%+O349*10%)*25%)</x:f>
      </x:c>
      <x:c r="S349" t="str">
        <x:f>IF(R349="","",IF(R349="Mujer",10,IF(R349="Hombre",'11_Config'!$B$13,0)))</x:f>
      </x:c>
      <x:c r="T349" t="str">
        <x:f>IF(R349="Hombre","REVISAR REGLA OFICIAL","")</x:f>
      </x:c>
      <x:c r="V349" t="str">
        <x:f>IF(A349="","",(Q349*40%+S349*30%+U349*30%)*5%)</x:f>
      </x:c>
      <x:c r="W349" t="str">
        <x:f>IF(A349="","",F349+K349+P349+V349)</x:f>
      </x:c>
      <x:c r="X349" t="str">
        <x:f>IF(W349="","",IF(W349&gt;='11_Config'!$B$9,"Selección prioritaria",IF(W349&gt;='11_Config'!$B$10,"Elegible / reserva",IF(W349&gt;='11_Config'!$B$11,"Elegible condicionado","No recomendado"))))</x:f>
      </x:c>
    </x:row>
    <x:row r="350">
      <x:c r="F350" t="str">
        <x:f>IF(A350="","",(C350*40%+D350*30%+E350*30%)*15%)</x:f>
      </x:c>
      <x:c r="K350" t="str">
        <x:f>IF(A350="","",(G350*35%+H350*35%+I350*20%+J350*10%)*55%)</x:f>
      </x:c>
      <x:c r="P350" t="str">
        <x:f>IF(A350="","",(L350*35%+M350*35%+N350*20%+O350*10%)*25%)</x:f>
      </x:c>
      <x:c r="S350" t="str">
        <x:f>IF(R350="","",IF(R350="Mujer",10,IF(R350="Hombre",'11_Config'!$B$13,0)))</x:f>
      </x:c>
      <x:c r="T350" t="str">
        <x:f>IF(R350="Hombre","REVISAR REGLA OFICIAL","")</x:f>
      </x:c>
      <x:c r="V350" t="str">
        <x:f>IF(A350="","",(Q350*40%+S350*30%+U350*30%)*5%)</x:f>
      </x:c>
      <x:c r="W350" t="str">
        <x:f>IF(A350="","",F350+K350+P350+V350)</x:f>
      </x:c>
      <x:c r="X350" t="str">
        <x:f>IF(W350="","",IF(W350&gt;='11_Config'!$B$9,"Selección prioritaria",IF(W350&gt;='11_Config'!$B$10,"Elegible / reserva",IF(W350&gt;='11_Config'!$B$11,"Elegible condicionado","No recomendado"))))</x:f>
      </x:c>
    </x:row>
    <x:row r="351">
      <x:c r="F351" t="str">
        <x:f>IF(A351="","",(C351*40%+D351*30%+E351*30%)*15%)</x:f>
      </x:c>
      <x:c r="K351" t="str">
        <x:f>IF(A351="","",(G351*35%+H351*35%+I351*20%+J351*10%)*55%)</x:f>
      </x:c>
      <x:c r="P351" t="str">
        <x:f>IF(A351="","",(L351*35%+M351*35%+N351*20%+O351*10%)*25%)</x:f>
      </x:c>
      <x:c r="S351" t="str">
        <x:f>IF(R351="","",IF(R351="Mujer",10,IF(R351="Hombre",'11_Config'!$B$13,0)))</x:f>
      </x:c>
      <x:c r="T351" t="str">
        <x:f>IF(R351="Hombre","REVISAR REGLA OFICIAL","")</x:f>
      </x:c>
      <x:c r="V351" t="str">
        <x:f>IF(A351="","",(Q351*40%+S351*30%+U351*30%)*5%)</x:f>
      </x:c>
      <x:c r="W351" t="str">
        <x:f>IF(A351="","",F351+K351+P351+V351)</x:f>
      </x:c>
      <x:c r="X351" t="str">
        <x:f>IF(W351="","",IF(W351&gt;='11_Config'!$B$9,"Selección prioritaria",IF(W351&gt;='11_Config'!$B$10,"Elegible / reserva",IF(W351&gt;='11_Config'!$B$11,"Elegible condicionado","No recomendado"))))</x:f>
      </x:c>
    </x:row>
    <x:row r="352">
      <x:c r="F352" t="str">
        <x:f>IF(A352="","",(C352*40%+D352*30%+E352*30%)*15%)</x:f>
      </x:c>
      <x:c r="K352" t="str">
        <x:f>IF(A352="","",(G352*35%+H352*35%+I352*20%+J352*10%)*55%)</x:f>
      </x:c>
      <x:c r="P352" t="str">
        <x:f>IF(A352="","",(L352*35%+M352*35%+N352*20%+O352*10%)*25%)</x:f>
      </x:c>
      <x:c r="S352" t="str">
        <x:f>IF(R352="","",IF(R352="Mujer",10,IF(R352="Hombre",'11_Config'!$B$13,0)))</x:f>
      </x:c>
      <x:c r="T352" t="str">
        <x:f>IF(R352="Hombre","REVISAR REGLA OFICIAL","")</x:f>
      </x:c>
      <x:c r="V352" t="str">
        <x:f>IF(A352="","",(Q352*40%+S352*30%+U352*30%)*5%)</x:f>
      </x:c>
      <x:c r="W352" t="str">
        <x:f>IF(A352="","",F352+K352+P352+V352)</x:f>
      </x:c>
      <x:c r="X352" t="str">
        <x:f>IF(W352="","",IF(W352&gt;='11_Config'!$B$9,"Selección prioritaria",IF(W352&gt;='11_Config'!$B$10,"Elegible / reserva",IF(W352&gt;='11_Config'!$B$11,"Elegible condicionado","No recomendado"))))</x:f>
      </x:c>
    </x:row>
    <x:row r="353">
      <x:c r="F353" t="str">
        <x:f>IF(A353="","",(C353*40%+D353*30%+E353*30%)*15%)</x:f>
      </x:c>
      <x:c r="K353" t="str">
        <x:f>IF(A353="","",(G353*35%+H353*35%+I353*20%+J353*10%)*55%)</x:f>
      </x:c>
      <x:c r="P353" t="str">
        <x:f>IF(A353="","",(L353*35%+M353*35%+N353*20%+O353*10%)*25%)</x:f>
      </x:c>
      <x:c r="S353" t="str">
        <x:f>IF(R353="","",IF(R353="Mujer",10,IF(R353="Hombre",'11_Config'!$B$13,0)))</x:f>
      </x:c>
      <x:c r="T353" t="str">
        <x:f>IF(R353="Hombre","REVISAR REGLA OFICIAL","")</x:f>
      </x:c>
      <x:c r="V353" t="str">
        <x:f>IF(A353="","",(Q353*40%+S353*30%+U353*30%)*5%)</x:f>
      </x:c>
      <x:c r="W353" t="str">
        <x:f>IF(A353="","",F353+K353+P353+V353)</x:f>
      </x:c>
      <x:c r="X353" t="str">
        <x:f>IF(W353="","",IF(W353&gt;='11_Config'!$B$9,"Selección prioritaria",IF(W353&gt;='11_Config'!$B$10,"Elegible / reserva",IF(W353&gt;='11_Config'!$B$11,"Elegible condicionado","No recomendado"))))</x:f>
      </x:c>
    </x:row>
    <x:row r="354">
      <x:c r="F354" t="str">
        <x:f>IF(A354="","",(C354*40%+D354*30%+E354*30%)*15%)</x:f>
      </x:c>
      <x:c r="K354" t="str">
        <x:f>IF(A354="","",(G354*35%+H354*35%+I354*20%+J354*10%)*55%)</x:f>
      </x:c>
      <x:c r="P354" t="str">
        <x:f>IF(A354="","",(L354*35%+M354*35%+N354*20%+O354*10%)*25%)</x:f>
      </x:c>
      <x:c r="S354" t="str">
        <x:f>IF(R354="","",IF(R354="Mujer",10,IF(R354="Hombre",'11_Config'!$B$13,0)))</x:f>
      </x:c>
      <x:c r="T354" t="str">
        <x:f>IF(R354="Hombre","REVISAR REGLA OFICIAL","")</x:f>
      </x:c>
      <x:c r="V354" t="str">
        <x:f>IF(A354="","",(Q354*40%+S354*30%+U354*30%)*5%)</x:f>
      </x:c>
      <x:c r="W354" t="str">
        <x:f>IF(A354="","",F354+K354+P354+V354)</x:f>
      </x:c>
      <x:c r="X354" t="str">
        <x:f>IF(W354="","",IF(W354&gt;='11_Config'!$B$9,"Selección prioritaria",IF(W354&gt;='11_Config'!$B$10,"Elegible / reserva",IF(W354&gt;='11_Config'!$B$11,"Elegible condicionado","No recomendado"))))</x:f>
      </x:c>
    </x:row>
    <x:row r="355">
      <x:c r="F355" t="str">
        <x:f>IF(A355="","",(C355*40%+D355*30%+E355*30%)*15%)</x:f>
      </x:c>
      <x:c r="K355" t="str">
        <x:f>IF(A355="","",(G355*35%+H355*35%+I355*20%+J355*10%)*55%)</x:f>
      </x:c>
      <x:c r="P355" t="str">
        <x:f>IF(A355="","",(L355*35%+M355*35%+N355*20%+O355*10%)*25%)</x:f>
      </x:c>
      <x:c r="S355" t="str">
        <x:f>IF(R355="","",IF(R355="Mujer",10,IF(R355="Hombre",'11_Config'!$B$13,0)))</x:f>
      </x:c>
      <x:c r="T355" t="str">
        <x:f>IF(R355="Hombre","REVISAR REGLA OFICIAL","")</x:f>
      </x:c>
      <x:c r="V355" t="str">
        <x:f>IF(A355="","",(Q355*40%+S355*30%+U355*30%)*5%)</x:f>
      </x:c>
      <x:c r="W355" t="str">
        <x:f>IF(A355="","",F355+K355+P355+V355)</x:f>
      </x:c>
      <x:c r="X355" t="str">
        <x:f>IF(W355="","",IF(W355&gt;='11_Config'!$B$9,"Selección prioritaria",IF(W355&gt;='11_Config'!$B$10,"Elegible / reserva",IF(W355&gt;='11_Config'!$B$11,"Elegible condicionado","No recomendado"))))</x:f>
      </x:c>
    </x:row>
    <x:row r="356">
      <x:c r="F356" t="str">
        <x:f>IF(A356="","",(C356*40%+D356*30%+E356*30%)*15%)</x:f>
      </x:c>
      <x:c r="K356" t="str">
        <x:f>IF(A356="","",(G356*35%+H356*35%+I356*20%+J356*10%)*55%)</x:f>
      </x:c>
      <x:c r="P356" t="str">
        <x:f>IF(A356="","",(L356*35%+M356*35%+N356*20%+O356*10%)*25%)</x:f>
      </x:c>
      <x:c r="S356" t="str">
        <x:f>IF(R356="","",IF(R356="Mujer",10,IF(R356="Hombre",'11_Config'!$B$13,0)))</x:f>
      </x:c>
      <x:c r="T356" t="str">
        <x:f>IF(R356="Hombre","REVISAR REGLA OFICIAL","")</x:f>
      </x:c>
      <x:c r="V356" t="str">
        <x:f>IF(A356="","",(Q356*40%+S356*30%+U356*30%)*5%)</x:f>
      </x:c>
      <x:c r="W356" t="str">
        <x:f>IF(A356="","",F356+K356+P356+V356)</x:f>
      </x:c>
      <x:c r="X356" t="str">
        <x:f>IF(W356="","",IF(W356&gt;='11_Config'!$B$9,"Selección prioritaria",IF(W356&gt;='11_Config'!$B$10,"Elegible / reserva",IF(W356&gt;='11_Config'!$B$11,"Elegible condicionado","No recomendado"))))</x:f>
      </x:c>
    </x:row>
    <x:row r="357">
      <x:c r="F357" t="str">
        <x:f>IF(A357="","",(C357*40%+D357*30%+E357*30%)*15%)</x:f>
      </x:c>
      <x:c r="K357" t="str">
        <x:f>IF(A357="","",(G357*35%+H357*35%+I357*20%+J357*10%)*55%)</x:f>
      </x:c>
      <x:c r="P357" t="str">
        <x:f>IF(A357="","",(L357*35%+M357*35%+N357*20%+O357*10%)*25%)</x:f>
      </x:c>
      <x:c r="S357" t="str">
        <x:f>IF(R357="","",IF(R357="Mujer",10,IF(R357="Hombre",'11_Config'!$B$13,0)))</x:f>
      </x:c>
      <x:c r="T357" t="str">
        <x:f>IF(R357="Hombre","REVISAR REGLA OFICIAL","")</x:f>
      </x:c>
      <x:c r="V357" t="str">
        <x:f>IF(A357="","",(Q357*40%+S357*30%+U357*30%)*5%)</x:f>
      </x:c>
      <x:c r="W357" t="str">
        <x:f>IF(A357="","",F357+K357+P357+V357)</x:f>
      </x:c>
      <x:c r="X357" t="str">
        <x:f>IF(W357="","",IF(W357&gt;='11_Config'!$B$9,"Selección prioritaria",IF(W357&gt;='11_Config'!$B$10,"Elegible / reserva",IF(W357&gt;='11_Config'!$B$11,"Elegible condicionado","No recomendado"))))</x:f>
      </x:c>
    </x:row>
    <x:row r="358">
      <x:c r="F358" t="str">
        <x:f>IF(A358="","",(C358*40%+D358*30%+E358*30%)*15%)</x:f>
      </x:c>
      <x:c r="K358" t="str">
        <x:f>IF(A358="","",(G358*35%+H358*35%+I358*20%+J358*10%)*55%)</x:f>
      </x:c>
      <x:c r="P358" t="str">
        <x:f>IF(A358="","",(L358*35%+M358*35%+N358*20%+O358*10%)*25%)</x:f>
      </x:c>
      <x:c r="S358" t="str">
        <x:f>IF(R358="","",IF(R358="Mujer",10,IF(R358="Hombre",'11_Config'!$B$13,0)))</x:f>
      </x:c>
      <x:c r="T358" t="str">
        <x:f>IF(R358="Hombre","REVISAR REGLA OFICIAL","")</x:f>
      </x:c>
      <x:c r="V358" t="str">
        <x:f>IF(A358="","",(Q358*40%+S358*30%+U358*30%)*5%)</x:f>
      </x:c>
      <x:c r="W358" t="str">
        <x:f>IF(A358="","",F358+K358+P358+V358)</x:f>
      </x:c>
      <x:c r="X358" t="str">
        <x:f>IF(W358="","",IF(W358&gt;='11_Config'!$B$9,"Selección prioritaria",IF(W358&gt;='11_Config'!$B$10,"Elegible / reserva",IF(W358&gt;='11_Config'!$B$11,"Elegible condicionado","No recomendado"))))</x:f>
      </x:c>
    </x:row>
    <x:row r="359">
      <x:c r="F359" t="str">
        <x:f>IF(A359="","",(C359*40%+D359*30%+E359*30%)*15%)</x:f>
      </x:c>
      <x:c r="K359" t="str">
        <x:f>IF(A359="","",(G359*35%+H359*35%+I359*20%+J359*10%)*55%)</x:f>
      </x:c>
      <x:c r="P359" t="str">
        <x:f>IF(A359="","",(L359*35%+M359*35%+N359*20%+O359*10%)*25%)</x:f>
      </x:c>
      <x:c r="S359" t="str">
        <x:f>IF(R359="","",IF(R359="Mujer",10,IF(R359="Hombre",'11_Config'!$B$13,0)))</x:f>
      </x:c>
      <x:c r="T359" t="str">
        <x:f>IF(R359="Hombre","REVISAR REGLA OFICIAL","")</x:f>
      </x:c>
      <x:c r="V359" t="str">
        <x:f>IF(A359="","",(Q359*40%+S359*30%+U359*30%)*5%)</x:f>
      </x:c>
      <x:c r="W359" t="str">
        <x:f>IF(A359="","",F359+K359+P359+V359)</x:f>
      </x:c>
      <x:c r="X359" t="str">
        <x:f>IF(W359="","",IF(W359&gt;='11_Config'!$B$9,"Selección prioritaria",IF(W359&gt;='11_Config'!$B$10,"Elegible / reserva",IF(W359&gt;='11_Config'!$B$11,"Elegible condicionado","No recomendado"))))</x:f>
      </x:c>
    </x:row>
    <x:row r="360">
      <x:c r="F360" t="str">
        <x:f>IF(A360="","",(C360*40%+D360*30%+E360*30%)*15%)</x:f>
      </x:c>
      <x:c r="K360" t="str">
        <x:f>IF(A360="","",(G360*35%+H360*35%+I360*20%+J360*10%)*55%)</x:f>
      </x:c>
      <x:c r="P360" t="str">
        <x:f>IF(A360="","",(L360*35%+M360*35%+N360*20%+O360*10%)*25%)</x:f>
      </x:c>
      <x:c r="S360" t="str">
        <x:f>IF(R360="","",IF(R360="Mujer",10,IF(R360="Hombre",'11_Config'!$B$13,0)))</x:f>
      </x:c>
      <x:c r="T360" t="str">
        <x:f>IF(R360="Hombre","REVISAR REGLA OFICIAL","")</x:f>
      </x:c>
      <x:c r="V360" t="str">
        <x:f>IF(A360="","",(Q360*40%+S360*30%+U360*30%)*5%)</x:f>
      </x:c>
      <x:c r="W360" t="str">
        <x:f>IF(A360="","",F360+K360+P360+V360)</x:f>
      </x:c>
      <x:c r="X360" t="str">
        <x:f>IF(W360="","",IF(W360&gt;='11_Config'!$B$9,"Selección prioritaria",IF(W360&gt;='11_Config'!$B$10,"Elegible / reserva",IF(W360&gt;='11_Config'!$B$11,"Elegible condicionado","No recomendado"))))</x:f>
      </x:c>
    </x:row>
    <x:row r="361">
      <x:c r="F361" t="str">
        <x:f>IF(A361="","",(C361*40%+D361*30%+E361*30%)*15%)</x:f>
      </x:c>
      <x:c r="K361" t="str">
        <x:f>IF(A361="","",(G361*35%+H361*35%+I361*20%+J361*10%)*55%)</x:f>
      </x:c>
      <x:c r="P361" t="str">
        <x:f>IF(A361="","",(L361*35%+M361*35%+N361*20%+O361*10%)*25%)</x:f>
      </x:c>
      <x:c r="S361" t="str">
        <x:f>IF(R361="","",IF(R361="Mujer",10,IF(R361="Hombre",'11_Config'!$B$13,0)))</x:f>
      </x:c>
      <x:c r="T361" t="str">
        <x:f>IF(R361="Hombre","REVISAR REGLA OFICIAL","")</x:f>
      </x:c>
      <x:c r="V361" t="str">
        <x:f>IF(A361="","",(Q361*40%+S361*30%+U361*30%)*5%)</x:f>
      </x:c>
      <x:c r="W361" t="str">
        <x:f>IF(A361="","",F361+K361+P361+V361)</x:f>
      </x:c>
      <x:c r="X361" t="str">
        <x:f>IF(W361="","",IF(W361&gt;='11_Config'!$B$9,"Selección prioritaria",IF(W361&gt;='11_Config'!$B$10,"Elegible / reserva",IF(W361&gt;='11_Config'!$B$11,"Elegible condicionado","No recomendado"))))</x:f>
      </x:c>
    </x:row>
    <x:row r="362">
      <x:c r="F362" t="str">
        <x:f>IF(A362="","",(C362*40%+D362*30%+E362*30%)*15%)</x:f>
      </x:c>
      <x:c r="K362" t="str">
        <x:f>IF(A362="","",(G362*35%+H362*35%+I362*20%+J362*10%)*55%)</x:f>
      </x:c>
      <x:c r="P362" t="str">
        <x:f>IF(A362="","",(L362*35%+M362*35%+N362*20%+O362*10%)*25%)</x:f>
      </x:c>
      <x:c r="S362" t="str">
        <x:f>IF(R362="","",IF(R362="Mujer",10,IF(R362="Hombre",'11_Config'!$B$13,0)))</x:f>
      </x:c>
      <x:c r="T362" t="str">
        <x:f>IF(R362="Hombre","REVISAR REGLA OFICIAL","")</x:f>
      </x:c>
      <x:c r="V362" t="str">
        <x:f>IF(A362="","",(Q362*40%+S362*30%+U362*30%)*5%)</x:f>
      </x:c>
      <x:c r="W362" t="str">
        <x:f>IF(A362="","",F362+K362+P362+V362)</x:f>
      </x:c>
      <x:c r="X362" t="str">
        <x:f>IF(W362="","",IF(W362&gt;='11_Config'!$B$9,"Selección prioritaria",IF(W362&gt;='11_Config'!$B$10,"Elegible / reserva",IF(W362&gt;='11_Config'!$B$11,"Elegible condicionado","No recomendado"))))</x:f>
      </x:c>
    </x:row>
    <x:row r="363">
      <x:c r="F363" t="str">
        <x:f>IF(A363="","",(C363*40%+D363*30%+E363*30%)*15%)</x:f>
      </x:c>
      <x:c r="K363" t="str">
        <x:f>IF(A363="","",(G363*35%+H363*35%+I363*20%+J363*10%)*55%)</x:f>
      </x:c>
      <x:c r="P363" t="str">
        <x:f>IF(A363="","",(L363*35%+M363*35%+N363*20%+O363*10%)*25%)</x:f>
      </x:c>
      <x:c r="S363" t="str">
        <x:f>IF(R363="","",IF(R363="Mujer",10,IF(R363="Hombre",'11_Config'!$B$13,0)))</x:f>
      </x:c>
      <x:c r="T363" t="str">
        <x:f>IF(R363="Hombre","REVISAR REGLA OFICIAL","")</x:f>
      </x:c>
      <x:c r="V363" t="str">
        <x:f>IF(A363="","",(Q363*40%+S363*30%+U363*30%)*5%)</x:f>
      </x:c>
      <x:c r="W363" t="str">
        <x:f>IF(A363="","",F363+K363+P363+V363)</x:f>
      </x:c>
      <x:c r="X363" t="str">
        <x:f>IF(W363="","",IF(W363&gt;='11_Config'!$B$9,"Selección prioritaria",IF(W363&gt;='11_Config'!$B$10,"Elegible / reserva",IF(W363&gt;='11_Config'!$B$11,"Elegible condicionado","No recomendado"))))</x:f>
      </x:c>
    </x:row>
    <x:row r="364">
      <x:c r="F364" t="str">
        <x:f>IF(A364="","",(C364*40%+D364*30%+E364*30%)*15%)</x:f>
      </x:c>
      <x:c r="K364" t="str">
        <x:f>IF(A364="","",(G364*35%+H364*35%+I364*20%+J364*10%)*55%)</x:f>
      </x:c>
      <x:c r="P364" t="str">
        <x:f>IF(A364="","",(L364*35%+M364*35%+N364*20%+O364*10%)*25%)</x:f>
      </x:c>
      <x:c r="S364" t="str">
        <x:f>IF(R364="","",IF(R364="Mujer",10,IF(R364="Hombre",'11_Config'!$B$13,0)))</x:f>
      </x:c>
      <x:c r="T364" t="str">
        <x:f>IF(R364="Hombre","REVISAR REGLA OFICIAL","")</x:f>
      </x:c>
      <x:c r="V364" t="str">
        <x:f>IF(A364="","",(Q364*40%+S364*30%+U364*30%)*5%)</x:f>
      </x:c>
      <x:c r="W364" t="str">
        <x:f>IF(A364="","",F364+K364+P364+V364)</x:f>
      </x:c>
      <x:c r="X364" t="str">
        <x:f>IF(W364="","",IF(W364&gt;='11_Config'!$B$9,"Selección prioritaria",IF(W364&gt;='11_Config'!$B$10,"Elegible / reserva",IF(W364&gt;='11_Config'!$B$11,"Elegible condicionado","No recomendado"))))</x:f>
      </x:c>
    </x:row>
    <x:row r="365">
      <x:c r="F365" t="str">
        <x:f>IF(A365="","",(C365*40%+D365*30%+E365*30%)*15%)</x:f>
      </x:c>
      <x:c r="K365" t="str">
        <x:f>IF(A365="","",(G365*35%+H365*35%+I365*20%+J365*10%)*55%)</x:f>
      </x:c>
      <x:c r="P365" t="str">
        <x:f>IF(A365="","",(L365*35%+M365*35%+N365*20%+O365*10%)*25%)</x:f>
      </x:c>
      <x:c r="S365" t="str">
        <x:f>IF(R365="","",IF(R365="Mujer",10,IF(R365="Hombre",'11_Config'!$B$13,0)))</x:f>
      </x:c>
      <x:c r="T365" t="str">
        <x:f>IF(R365="Hombre","REVISAR REGLA OFICIAL","")</x:f>
      </x:c>
      <x:c r="V365" t="str">
        <x:f>IF(A365="","",(Q365*40%+S365*30%+U365*30%)*5%)</x:f>
      </x:c>
      <x:c r="W365" t="str">
        <x:f>IF(A365="","",F365+K365+P365+V365)</x:f>
      </x:c>
      <x:c r="X365" t="str">
        <x:f>IF(W365="","",IF(W365&gt;='11_Config'!$B$9,"Selección prioritaria",IF(W365&gt;='11_Config'!$B$10,"Elegible / reserva",IF(W365&gt;='11_Config'!$B$11,"Elegible condicionado","No recomendado"))))</x:f>
      </x:c>
    </x:row>
    <x:row r="366">
      <x:c r="F366" t="str">
        <x:f>IF(A366="","",(C366*40%+D366*30%+E366*30%)*15%)</x:f>
      </x:c>
      <x:c r="K366" t="str">
        <x:f>IF(A366="","",(G366*35%+H366*35%+I366*20%+J366*10%)*55%)</x:f>
      </x:c>
      <x:c r="P366" t="str">
        <x:f>IF(A366="","",(L366*35%+M366*35%+N366*20%+O366*10%)*25%)</x:f>
      </x:c>
      <x:c r="S366" t="str">
        <x:f>IF(R366="","",IF(R366="Mujer",10,IF(R366="Hombre",'11_Config'!$B$13,0)))</x:f>
      </x:c>
      <x:c r="T366" t="str">
        <x:f>IF(R366="Hombre","REVISAR REGLA OFICIAL","")</x:f>
      </x:c>
      <x:c r="V366" t="str">
        <x:f>IF(A366="","",(Q366*40%+S366*30%+U366*30%)*5%)</x:f>
      </x:c>
      <x:c r="W366" t="str">
        <x:f>IF(A366="","",F366+K366+P366+V366)</x:f>
      </x:c>
      <x:c r="X366" t="str">
        <x:f>IF(W366="","",IF(W366&gt;='11_Config'!$B$9,"Selección prioritaria",IF(W366&gt;='11_Config'!$B$10,"Elegible / reserva",IF(W366&gt;='11_Config'!$B$11,"Elegible condicionado","No recomendado"))))</x:f>
      </x:c>
    </x:row>
    <x:row r="367">
      <x:c r="F367" t="str">
        <x:f>IF(A367="","",(C367*40%+D367*30%+E367*30%)*15%)</x:f>
      </x:c>
      <x:c r="K367" t="str">
        <x:f>IF(A367="","",(G367*35%+H367*35%+I367*20%+J367*10%)*55%)</x:f>
      </x:c>
      <x:c r="P367" t="str">
        <x:f>IF(A367="","",(L367*35%+M367*35%+N367*20%+O367*10%)*25%)</x:f>
      </x:c>
      <x:c r="S367" t="str">
        <x:f>IF(R367="","",IF(R367="Mujer",10,IF(R367="Hombre",'11_Config'!$B$13,0)))</x:f>
      </x:c>
      <x:c r="T367" t="str">
        <x:f>IF(R367="Hombre","REVISAR REGLA OFICIAL","")</x:f>
      </x:c>
      <x:c r="V367" t="str">
        <x:f>IF(A367="","",(Q367*40%+S367*30%+U367*30%)*5%)</x:f>
      </x:c>
      <x:c r="W367" t="str">
        <x:f>IF(A367="","",F367+K367+P367+V367)</x:f>
      </x:c>
      <x:c r="X367" t="str">
        <x:f>IF(W367="","",IF(W367&gt;='11_Config'!$B$9,"Selección prioritaria",IF(W367&gt;='11_Config'!$B$10,"Elegible / reserva",IF(W367&gt;='11_Config'!$B$11,"Elegible condicionado","No recomendado"))))</x:f>
      </x:c>
    </x:row>
    <x:row r="368">
      <x:c r="F368" t="str">
        <x:f>IF(A368="","",(C368*40%+D368*30%+E368*30%)*15%)</x:f>
      </x:c>
      <x:c r="K368" t="str">
        <x:f>IF(A368="","",(G368*35%+H368*35%+I368*20%+J368*10%)*55%)</x:f>
      </x:c>
      <x:c r="P368" t="str">
        <x:f>IF(A368="","",(L368*35%+M368*35%+N368*20%+O368*10%)*25%)</x:f>
      </x:c>
      <x:c r="S368" t="str">
        <x:f>IF(R368="","",IF(R368="Mujer",10,IF(R368="Hombre",'11_Config'!$B$13,0)))</x:f>
      </x:c>
      <x:c r="T368" t="str">
        <x:f>IF(R368="Hombre","REVISAR REGLA OFICIAL","")</x:f>
      </x:c>
      <x:c r="V368" t="str">
        <x:f>IF(A368="","",(Q368*40%+S368*30%+U368*30%)*5%)</x:f>
      </x:c>
      <x:c r="W368" t="str">
        <x:f>IF(A368="","",F368+K368+P368+V368)</x:f>
      </x:c>
      <x:c r="X368" t="str">
        <x:f>IF(W368="","",IF(W368&gt;='11_Config'!$B$9,"Selección prioritaria",IF(W368&gt;='11_Config'!$B$10,"Elegible / reserva",IF(W368&gt;='11_Config'!$B$11,"Elegible condicionado","No recomendado"))))</x:f>
      </x:c>
    </x:row>
    <x:row r="369">
      <x:c r="F369" t="str">
        <x:f>IF(A369="","",(C369*40%+D369*30%+E369*30%)*15%)</x:f>
      </x:c>
      <x:c r="K369" t="str">
        <x:f>IF(A369="","",(G369*35%+H369*35%+I369*20%+J369*10%)*55%)</x:f>
      </x:c>
      <x:c r="P369" t="str">
        <x:f>IF(A369="","",(L369*35%+M369*35%+N369*20%+O369*10%)*25%)</x:f>
      </x:c>
      <x:c r="S369" t="str">
        <x:f>IF(R369="","",IF(R369="Mujer",10,IF(R369="Hombre",'11_Config'!$B$13,0)))</x:f>
      </x:c>
      <x:c r="T369" t="str">
        <x:f>IF(R369="Hombre","REVISAR REGLA OFICIAL","")</x:f>
      </x:c>
      <x:c r="V369" t="str">
        <x:f>IF(A369="","",(Q369*40%+S369*30%+U369*30%)*5%)</x:f>
      </x:c>
      <x:c r="W369" t="str">
        <x:f>IF(A369="","",F369+K369+P369+V369)</x:f>
      </x:c>
      <x:c r="X369" t="str">
        <x:f>IF(W369="","",IF(W369&gt;='11_Config'!$B$9,"Selección prioritaria",IF(W369&gt;='11_Config'!$B$10,"Elegible / reserva",IF(W369&gt;='11_Config'!$B$11,"Elegible condicionado","No recomendado"))))</x:f>
      </x:c>
    </x:row>
    <x:row r="370">
      <x:c r="F370" t="str">
        <x:f>IF(A370="","",(C370*40%+D370*30%+E370*30%)*15%)</x:f>
      </x:c>
      <x:c r="K370" t="str">
        <x:f>IF(A370="","",(G370*35%+H370*35%+I370*20%+J370*10%)*55%)</x:f>
      </x:c>
      <x:c r="P370" t="str">
        <x:f>IF(A370="","",(L370*35%+M370*35%+N370*20%+O370*10%)*25%)</x:f>
      </x:c>
      <x:c r="S370" t="str">
        <x:f>IF(R370="","",IF(R370="Mujer",10,IF(R370="Hombre",'11_Config'!$B$13,0)))</x:f>
      </x:c>
      <x:c r="T370" t="str">
        <x:f>IF(R370="Hombre","REVISAR REGLA OFICIAL","")</x:f>
      </x:c>
      <x:c r="V370" t="str">
        <x:f>IF(A370="","",(Q370*40%+S370*30%+U370*30%)*5%)</x:f>
      </x:c>
      <x:c r="W370" t="str">
        <x:f>IF(A370="","",F370+K370+P370+V370)</x:f>
      </x:c>
      <x:c r="X370" t="str">
        <x:f>IF(W370="","",IF(W370&gt;='11_Config'!$B$9,"Selección prioritaria",IF(W370&gt;='11_Config'!$B$10,"Elegible / reserva",IF(W370&gt;='11_Config'!$B$11,"Elegible condicionado","No recomendado"))))</x:f>
      </x:c>
    </x:row>
    <x:row r="371">
      <x:c r="F371" t="str">
        <x:f>IF(A371="","",(C371*40%+D371*30%+E371*30%)*15%)</x:f>
      </x:c>
      <x:c r="K371" t="str">
        <x:f>IF(A371="","",(G371*35%+H371*35%+I371*20%+J371*10%)*55%)</x:f>
      </x:c>
      <x:c r="P371" t="str">
        <x:f>IF(A371="","",(L371*35%+M371*35%+N371*20%+O371*10%)*25%)</x:f>
      </x:c>
      <x:c r="S371" t="str">
        <x:f>IF(R371="","",IF(R371="Mujer",10,IF(R371="Hombre",'11_Config'!$B$13,0)))</x:f>
      </x:c>
      <x:c r="T371" t="str">
        <x:f>IF(R371="Hombre","REVISAR REGLA OFICIAL","")</x:f>
      </x:c>
      <x:c r="V371" t="str">
        <x:f>IF(A371="","",(Q371*40%+S371*30%+U371*30%)*5%)</x:f>
      </x:c>
      <x:c r="W371" t="str">
        <x:f>IF(A371="","",F371+K371+P371+V371)</x:f>
      </x:c>
      <x:c r="X371" t="str">
        <x:f>IF(W371="","",IF(W371&gt;='11_Config'!$B$9,"Selección prioritaria",IF(W371&gt;='11_Config'!$B$10,"Elegible / reserva",IF(W371&gt;='11_Config'!$B$11,"Elegible condicionado","No recomendado"))))</x:f>
      </x:c>
    </x:row>
    <x:row r="372">
      <x:c r="F372" t="str">
        <x:f>IF(A372="","",(C372*40%+D372*30%+E372*30%)*15%)</x:f>
      </x:c>
      <x:c r="K372" t="str">
        <x:f>IF(A372="","",(G372*35%+H372*35%+I372*20%+J372*10%)*55%)</x:f>
      </x:c>
      <x:c r="P372" t="str">
        <x:f>IF(A372="","",(L372*35%+M372*35%+N372*20%+O372*10%)*25%)</x:f>
      </x:c>
      <x:c r="S372" t="str">
        <x:f>IF(R372="","",IF(R372="Mujer",10,IF(R372="Hombre",'11_Config'!$B$13,0)))</x:f>
      </x:c>
      <x:c r="T372" t="str">
        <x:f>IF(R372="Hombre","REVISAR REGLA OFICIAL","")</x:f>
      </x:c>
      <x:c r="V372" t="str">
        <x:f>IF(A372="","",(Q372*40%+S372*30%+U372*30%)*5%)</x:f>
      </x:c>
      <x:c r="W372" t="str">
        <x:f>IF(A372="","",F372+K372+P372+V372)</x:f>
      </x:c>
      <x:c r="X372" t="str">
        <x:f>IF(W372="","",IF(W372&gt;='11_Config'!$B$9,"Selección prioritaria",IF(W372&gt;='11_Config'!$B$10,"Elegible / reserva",IF(W372&gt;='11_Config'!$B$11,"Elegible condicionado","No recomendado"))))</x:f>
      </x:c>
    </x:row>
    <x:row r="373">
      <x:c r="F373" t="str">
        <x:f>IF(A373="","",(C373*40%+D373*30%+E373*30%)*15%)</x:f>
      </x:c>
      <x:c r="K373" t="str">
        <x:f>IF(A373="","",(G373*35%+H373*35%+I373*20%+J373*10%)*55%)</x:f>
      </x:c>
      <x:c r="P373" t="str">
        <x:f>IF(A373="","",(L373*35%+M373*35%+N373*20%+O373*10%)*25%)</x:f>
      </x:c>
      <x:c r="S373" t="str">
        <x:f>IF(R373="","",IF(R373="Mujer",10,IF(R373="Hombre",'11_Config'!$B$13,0)))</x:f>
      </x:c>
      <x:c r="T373" t="str">
        <x:f>IF(R373="Hombre","REVISAR REGLA OFICIAL","")</x:f>
      </x:c>
      <x:c r="V373" t="str">
        <x:f>IF(A373="","",(Q373*40%+S373*30%+U373*30%)*5%)</x:f>
      </x:c>
      <x:c r="W373" t="str">
        <x:f>IF(A373="","",F373+K373+P373+V373)</x:f>
      </x:c>
      <x:c r="X373" t="str">
        <x:f>IF(W373="","",IF(W373&gt;='11_Config'!$B$9,"Selección prioritaria",IF(W373&gt;='11_Config'!$B$10,"Elegible / reserva",IF(W373&gt;='11_Config'!$B$11,"Elegible condicionado","No recomendado"))))</x:f>
      </x:c>
    </x:row>
    <x:row r="374">
      <x:c r="F374" t="str">
        <x:f>IF(A374="","",(C374*40%+D374*30%+E374*30%)*15%)</x:f>
      </x:c>
      <x:c r="K374" t="str">
        <x:f>IF(A374="","",(G374*35%+H374*35%+I374*20%+J374*10%)*55%)</x:f>
      </x:c>
      <x:c r="P374" t="str">
        <x:f>IF(A374="","",(L374*35%+M374*35%+N374*20%+O374*10%)*25%)</x:f>
      </x:c>
      <x:c r="S374" t="str">
        <x:f>IF(R374="","",IF(R374="Mujer",10,IF(R374="Hombre",'11_Config'!$B$13,0)))</x:f>
      </x:c>
      <x:c r="T374" t="str">
        <x:f>IF(R374="Hombre","REVISAR REGLA OFICIAL","")</x:f>
      </x:c>
      <x:c r="V374" t="str">
        <x:f>IF(A374="","",(Q374*40%+S374*30%+U374*30%)*5%)</x:f>
      </x:c>
      <x:c r="W374" t="str">
        <x:f>IF(A374="","",F374+K374+P374+V374)</x:f>
      </x:c>
      <x:c r="X374" t="str">
        <x:f>IF(W374="","",IF(W374&gt;='11_Config'!$B$9,"Selección prioritaria",IF(W374&gt;='11_Config'!$B$10,"Elegible / reserva",IF(W374&gt;='11_Config'!$B$11,"Elegible condicionado","No recomendado"))))</x:f>
      </x:c>
    </x:row>
    <x:row r="375">
      <x:c r="F375" t="str">
        <x:f>IF(A375="","",(C375*40%+D375*30%+E375*30%)*15%)</x:f>
      </x:c>
      <x:c r="K375" t="str">
        <x:f>IF(A375="","",(G375*35%+H375*35%+I375*20%+J375*10%)*55%)</x:f>
      </x:c>
      <x:c r="P375" t="str">
        <x:f>IF(A375="","",(L375*35%+M375*35%+N375*20%+O375*10%)*25%)</x:f>
      </x:c>
      <x:c r="S375" t="str">
        <x:f>IF(R375="","",IF(R375="Mujer",10,IF(R375="Hombre",'11_Config'!$B$13,0)))</x:f>
      </x:c>
      <x:c r="T375" t="str">
        <x:f>IF(R375="Hombre","REVISAR REGLA OFICIAL","")</x:f>
      </x:c>
      <x:c r="V375" t="str">
        <x:f>IF(A375="","",(Q375*40%+S375*30%+U375*30%)*5%)</x:f>
      </x:c>
      <x:c r="W375" t="str">
        <x:f>IF(A375="","",F375+K375+P375+V375)</x:f>
      </x:c>
      <x:c r="X375" t="str">
        <x:f>IF(W375="","",IF(W375&gt;='11_Config'!$B$9,"Selección prioritaria",IF(W375&gt;='11_Config'!$B$10,"Elegible / reserva",IF(W375&gt;='11_Config'!$B$11,"Elegible condicionado","No recomendado"))))</x:f>
      </x:c>
    </x:row>
    <x:row r="376">
      <x:c r="F376" t="str">
        <x:f>IF(A376="","",(C376*40%+D376*30%+E376*30%)*15%)</x:f>
      </x:c>
      <x:c r="K376" t="str">
        <x:f>IF(A376="","",(G376*35%+H376*35%+I376*20%+J376*10%)*55%)</x:f>
      </x:c>
      <x:c r="P376" t="str">
        <x:f>IF(A376="","",(L376*35%+M376*35%+N376*20%+O376*10%)*25%)</x:f>
      </x:c>
      <x:c r="S376" t="str">
        <x:f>IF(R376="","",IF(R376="Mujer",10,IF(R376="Hombre",'11_Config'!$B$13,0)))</x:f>
      </x:c>
      <x:c r="T376" t="str">
        <x:f>IF(R376="Hombre","REVISAR REGLA OFICIAL","")</x:f>
      </x:c>
      <x:c r="V376" t="str">
        <x:f>IF(A376="","",(Q376*40%+S376*30%+U376*30%)*5%)</x:f>
      </x:c>
      <x:c r="W376" t="str">
        <x:f>IF(A376="","",F376+K376+P376+V376)</x:f>
      </x:c>
      <x:c r="X376" t="str">
        <x:f>IF(W376="","",IF(W376&gt;='11_Config'!$B$9,"Selección prioritaria",IF(W376&gt;='11_Config'!$B$10,"Elegible / reserva",IF(W376&gt;='11_Config'!$B$11,"Elegible condicionado","No recomendado"))))</x:f>
      </x:c>
    </x:row>
    <x:row r="377">
      <x:c r="F377" t="str">
        <x:f>IF(A377="","",(C377*40%+D377*30%+E377*30%)*15%)</x:f>
      </x:c>
      <x:c r="K377" t="str">
        <x:f>IF(A377="","",(G377*35%+H377*35%+I377*20%+J377*10%)*55%)</x:f>
      </x:c>
      <x:c r="P377" t="str">
        <x:f>IF(A377="","",(L377*35%+M377*35%+N377*20%+O377*10%)*25%)</x:f>
      </x:c>
      <x:c r="S377" t="str">
        <x:f>IF(R377="","",IF(R377="Mujer",10,IF(R377="Hombre",'11_Config'!$B$13,0)))</x:f>
      </x:c>
      <x:c r="T377" t="str">
        <x:f>IF(R377="Hombre","REVISAR REGLA OFICIAL","")</x:f>
      </x:c>
      <x:c r="V377" t="str">
        <x:f>IF(A377="","",(Q377*40%+S377*30%+U377*30%)*5%)</x:f>
      </x:c>
      <x:c r="W377" t="str">
        <x:f>IF(A377="","",F377+K377+P377+V377)</x:f>
      </x:c>
      <x:c r="X377" t="str">
        <x:f>IF(W377="","",IF(W377&gt;='11_Config'!$B$9,"Selección prioritaria",IF(W377&gt;='11_Config'!$B$10,"Elegible / reserva",IF(W377&gt;='11_Config'!$B$11,"Elegible condicionado","No recomendado"))))</x:f>
      </x:c>
    </x:row>
    <x:row r="378">
      <x:c r="F378" t="str">
        <x:f>IF(A378="","",(C378*40%+D378*30%+E378*30%)*15%)</x:f>
      </x:c>
      <x:c r="K378" t="str">
        <x:f>IF(A378="","",(G378*35%+H378*35%+I378*20%+J378*10%)*55%)</x:f>
      </x:c>
      <x:c r="P378" t="str">
        <x:f>IF(A378="","",(L378*35%+M378*35%+N378*20%+O378*10%)*25%)</x:f>
      </x:c>
      <x:c r="S378" t="str">
        <x:f>IF(R378="","",IF(R378="Mujer",10,IF(R378="Hombre",'11_Config'!$B$13,0)))</x:f>
      </x:c>
      <x:c r="T378" t="str">
        <x:f>IF(R378="Hombre","REVISAR REGLA OFICIAL","")</x:f>
      </x:c>
      <x:c r="V378" t="str">
        <x:f>IF(A378="","",(Q378*40%+S378*30%+U378*30%)*5%)</x:f>
      </x:c>
      <x:c r="W378" t="str">
        <x:f>IF(A378="","",F378+K378+P378+V378)</x:f>
      </x:c>
      <x:c r="X378" t="str">
        <x:f>IF(W378="","",IF(W378&gt;='11_Config'!$B$9,"Selección prioritaria",IF(W378&gt;='11_Config'!$B$10,"Elegible / reserva",IF(W378&gt;='11_Config'!$B$11,"Elegible condicionado","No recomendado"))))</x:f>
      </x:c>
    </x:row>
    <x:row r="379">
      <x:c r="F379" t="str">
        <x:f>IF(A379="","",(C379*40%+D379*30%+E379*30%)*15%)</x:f>
      </x:c>
      <x:c r="K379" t="str">
        <x:f>IF(A379="","",(G379*35%+H379*35%+I379*20%+J379*10%)*55%)</x:f>
      </x:c>
      <x:c r="P379" t="str">
        <x:f>IF(A379="","",(L379*35%+M379*35%+N379*20%+O379*10%)*25%)</x:f>
      </x:c>
      <x:c r="S379" t="str">
        <x:f>IF(R379="","",IF(R379="Mujer",10,IF(R379="Hombre",'11_Config'!$B$13,0)))</x:f>
      </x:c>
      <x:c r="T379" t="str">
        <x:f>IF(R379="Hombre","REVISAR REGLA OFICIAL","")</x:f>
      </x:c>
      <x:c r="V379" t="str">
        <x:f>IF(A379="","",(Q379*40%+S379*30%+U379*30%)*5%)</x:f>
      </x:c>
      <x:c r="W379" t="str">
        <x:f>IF(A379="","",F379+K379+P379+V379)</x:f>
      </x:c>
      <x:c r="X379" t="str">
        <x:f>IF(W379="","",IF(W379&gt;='11_Config'!$B$9,"Selección prioritaria",IF(W379&gt;='11_Config'!$B$10,"Elegible / reserva",IF(W379&gt;='11_Config'!$B$11,"Elegible condicionado","No recomendado"))))</x:f>
      </x:c>
    </x:row>
    <x:row r="380">
      <x:c r="F380" t="str">
        <x:f>IF(A380="","",(C380*40%+D380*30%+E380*30%)*15%)</x:f>
      </x:c>
      <x:c r="K380" t="str">
        <x:f>IF(A380="","",(G380*35%+H380*35%+I380*20%+J380*10%)*55%)</x:f>
      </x:c>
      <x:c r="P380" t="str">
        <x:f>IF(A380="","",(L380*35%+M380*35%+N380*20%+O380*10%)*25%)</x:f>
      </x:c>
      <x:c r="S380" t="str">
        <x:f>IF(R380="","",IF(R380="Mujer",10,IF(R380="Hombre",'11_Config'!$B$13,0)))</x:f>
      </x:c>
      <x:c r="T380" t="str">
        <x:f>IF(R380="Hombre","REVISAR REGLA OFICIAL","")</x:f>
      </x:c>
      <x:c r="V380" t="str">
        <x:f>IF(A380="","",(Q380*40%+S380*30%+U380*30%)*5%)</x:f>
      </x:c>
      <x:c r="W380" t="str">
        <x:f>IF(A380="","",F380+K380+P380+V380)</x:f>
      </x:c>
      <x:c r="X380" t="str">
        <x:f>IF(W380="","",IF(W380&gt;='11_Config'!$B$9,"Selección prioritaria",IF(W380&gt;='11_Config'!$B$10,"Elegible / reserva",IF(W380&gt;='11_Config'!$B$11,"Elegible condicionado","No recomendado"))))</x:f>
      </x:c>
    </x:row>
    <x:row r="381">
      <x:c r="F381" t="str">
        <x:f>IF(A381="","",(C381*40%+D381*30%+E381*30%)*15%)</x:f>
      </x:c>
      <x:c r="K381" t="str">
        <x:f>IF(A381="","",(G381*35%+H381*35%+I381*20%+J381*10%)*55%)</x:f>
      </x:c>
      <x:c r="P381" t="str">
        <x:f>IF(A381="","",(L381*35%+M381*35%+N381*20%+O381*10%)*25%)</x:f>
      </x:c>
      <x:c r="S381" t="str">
        <x:f>IF(R381="","",IF(R381="Mujer",10,IF(R381="Hombre",'11_Config'!$B$13,0)))</x:f>
      </x:c>
      <x:c r="T381" t="str">
        <x:f>IF(R381="Hombre","REVISAR REGLA OFICIAL","")</x:f>
      </x:c>
      <x:c r="V381" t="str">
        <x:f>IF(A381="","",(Q381*40%+S381*30%+U381*30%)*5%)</x:f>
      </x:c>
      <x:c r="W381" t="str">
        <x:f>IF(A381="","",F381+K381+P381+V381)</x:f>
      </x:c>
      <x:c r="X381" t="str">
        <x:f>IF(W381="","",IF(W381&gt;='11_Config'!$B$9,"Selección prioritaria",IF(W381&gt;='11_Config'!$B$10,"Elegible / reserva",IF(W381&gt;='11_Config'!$B$11,"Elegible condicionado","No recomendado"))))</x:f>
      </x:c>
    </x:row>
    <x:row r="382">
      <x:c r="F382" t="str">
        <x:f>IF(A382="","",(C382*40%+D382*30%+E382*30%)*15%)</x:f>
      </x:c>
      <x:c r="K382" t="str">
        <x:f>IF(A382="","",(G382*35%+H382*35%+I382*20%+J382*10%)*55%)</x:f>
      </x:c>
      <x:c r="P382" t="str">
        <x:f>IF(A382="","",(L382*35%+M382*35%+N382*20%+O382*10%)*25%)</x:f>
      </x:c>
      <x:c r="S382" t="str">
        <x:f>IF(R382="","",IF(R382="Mujer",10,IF(R382="Hombre",'11_Config'!$B$13,0)))</x:f>
      </x:c>
      <x:c r="T382" t="str">
        <x:f>IF(R382="Hombre","REVISAR REGLA OFICIAL","")</x:f>
      </x:c>
      <x:c r="V382" t="str">
        <x:f>IF(A382="","",(Q382*40%+S382*30%+U382*30%)*5%)</x:f>
      </x:c>
      <x:c r="W382" t="str">
        <x:f>IF(A382="","",F382+K382+P382+V382)</x:f>
      </x:c>
      <x:c r="X382" t="str">
        <x:f>IF(W382="","",IF(W382&gt;='11_Config'!$B$9,"Selección prioritaria",IF(W382&gt;='11_Config'!$B$10,"Elegible / reserva",IF(W382&gt;='11_Config'!$B$11,"Elegible condicionado","No recomendado"))))</x:f>
      </x:c>
    </x:row>
    <x:row r="383">
      <x:c r="F383" t="str">
        <x:f>IF(A383="","",(C383*40%+D383*30%+E383*30%)*15%)</x:f>
      </x:c>
      <x:c r="K383" t="str">
        <x:f>IF(A383="","",(G383*35%+H383*35%+I383*20%+J383*10%)*55%)</x:f>
      </x:c>
      <x:c r="P383" t="str">
        <x:f>IF(A383="","",(L383*35%+M383*35%+N383*20%+O383*10%)*25%)</x:f>
      </x:c>
      <x:c r="S383" t="str">
        <x:f>IF(R383="","",IF(R383="Mujer",10,IF(R383="Hombre",'11_Config'!$B$13,0)))</x:f>
      </x:c>
      <x:c r="T383" t="str">
        <x:f>IF(R383="Hombre","REVISAR REGLA OFICIAL","")</x:f>
      </x:c>
      <x:c r="V383" t="str">
        <x:f>IF(A383="","",(Q383*40%+S383*30%+U383*30%)*5%)</x:f>
      </x:c>
      <x:c r="W383" t="str">
        <x:f>IF(A383="","",F383+K383+P383+V383)</x:f>
      </x:c>
      <x:c r="X383" t="str">
        <x:f>IF(W383="","",IF(W383&gt;='11_Config'!$B$9,"Selección prioritaria",IF(W383&gt;='11_Config'!$B$10,"Elegible / reserva",IF(W383&gt;='11_Config'!$B$11,"Elegible condicionado","No recomendado"))))</x:f>
      </x:c>
    </x:row>
    <x:row r="384">
      <x:c r="F384" t="str">
        <x:f>IF(A384="","",(C384*40%+D384*30%+E384*30%)*15%)</x:f>
      </x:c>
      <x:c r="K384" t="str">
        <x:f>IF(A384="","",(G384*35%+H384*35%+I384*20%+J384*10%)*55%)</x:f>
      </x:c>
      <x:c r="P384" t="str">
        <x:f>IF(A384="","",(L384*35%+M384*35%+N384*20%+O384*10%)*25%)</x:f>
      </x:c>
      <x:c r="S384" t="str">
        <x:f>IF(R384="","",IF(R384="Mujer",10,IF(R384="Hombre",'11_Config'!$B$13,0)))</x:f>
      </x:c>
      <x:c r="T384" t="str">
        <x:f>IF(R384="Hombre","REVISAR REGLA OFICIAL","")</x:f>
      </x:c>
      <x:c r="V384" t="str">
        <x:f>IF(A384="","",(Q384*40%+S384*30%+U384*30%)*5%)</x:f>
      </x:c>
      <x:c r="W384" t="str">
        <x:f>IF(A384="","",F384+K384+P384+V384)</x:f>
      </x:c>
      <x:c r="X384" t="str">
        <x:f>IF(W384="","",IF(W384&gt;='11_Config'!$B$9,"Selección prioritaria",IF(W384&gt;='11_Config'!$B$10,"Elegible / reserva",IF(W384&gt;='11_Config'!$B$11,"Elegible condicionado","No recomendado"))))</x:f>
      </x:c>
    </x:row>
    <x:row r="385">
      <x:c r="F385" t="str">
        <x:f>IF(A385="","",(C385*40%+D385*30%+E385*30%)*15%)</x:f>
      </x:c>
      <x:c r="K385" t="str">
        <x:f>IF(A385="","",(G385*35%+H385*35%+I385*20%+J385*10%)*55%)</x:f>
      </x:c>
      <x:c r="P385" t="str">
        <x:f>IF(A385="","",(L385*35%+M385*35%+N385*20%+O385*10%)*25%)</x:f>
      </x:c>
      <x:c r="S385" t="str">
        <x:f>IF(R385="","",IF(R385="Mujer",10,IF(R385="Hombre",'11_Config'!$B$13,0)))</x:f>
      </x:c>
      <x:c r="T385" t="str">
        <x:f>IF(R385="Hombre","REVISAR REGLA OFICIAL","")</x:f>
      </x:c>
      <x:c r="V385" t="str">
        <x:f>IF(A385="","",(Q385*40%+S385*30%+U385*30%)*5%)</x:f>
      </x:c>
      <x:c r="W385" t="str">
        <x:f>IF(A385="","",F385+K385+P385+V385)</x:f>
      </x:c>
      <x:c r="X385" t="str">
        <x:f>IF(W385="","",IF(W385&gt;='11_Config'!$B$9,"Selección prioritaria",IF(W385&gt;='11_Config'!$B$10,"Elegible / reserva",IF(W385&gt;='11_Config'!$B$11,"Elegible condicionado","No recomendado"))))</x:f>
      </x:c>
    </x:row>
    <x:row r="386">
      <x:c r="F386" t="str">
        <x:f>IF(A386="","",(C386*40%+D386*30%+E386*30%)*15%)</x:f>
      </x:c>
      <x:c r="K386" t="str">
        <x:f>IF(A386="","",(G386*35%+H386*35%+I386*20%+J386*10%)*55%)</x:f>
      </x:c>
      <x:c r="P386" t="str">
        <x:f>IF(A386="","",(L386*35%+M386*35%+N386*20%+O386*10%)*25%)</x:f>
      </x:c>
      <x:c r="S386" t="str">
        <x:f>IF(R386="","",IF(R386="Mujer",10,IF(R386="Hombre",'11_Config'!$B$13,0)))</x:f>
      </x:c>
      <x:c r="T386" t="str">
        <x:f>IF(R386="Hombre","REVISAR REGLA OFICIAL","")</x:f>
      </x:c>
      <x:c r="V386" t="str">
        <x:f>IF(A386="","",(Q386*40%+S386*30%+U386*30%)*5%)</x:f>
      </x:c>
      <x:c r="W386" t="str">
        <x:f>IF(A386="","",F386+K386+P386+V386)</x:f>
      </x:c>
      <x:c r="X386" t="str">
        <x:f>IF(W386="","",IF(W386&gt;='11_Config'!$B$9,"Selección prioritaria",IF(W386&gt;='11_Config'!$B$10,"Elegible / reserva",IF(W386&gt;='11_Config'!$B$11,"Elegible condicionado","No recomendado"))))</x:f>
      </x:c>
    </x:row>
    <x:row r="387">
      <x:c r="F387" t="str">
        <x:f>IF(A387="","",(C387*40%+D387*30%+E387*30%)*15%)</x:f>
      </x:c>
      <x:c r="K387" t="str">
        <x:f>IF(A387="","",(G387*35%+H387*35%+I387*20%+J387*10%)*55%)</x:f>
      </x:c>
      <x:c r="P387" t="str">
        <x:f>IF(A387="","",(L387*35%+M387*35%+N387*20%+O387*10%)*25%)</x:f>
      </x:c>
      <x:c r="S387" t="str">
        <x:f>IF(R387="","",IF(R387="Mujer",10,IF(R387="Hombre",'11_Config'!$B$13,0)))</x:f>
      </x:c>
      <x:c r="T387" t="str">
        <x:f>IF(R387="Hombre","REVISAR REGLA OFICIAL","")</x:f>
      </x:c>
      <x:c r="V387" t="str">
        <x:f>IF(A387="","",(Q387*40%+S387*30%+U387*30%)*5%)</x:f>
      </x:c>
      <x:c r="W387" t="str">
        <x:f>IF(A387="","",F387+K387+P387+V387)</x:f>
      </x:c>
      <x:c r="X387" t="str">
        <x:f>IF(W387="","",IF(W387&gt;='11_Config'!$B$9,"Selección prioritaria",IF(W387&gt;='11_Config'!$B$10,"Elegible / reserva",IF(W387&gt;='11_Config'!$B$11,"Elegible condicionado","No recomendado"))))</x:f>
      </x:c>
    </x:row>
    <x:row r="388">
      <x:c r="F388" t="str">
        <x:f>IF(A388="","",(C388*40%+D388*30%+E388*30%)*15%)</x:f>
      </x:c>
      <x:c r="K388" t="str">
        <x:f>IF(A388="","",(G388*35%+H388*35%+I388*20%+J388*10%)*55%)</x:f>
      </x:c>
      <x:c r="P388" t="str">
        <x:f>IF(A388="","",(L388*35%+M388*35%+N388*20%+O388*10%)*25%)</x:f>
      </x:c>
      <x:c r="S388" t="str">
        <x:f>IF(R388="","",IF(R388="Mujer",10,IF(R388="Hombre",'11_Config'!$B$13,0)))</x:f>
      </x:c>
      <x:c r="T388" t="str">
        <x:f>IF(R388="Hombre","REVISAR REGLA OFICIAL","")</x:f>
      </x:c>
      <x:c r="V388" t="str">
        <x:f>IF(A388="","",(Q388*40%+S388*30%+U388*30%)*5%)</x:f>
      </x:c>
      <x:c r="W388" t="str">
        <x:f>IF(A388="","",F388+K388+P388+V388)</x:f>
      </x:c>
      <x:c r="X388" t="str">
        <x:f>IF(W388="","",IF(W388&gt;='11_Config'!$B$9,"Selección prioritaria",IF(W388&gt;='11_Config'!$B$10,"Elegible / reserva",IF(W388&gt;='11_Config'!$B$11,"Elegible condicionado","No recomendado"))))</x:f>
      </x:c>
    </x:row>
    <x:row r="389">
      <x:c r="F389" t="str">
        <x:f>IF(A389="","",(C389*40%+D389*30%+E389*30%)*15%)</x:f>
      </x:c>
      <x:c r="K389" t="str">
        <x:f>IF(A389="","",(G389*35%+H389*35%+I389*20%+J389*10%)*55%)</x:f>
      </x:c>
      <x:c r="P389" t="str">
        <x:f>IF(A389="","",(L389*35%+M389*35%+N389*20%+O389*10%)*25%)</x:f>
      </x:c>
      <x:c r="S389" t="str">
        <x:f>IF(R389="","",IF(R389="Mujer",10,IF(R389="Hombre",'11_Config'!$B$13,0)))</x:f>
      </x:c>
      <x:c r="T389" t="str">
        <x:f>IF(R389="Hombre","REVISAR REGLA OFICIAL","")</x:f>
      </x:c>
      <x:c r="V389" t="str">
        <x:f>IF(A389="","",(Q389*40%+S389*30%+U389*30%)*5%)</x:f>
      </x:c>
      <x:c r="W389" t="str">
        <x:f>IF(A389="","",F389+K389+P389+V389)</x:f>
      </x:c>
      <x:c r="X389" t="str">
        <x:f>IF(W389="","",IF(W389&gt;='11_Config'!$B$9,"Selección prioritaria",IF(W389&gt;='11_Config'!$B$10,"Elegible / reserva",IF(W389&gt;='11_Config'!$B$11,"Elegible condicionado","No recomendado"))))</x:f>
      </x:c>
    </x:row>
    <x:row r="390">
      <x:c r="F390" t="str">
        <x:f>IF(A390="","",(C390*40%+D390*30%+E390*30%)*15%)</x:f>
      </x:c>
      <x:c r="K390" t="str">
        <x:f>IF(A390="","",(G390*35%+H390*35%+I390*20%+J390*10%)*55%)</x:f>
      </x:c>
      <x:c r="P390" t="str">
        <x:f>IF(A390="","",(L390*35%+M390*35%+N390*20%+O390*10%)*25%)</x:f>
      </x:c>
      <x:c r="S390" t="str">
        <x:f>IF(R390="","",IF(R390="Mujer",10,IF(R390="Hombre",'11_Config'!$B$13,0)))</x:f>
      </x:c>
      <x:c r="T390" t="str">
        <x:f>IF(R390="Hombre","REVISAR REGLA OFICIAL","")</x:f>
      </x:c>
      <x:c r="V390" t="str">
        <x:f>IF(A390="","",(Q390*40%+S390*30%+U390*30%)*5%)</x:f>
      </x:c>
      <x:c r="W390" t="str">
        <x:f>IF(A390="","",F390+K390+P390+V390)</x:f>
      </x:c>
      <x:c r="X390" t="str">
        <x:f>IF(W390="","",IF(W390&gt;='11_Config'!$B$9,"Selección prioritaria",IF(W390&gt;='11_Config'!$B$10,"Elegible / reserva",IF(W390&gt;='11_Config'!$B$11,"Elegible condicionado","No recomendado"))))</x:f>
      </x:c>
    </x:row>
    <x:row r="391">
      <x:c r="F391" t="str">
        <x:f>IF(A391="","",(C391*40%+D391*30%+E391*30%)*15%)</x:f>
      </x:c>
      <x:c r="K391" t="str">
        <x:f>IF(A391="","",(G391*35%+H391*35%+I391*20%+J391*10%)*55%)</x:f>
      </x:c>
      <x:c r="P391" t="str">
        <x:f>IF(A391="","",(L391*35%+M391*35%+N391*20%+O391*10%)*25%)</x:f>
      </x:c>
      <x:c r="S391" t="str">
        <x:f>IF(R391="","",IF(R391="Mujer",10,IF(R391="Hombre",'11_Config'!$B$13,0)))</x:f>
      </x:c>
      <x:c r="T391" t="str">
        <x:f>IF(R391="Hombre","REVISAR REGLA OFICIAL","")</x:f>
      </x:c>
      <x:c r="V391" t="str">
        <x:f>IF(A391="","",(Q391*40%+S391*30%+U391*30%)*5%)</x:f>
      </x:c>
      <x:c r="W391" t="str">
        <x:f>IF(A391="","",F391+K391+P391+V391)</x:f>
      </x:c>
      <x:c r="X391" t="str">
        <x:f>IF(W391="","",IF(W391&gt;='11_Config'!$B$9,"Selección prioritaria",IF(W391&gt;='11_Config'!$B$10,"Elegible / reserva",IF(W391&gt;='11_Config'!$B$11,"Elegible condicionado","No recomendado"))))</x:f>
      </x:c>
    </x:row>
    <x:row r="392">
      <x:c r="F392" t="str">
        <x:f>IF(A392="","",(C392*40%+D392*30%+E392*30%)*15%)</x:f>
      </x:c>
      <x:c r="K392" t="str">
        <x:f>IF(A392="","",(G392*35%+H392*35%+I392*20%+J392*10%)*55%)</x:f>
      </x:c>
      <x:c r="P392" t="str">
        <x:f>IF(A392="","",(L392*35%+M392*35%+N392*20%+O392*10%)*25%)</x:f>
      </x:c>
      <x:c r="S392" t="str">
        <x:f>IF(R392="","",IF(R392="Mujer",10,IF(R392="Hombre",'11_Config'!$B$13,0)))</x:f>
      </x:c>
      <x:c r="T392" t="str">
        <x:f>IF(R392="Hombre","REVISAR REGLA OFICIAL","")</x:f>
      </x:c>
      <x:c r="V392" t="str">
        <x:f>IF(A392="","",(Q392*40%+S392*30%+U392*30%)*5%)</x:f>
      </x:c>
      <x:c r="W392" t="str">
        <x:f>IF(A392="","",F392+K392+P392+V392)</x:f>
      </x:c>
      <x:c r="X392" t="str">
        <x:f>IF(W392="","",IF(W392&gt;='11_Config'!$B$9,"Selección prioritaria",IF(W392&gt;='11_Config'!$B$10,"Elegible / reserva",IF(W392&gt;='11_Config'!$B$11,"Elegible condicionado","No recomendado"))))</x:f>
      </x:c>
    </x:row>
    <x:row r="393">
      <x:c r="F393" t="str">
        <x:f>IF(A393="","",(C393*40%+D393*30%+E393*30%)*15%)</x:f>
      </x:c>
      <x:c r="K393" t="str">
        <x:f>IF(A393="","",(G393*35%+H393*35%+I393*20%+J393*10%)*55%)</x:f>
      </x:c>
      <x:c r="P393" t="str">
        <x:f>IF(A393="","",(L393*35%+M393*35%+N393*20%+O393*10%)*25%)</x:f>
      </x:c>
      <x:c r="S393" t="str">
        <x:f>IF(R393="","",IF(R393="Mujer",10,IF(R393="Hombre",'11_Config'!$B$13,0)))</x:f>
      </x:c>
      <x:c r="T393" t="str">
        <x:f>IF(R393="Hombre","REVISAR REGLA OFICIAL","")</x:f>
      </x:c>
      <x:c r="V393" t="str">
        <x:f>IF(A393="","",(Q393*40%+S393*30%+U393*30%)*5%)</x:f>
      </x:c>
      <x:c r="W393" t="str">
        <x:f>IF(A393="","",F393+K393+P393+V393)</x:f>
      </x:c>
      <x:c r="X393" t="str">
        <x:f>IF(W393="","",IF(W393&gt;='11_Config'!$B$9,"Selección prioritaria",IF(W393&gt;='11_Config'!$B$10,"Elegible / reserva",IF(W393&gt;='11_Config'!$B$11,"Elegible condicionado","No recomendado"))))</x:f>
      </x:c>
    </x:row>
    <x:row r="394">
      <x:c r="F394" t="str">
        <x:f>IF(A394="","",(C394*40%+D394*30%+E394*30%)*15%)</x:f>
      </x:c>
      <x:c r="K394" t="str">
        <x:f>IF(A394="","",(G394*35%+H394*35%+I394*20%+J394*10%)*55%)</x:f>
      </x:c>
      <x:c r="P394" t="str">
        <x:f>IF(A394="","",(L394*35%+M394*35%+N394*20%+O394*10%)*25%)</x:f>
      </x:c>
      <x:c r="S394" t="str">
        <x:f>IF(R394="","",IF(R394="Mujer",10,IF(R394="Hombre",'11_Config'!$B$13,0)))</x:f>
      </x:c>
      <x:c r="T394" t="str">
        <x:f>IF(R394="Hombre","REVISAR REGLA OFICIAL","")</x:f>
      </x:c>
      <x:c r="V394" t="str">
        <x:f>IF(A394="","",(Q394*40%+S394*30%+U394*30%)*5%)</x:f>
      </x:c>
      <x:c r="W394" t="str">
        <x:f>IF(A394="","",F394+K394+P394+V394)</x:f>
      </x:c>
      <x:c r="X394" t="str">
        <x:f>IF(W394="","",IF(W394&gt;='11_Config'!$B$9,"Selección prioritaria",IF(W394&gt;='11_Config'!$B$10,"Elegible / reserva",IF(W394&gt;='11_Config'!$B$11,"Elegible condicionado","No recomendado"))))</x:f>
      </x:c>
    </x:row>
    <x:row r="395">
      <x:c r="F395" t="str">
        <x:f>IF(A395="","",(C395*40%+D395*30%+E395*30%)*15%)</x:f>
      </x:c>
      <x:c r="K395" t="str">
        <x:f>IF(A395="","",(G395*35%+H395*35%+I395*20%+J395*10%)*55%)</x:f>
      </x:c>
      <x:c r="P395" t="str">
        <x:f>IF(A395="","",(L395*35%+M395*35%+N395*20%+O395*10%)*25%)</x:f>
      </x:c>
      <x:c r="S395" t="str">
        <x:f>IF(R395="","",IF(R395="Mujer",10,IF(R395="Hombre",'11_Config'!$B$13,0)))</x:f>
      </x:c>
      <x:c r="T395" t="str">
        <x:f>IF(R395="Hombre","REVISAR REGLA OFICIAL","")</x:f>
      </x:c>
      <x:c r="V395" t="str">
        <x:f>IF(A395="","",(Q395*40%+S395*30%+U395*30%)*5%)</x:f>
      </x:c>
      <x:c r="W395" t="str">
        <x:f>IF(A395="","",F395+K395+P395+V395)</x:f>
      </x:c>
      <x:c r="X395" t="str">
        <x:f>IF(W395="","",IF(W395&gt;='11_Config'!$B$9,"Selección prioritaria",IF(W395&gt;='11_Config'!$B$10,"Elegible / reserva",IF(W395&gt;='11_Config'!$B$11,"Elegible condicionado","No recomendado"))))</x:f>
      </x:c>
    </x:row>
    <x:row r="396">
      <x:c r="F396" t="str">
        <x:f>IF(A396="","",(C396*40%+D396*30%+E396*30%)*15%)</x:f>
      </x:c>
      <x:c r="K396" t="str">
        <x:f>IF(A396="","",(G396*35%+H396*35%+I396*20%+J396*10%)*55%)</x:f>
      </x:c>
      <x:c r="P396" t="str">
        <x:f>IF(A396="","",(L396*35%+M396*35%+N396*20%+O396*10%)*25%)</x:f>
      </x:c>
      <x:c r="S396" t="str">
        <x:f>IF(R396="","",IF(R396="Mujer",10,IF(R396="Hombre",'11_Config'!$B$13,0)))</x:f>
      </x:c>
      <x:c r="T396" t="str">
        <x:f>IF(R396="Hombre","REVISAR REGLA OFICIAL","")</x:f>
      </x:c>
      <x:c r="V396" t="str">
        <x:f>IF(A396="","",(Q396*40%+S396*30%+U396*30%)*5%)</x:f>
      </x:c>
      <x:c r="W396" t="str">
        <x:f>IF(A396="","",F396+K396+P396+V396)</x:f>
      </x:c>
      <x:c r="X396" t="str">
        <x:f>IF(W396="","",IF(W396&gt;='11_Config'!$B$9,"Selección prioritaria",IF(W396&gt;='11_Config'!$B$10,"Elegible / reserva",IF(W396&gt;='11_Config'!$B$11,"Elegible condicionado","No recomendado"))))</x:f>
      </x:c>
    </x:row>
    <x:row r="397">
      <x:c r="F397" t="str">
        <x:f>IF(A397="","",(C397*40%+D397*30%+E397*30%)*15%)</x:f>
      </x:c>
      <x:c r="K397" t="str">
        <x:f>IF(A397="","",(G397*35%+H397*35%+I397*20%+J397*10%)*55%)</x:f>
      </x:c>
      <x:c r="P397" t="str">
        <x:f>IF(A397="","",(L397*35%+M397*35%+N397*20%+O397*10%)*25%)</x:f>
      </x:c>
      <x:c r="S397" t="str">
        <x:f>IF(R397="","",IF(R397="Mujer",10,IF(R397="Hombre",'11_Config'!$B$13,0)))</x:f>
      </x:c>
      <x:c r="T397" t="str">
        <x:f>IF(R397="Hombre","REVISAR REGLA OFICIAL","")</x:f>
      </x:c>
      <x:c r="V397" t="str">
        <x:f>IF(A397="","",(Q397*40%+S397*30%+U397*30%)*5%)</x:f>
      </x:c>
      <x:c r="W397" t="str">
        <x:f>IF(A397="","",F397+K397+P397+V397)</x:f>
      </x:c>
      <x:c r="X397" t="str">
        <x:f>IF(W397="","",IF(W397&gt;='11_Config'!$B$9,"Selección prioritaria",IF(W397&gt;='11_Config'!$B$10,"Elegible / reserva",IF(W397&gt;='11_Config'!$B$11,"Elegible condicionado","No recomendado"))))</x:f>
      </x:c>
    </x:row>
    <x:row r="398">
      <x:c r="F398" t="str">
        <x:f>IF(A398="","",(C398*40%+D398*30%+E398*30%)*15%)</x:f>
      </x:c>
      <x:c r="K398" t="str">
        <x:f>IF(A398="","",(G398*35%+H398*35%+I398*20%+J398*10%)*55%)</x:f>
      </x:c>
      <x:c r="P398" t="str">
        <x:f>IF(A398="","",(L398*35%+M398*35%+N398*20%+O398*10%)*25%)</x:f>
      </x:c>
      <x:c r="S398" t="str">
        <x:f>IF(R398="","",IF(R398="Mujer",10,IF(R398="Hombre",'11_Config'!$B$13,0)))</x:f>
      </x:c>
      <x:c r="T398" t="str">
        <x:f>IF(R398="Hombre","REVISAR REGLA OFICIAL","")</x:f>
      </x:c>
      <x:c r="V398" t="str">
        <x:f>IF(A398="","",(Q398*40%+S398*30%+U398*30%)*5%)</x:f>
      </x:c>
      <x:c r="W398" t="str">
        <x:f>IF(A398="","",F398+K398+P398+V398)</x:f>
      </x:c>
      <x:c r="X398" t="str">
        <x:f>IF(W398="","",IF(W398&gt;='11_Config'!$B$9,"Selección prioritaria",IF(W398&gt;='11_Config'!$B$10,"Elegible / reserva",IF(W398&gt;='11_Config'!$B$11,"Elegible condicionado","No recomendado"))))</x:f>
      </x:c>
    </x:row>
    <x:row r="399">
      <x:c r="F399" t="str">
        <x:f>IF(A399="","",(C399*40%+D399*30%+E399*30%)*15%)</x:f>
      </x:c>
      <x:c r="K399" t="str">
        <x:f>IF(A399="","",(G399*35%+H399*35%+I399*20%+J399*10%)*55%)</x:f>
      </x:c>
      <x:c r="P399" t="str">
        <x:f>IF(A399="","",(L399*35%+M399*35%+N399*20%+O399*10%)*25%)</x:f>
      </x:c>
      <x:c r="S399" t="str">
        <x:f>IF(R399="","",IF(R399="Mujer",10,IF(R399="Hombre",'11_Config'!$B$13,0)))</x:f>
      </x:c>
      <x:c r="T399" t="str">
        <x:f>IF(R399="Hombre","REVISAR REGLA OFICIAL","")</x:f>
      </x:c>
      <x:c r="V399" t="str">
        <x:f>IF(A399="","",(Q399*40%+S399*30%+U399*30%)*5%)</x:f>
      </x:c>
      <x:c r="W399" t="str">
        <x:f>IF(A399="","",F399+K399+P399+V399)</x:f>
      </x:c>
      <x:c r="X399" t="str">
        <x:f>IF(W399="","",IF(W399&gt;='11_Config'!$B$9,"Selección prioritaria",IF(W399&gt;='11_Config'!$B$10,"Elegible / reserva",IF(W399&gt;='11_Config'!$B$11,"Elegible condicionado","No recomendado"))))</x:f>
      </x:c>
    </x:row>
    <x:row r="400">
      <x:c r="F400" t="str">
        <x:f>IF(A400="","",(C400*40%+D400*30%+E400*30%)*15%)</x:f>
      </x:c>
      <x:c r="K400" t="str">
        <x:f>IF(A400="","",(G400*35%+H400*35%+I400*20%+J400*10%)*55%)</x:f>
      </x:c>
      <x:c r="P400" t="str">
        <x:f>IF(A400="","",(L400*35%+M400*35%+N400*20%+O400*10%)*25%)</x:f>
      </x:c>
      <x:c r="S400" t="str">
        <x:f>IF(R400="","",IF(R400="Mujer",10,IF(R400="Hombre",'11_Config'!$B$13,0)))</x:f>
      </x:c>
      <x:c r="T400" t="str">
        <x:f>IF(R400="Hombre","REVISAR REGLA OFICIAL","")</x:f>
      </x:c>
      <x:c r="V400" t="str">
        <x:f>IF(A400="","",(Q400*40%+S400*30%+U400*30%)*5%)</x:f>
      </x:c>
      <x:c r="W400" t="str">
        <x:f>IF(A400="","",F400+K400+P400+V400)</x:f>
      </x:c>
      <x:c r="X400" t="str">
        <x:f>IF(W400="","",IF(W400&gt;='11_Config'!$B$9,"Selección prioritaria",IF(W400&gt;='11_Config'!$B$10,"Elegible / reserva",IF(W400&gt;='11_Config'!$B$11,"Elegible condicionado","No recomendado"))))</x:f>
      </x:c>
    </x:row>
    <x:row r="401">
      <x:c r="F401" t="str">
        <x:f>IF(A401="","",(C401*40%+D401*30%+E401*30%)*15%)</x:f>
      </x:c>
      <x:c r="K401" t="str">
        <x:f>IF(A401="","",(G401*35%+H401*35%+I401*20%+J401*10%)*55%)</x:f>
      </x:c>
      <x:c r="P401" t="str">
        <x:f>IF(A401="","",(L401*35%+M401*35%+N401*20%+O401*10%)*25%)</x:f>
      </x:c>
      <x:c r="S401" t="str">
        <x:f>IF(R401="","",IF(R401="Mujer",10,IF(R401="Hombre",'11_Config'!$B$13,0)))</x:f>
      </x:c>
      <x:c r="T401" t="str">
        <x:f>IF(R401="Hombre","REVISAR REGLA OFICIAL","")</x:f>
      </x:c>
      <x:c r="V401" t="str">
        <x:f>IF(A401="","",(Q401*40%+S401*30%+U401*30%)*5%)</x:f>
      </x:c>
      <x:c r="W401" t="str">
        <x:f>IF(A401="","",F401+K401+P401+V401)</x:f>
      </x:c>
      <x:c r="X401" t="str">
        <x:f>IF(W401="","",IF(W401&gt;='11_Config'!$B$9,"Selección prioritaria",IF(W401&gt;='11_Config'!$B$10,"Elegible / reserva",IF(W401&gt;='11_Config'!$B$11,"Elegible condicionado","No recomendado"))))</x:f>
      </x:c>
    </x:row>
    <x:row r="402">
      <x:c r="F402" t="str">
        <x:f>IF(A402="","",(C402*40%+D402*30%+E402*30%)*15%)</x:f>
      </x:c>
      <x:c r="K402" t="str">
        <x:f>IF(A402="","",(G402*35%+H402*35%+I402*20%+J402*10%)*55%)</x:f>
      </x:c>
      <x:c r="P402" t="str">
        <x:f>IF(A402="","",(L402*35%+M402*35%+N402*20%+O402*10%)*25%)</x:f>
      </x:c>
      <x:c r="S402" t="str">
        <x:f>IF(R402="","",IF(R402="Mujer",10,IF(R402="Hombre",'11_Config'!$B$13,0)))</x:f>
      </x:c>
      <x:c r="T402" t="str">
        <x:f>IF(R402="Hombre","REVISAR REGLA OFICIAL","")</x:f>
      </x:c>
      <x:c r="V402" t="str">
        <x:f>IF(A402="","",(Q402*40%+S402*30%+U402*30%)*5%)</x:f>
      </x:c>
      <x:c r="W402" t="str">
        <x:f>IF(A402="","",F402+K402+P402+V402)</x:f>
      </x:c>
      <x:c r="X402" t="str">
        <x:f>IF(W402="","",IF(W402&gt;='11_Config'!$B$9,"Selección prioritaria",IF(W402&gt;='11_Config'!$B$10,"Elegible / reserva",IF(W402&gt;='11_Config'!$B$11,"Elegible condicionado","No recomendado"))))</x:f>
      </x:c>
    </x:row>
    <x:row r="403">
      <x:c r="F403" t="str">
        <x:f>IF(A403="","",(C403*40%+D403*30%+E403*30%)*15%)</x:f>
      </x:c>
      <x:c r="K403" t="str">
        <x:f>IF(A403="","",(G403*35%+H403*35%+I403*20%+J403*10%)*55%)</x:f>
      </x:c>
      <x:c r="P403" t="str">
        <x:f>IF(A403="","",(L403*35%+M403*35%+N403*20%+O403*10%)*25%)</x:f>
      </x:c>
      <x:c r="S403" t="str">
        <x:f>IF(R403="","",IF(R403="Mujer",10,IF(R403="Hombre",'11_Config'!$B$13,0)))</x:f>
      </x:c>
      <x:c r="T403" t="str">
        <x:f>IF(R403="Hombre","REVISAR REGLA OFICIAL","")</x:f>
      </x:c>
      <x:c r="V403" t="str">
        <x:f>IF(A403="","",(Q403*40%+S403*30%+U403*30%)*5%)</x:f>
      </x:c>
      <x:c r="W403" t="str">
        <x:f>IF(A403="","",F403+K403+P403+V403)</x:f>
      </x:c>
      <x:c r="X403" t="str">
        <x:f>IF(W403="","",IF(W403&gt;='11_Config'!$B$9,"Selección prioritaria",IF(W403&gt;='11_Config'!$B$10,"Elegible / reserva",IF(W403&gt;='11_Config'!$B$11,"Elegible condicionado","No recomendado"))))</x:f>
      </x:c>
    </x:row>
    <x:row r="404">
      <x:c r="F404" t="str">
        <x:f>IF(A404="","",(C404*40%+D404*30%+E404*30%)*15%)</x:f>
      </x:c>
      <x:c r="K404" t="str">
        <x:f>IF(A404="","",(G404*35%+H404*35%+I404*20%+J404*10%)*55%)</x:f>
      </x:c>
      <x:c r="P404" t="str">
        <x:f>IF(A404="","",(L404*35%+M404*35%+N404*20%+O404*10%)*25%)</x:f>
      </x:c>
      <x:c r="S404" t="str">
        <x:f>IF(R404="","",IF(R404="Mujer",10,IF(R404="Hombre",'11_Config'!$B$13,0)))</x:f>
      </x:c>
      <x:c r="T404" t="str">
        <x:f>IF(R404="Hombre","REVISAR REGLA OFICIAL","")</x:f>
      </x:c>
      <x:c r="V404" t="str">
        <x:f>IF(A404="","",(Q404*40%+S404*30%+U404*30%)*5%)</x:f>
      </x:c>
      <x:c r="W404" t="str">
        <x:f>IF(A404="","",F404+K404+P404+V404)</x:f>
      </x:c>
      <x:c r="X404" t="str">
        <x:f>IF(W404="","",IF(W404&gt;='11_Config'!$B$9,"Selección prioritaria",IF(W404&gt;='11_Config'!$B$10,"Elegible / reserva",IF(W404&gt;='11_Config'!$B$11,"Elegible condicionado","No recomendado"))))</x:f>
      </x:c>
    </x:row>
    <x:row r="405">
      <x:c r="F405" t="str">
        <x:f>IF(A405="","",(C405*40%+D405*30%+E405*30%)*15%)</x:f>
      </x:c>
      <x:c r="K405" t="str">
        <x:f>IF(A405="","",(G405*35%+H405*35%+I405*20%+J405*10%)*55%)</x:f>
      </x:c>
      <x:c r="P405" t="str">
        <x:f>IF(A405="","",(L405*35%+M405*35%+N405*20%+O405*10%)*25%)</x:f>
      </x:c>
      <x:c r="S405" t="str">
        <x:f>IF(R405="","",IF(R405="Mujer",10,IF(R405="Hombre",'11_Config'!$B$13,0)))</x:f>
      </x:c>
      <x:c r="T405" t="str">
        <x:f>IF(R405="Hombre","REVISAR REGLA OFICIAL","")</x:f>
      </x:c>
      <x:c r="V405" t="str">
        <x:f>IF(A405="","",(Q405*40%+S405*30%+U405*30%)*5%)</x:f>
      </x:c>
      <x:c r="W405" t="str">
        <x:f>IF(A405="","",F405+K405+P405+V405)</x:f>
      </x:c>
      <x:c r="X405" t="str">
        <x:f>IF(W405="","",IF(W405&gt;='11_Config'!$B$9,"Selección prioritaria",IF(W405&gt;='11_Config'!$B$10,"Elegible / reserva",IF(W405&gt;='11_Config'!$B$11,"Elegible condicionado","No recomendado"))))</x:f>
      </x:c>
    </x:row>
    <x:row r="406">
      <x:c r="F406" t="str">
        <x:f>IF(A406="","",(C406*40%+D406*30%+E406*30%)*15%)</x:f>
      </x:c>
      <x:c r="K406" t="str">
        <x:f>IF(A406="","",(G406*35%+H406*35%+I406*20%+J406*10%)*55%)</x:f>
      </x:c>
      <x:c r="P406" t="str">
        <x:f>IF(A406="","",(L406*35%+M406*35%+N406*20%+O406*10%)*25%)</x:f>
      </x:c>
      <x:c r="S406" t="str">
        <x:f>IF(R406="","",IF(R406="Mujer",10,IF(R406="Hombre",'11_Config'!$B$13,0)))</x:f>
      </x:c>
      <x:c r="T406" t="str">
        <x:f>IF(R406="Hombre","REVISAR REGLA OFICIAL","")</x:f>
      </x:c>
      <x:c r="V406" t="str">
        <x:f>IF(A406="","",(Q406*40%+S406*30%+U406*30%)*5%)</x:f>
      </x:c>
      <x:c r="W406" t="str">
        <x:f>IF(A406="","",F406+K406+P406+V406)</x:f>
      </x:c>
      <x:c r="X406" t="str">
        <x:f>IF(W406="","",IF(W406&gt;='11_Config'!$B$9,"Selección prioritaria",IF(W406&gt;='11_Config'!$B$10,"Elegible / reserva",IF(W406&gt;='11_Config'!$B$11,"Elegible condicionado","No recomendado"))))</x:f>
      </x:c>
    </x:row>
    <x:row r="407">
      <x:c r="F407" t="str">
        <x:f>IF(A407="","",(C407*40%+D407*30%+E407*30%)*15%)</x:f>
      </x:c>
      <x:c r="K407" t="str">
        <x:f>IF(A407="","",(G407*35%+H407*35%+I407*20%+J407*10%)*55%)</x:f>
      </x:c>
      <x:c r="P407" t="str">
        <x:f>IF(A407="","",(L407*35%+M407*35%+N407*20%+O407*10%)*25%)</x:f>
      </x:c>
      <x:c r="S407" t="str">
        <x:f>IF(R407="","",IF(R407="Mujer",10,IF(R407="Hombre",'11_Config'!$B$13,0)))</x:f>
      </x:c>
      <x:c r="T407" t="str">
        <x:f>IF(R407="Hombre","REVISAR REGLA OFICIAL","")</x:f>
      </x:c>
      <x:c r="V407" t="str">
        <x:f>IF(A407="","",(Q407*40%+S407*30%+U407*30%)*5%)</x:f>
      </x:c>
      <x:c r="W407" t="str">
        <x:f>IF(A407="","",F407+K407+P407+V407)</x:f>
      </x:c>
      <x:c r="X407" t="str">
        <x:f>IF(W407="","",IF(W407&gt;='11_Config'!$B$9,"Selección prioritaria",IF(W407&gt;='11_Config'!$B$10,"Elegible / reserva",IF(W407&gt;='11_Config'!$B$11,"Elegible condicionado","No recomendado"))))</x:f>
      </x:c>
    </x:row>
    <x:row r="408">
      <x:c r="F408" t="str">
        <x:f>IF(A408="","",(C408*40%+D408*30%+E408*30%)*15%)</x:f>
      </x:c>
      <x:c r="K408" t="str">
        <x:f>IF(A408="","",(G408*35%+H408*35%+I408*20%+J408*10%)*55%)</x:f>
      </x:c>
      <x:c r="P408" t="str">
        <x:f>IF(A408="","",(L408*35%+M408*35%+N408*20%+O408*10%)*25%)</x:f>
      </x:c>
      <x:c r="S408" t="str">
        <x:f>IF(R408="","",IF(R408="Mujer",10,IF(R408="Hombre",'11_Config'!$B$13,0)))</x:f>
      </x:c>
      <x:c r="T408" t="str">
        <x:f>IF(R408="Hombre","REVISAR REGLA OFICIAL","")</x:f>
      </x:c>
      <x:c r="V408" t="str">
        <x:f>IF(A408="","",(Q408*40%+S408*30%+U408*30%)*5%)</x:f>
      </x:c>
      <x:c r="W408" t="str">
        <x:f>IF(A408="","",F408+K408+P408+V408)</x:f>
      </x:c>
      <x:c r="X408" t="str">
        <x:f>IF(W408="","",IF(W408&gt;='11_Config'!$B$9,"Selección prioritaria",IF(W408&gt;='11_Config'!$B$10,"Elegible / reserva",IF(W408&gt;='11_Config'!$B$11,"Elegible condicionado","No recomendado"))))</x:f>
      </x:c>
    </x:row>
    <x:row r="409">
      <x:c r="F409" t="str">
        <x:f>IF(A409="","",(C409*40%+D409*30%+E409*30%)*15%)</x:f>
      </x:c>
      <x:c r="K409" t="str">
        <x:f>IF(A409="","",(G409*35%+H409*35%+I409*20%+J409*10%)*55%)</x:f>
      </x:c>
      <x:c r="P409" t="str">
        <x:f>IF(A409="","",(L409*35%+M409*35%+N409*20%+O409*10%)*25%)</x:f>
      </x:c>
      <x:c r="S409" t="str">
        <x:f>IF(R409="","",IF(R409="Mujer",10,IF(R409="Hombre",'11_Config'!$B$13,0)))</x:f>
      </x:c>
      <x:c r="T409" t="str">
        <x:f>IF(R409="Hombre","REVISAR REGLA OFICIAL","")</x:f>
      </x:c>
      <x:c r="V409" t="str">
        <x:f>IF(A409="","",(Q409*40%+S409*30%+U409*30%)*5%)</x:f>
      </x:c>
      <x:c r="W409" t="str">
        <x:f>IF(A409="","",F409+K409+P409+V409)</x:f>
      </x:c>
      <x:c r="X409" t="str">
        <x:f>IF(W409="","",IF(W409&gt;='11_Config'!$B$9,"Selección prioritaria",IF(W409&gt;='11_Config'!$B$10,"Elegible / reserva",IF(W409&gt;='11_Config'!$B$11,"Elegible condicionado","No recomendado"))))</x:f>
      </x:c>
    </x:row>
    <x:row r="410">
      <x:c r="F410" t="str">
        <x:f>IF(A410="","",(C410*40%+D410*30%+E410*30%)*15%)</x:f>
      </x:c>
      <x:c r="K410" t="str">
        <x:f>IF(A410="","",(G410*35%+H410*35%+I410*20%+J410*10%)*55%)</x:f>
      </x:c>
      <x:c r="P410" t="str">
        <x:f>IF(A410="","",(L410*35%+M410*35%+N410*20%+O410*10%)*25%)</x:f>
      </x:c>
      <x:c r="S410" t="str">
        <x:f>IF(R410="","",IF(R410="Mujer",10,IF(R410="Hombre",'11_Config'!$B$13,0)))</x:f>
      </x:c>
      <x:c r="T410" t="str">
        <x:f>IF(R410="Hombre","REVISAR REGLA OFICIAL","")</x:f>
      </x:c>
      <x:c r="V410" t="str">
        <x:f>IF(A410="","",(Q410*40%+S410*30%+U410*30%)*5%)</x:f>
      </x:c>
      <x:c r="W410" t="str">
        <x:f>IF(A410="","",F410+K410+P410+V410)</x:f>
      </x:c>
      <x:c r="X410" t="str">
        <x:f>IF(W410="","",IF(W410&gt;='11_Config'!$B$9,"Selección prioritaria",IF(W410&gt;='11_Config'!$B$10,"Elegible / reserva",IF(W410&gt;='11_Config'!$B$11,"Elegible condicionado","No recomendado"))))</x:f>
      </x:c>
    </x:row>
    <x:row r="411">
      <x:c r="F411" t="str">
        <x:f>IF(A411="","",(C411*40%+D411*30%+E411*30%)*15%)</x:f>
      </x:c>
      <x:c r="K411" t="str">
        <x:f>IF(A411="","",(G411*35%+H411*35%+I411*20%+J411*10%)*55%)</x:f>
      </x:c>
      <x:c r="P411" t="str">
        <x:f>IF(A411="","",(L411*35%+M411*35%+N411*20%+O411*10%)*25%)</x:f>
      </x:c>
      <x:c r="S411" t="str">
        <x:f>IF(R411="","",IF(R411="Mujer",10,IF(R411="Hombre",'11_Config'!$B$13,0)))</x:f>
      </x:c>
      <x:c r="T411" t="str">
        <x:f>IF(R411="Hombre","REVISAR REGLA OFICIAL","")</x:f>
      </x:c>
      <x:c r="V411" t="str">
        <x:f>IF(A411="","",(Q411*40%+S411*30%+U411*30%)*5%)</x:f>
      </x:c>
      <x:c r="W411" t="str">
        <x:f>IF(A411="","",F411+K411+P411+V411)</x:f>
      </x:c>
      <x:c r="X411" t="str">
        <x:f>IF(W411="","",IF(W411&gt;='11_Config'!$B$9,"Selección prioritaria",IF(W411&gt;='11_Config'!$B$10,"Elegible / reserva",IF(W411&gt;='11_Config'!$B$11,"Elegible condicionado","No recomendado"))))</x:f>
      </x:c>
    </x:row>
    <x:row r="412">
      <x:c r="F412" t="str">
        <x:f>IF(A412="","",(C412*40%+D412*30%+E412*30%)*15%)</x:f>
      </x:c>
      <x:c r="K412" t="str">
        <x:f>IF(A412="","",(G412*35%+H412*35%+I412*20%+J412*10%)*55%)</x:f>
      </x:c>
      <x:c r="P412" t="str">
        <x:f>IF(A412="","",(L412*35%+M412*35%+N412*20%+O412*10%)*25%)</x:f>
      </x:c>
      <x:c r="S412" t="str">
        <x:f>IF(R412="","",IF(R412="Mujer",10,IF(R412="Hombre",'11_Config'!$B$13,0)))</x:f>
      </x:c>
      <x:c r="T412" t="str">
        <x:f>IF(R412="Hombre","REVISAR REGLA OFICIAL","")</x:f>
      </x:c>
      <x:c r="V412" t="str">
        <x:f>IF(A412="","",(Q412*40%+S412*30%+U412*30%)*5%)</x:f>
      </x:c>
      <x:c r="W412" t="str">
        <x:f>IF(A412="","",F412+K412+P412+V412)</x:f>
      </x:c>
      <x:c r="X412" t="str">
        <x:f>IF(W412="","",IF(W412&gt;='11_Config'!$B$9,"Selección prioritaria",IF(W412&gt;='11_Config'!$B$10,"Elegible / reserva",IF(W412&gt;='11_Config'!$B$11,"Elegible condicionado","No recomendado"))))</x:f>
      </x:c>
    </x:row>
    <x:row r="413">
      <x:c r="F413" t="str">
        <x:f>IF(A413="","",(C413*40%+D413*30%+E413*30%)*15%)</x:f>
      </x:c>
      <x:c r="K413" t="str">
        <x:f>IF(A413="","",(G413*35%+H413*35%+I413*20%+J413*10%)*55%)</x:f>
      </x:c>
      <x:c r="P413" t="str">
        <x:f>IF(A413="","",(L413*35%+M413*35%+N413*20%+O413*10%)*25%)</x:f>
      </x:c>
      <x:c r="S413" t="str">
        <x:f>IF(R413="","",IF(R413="Mujer",10,IF(R413="Hombre",'11_Config'!$B$13,0)))</x:f>
      </x:c>
      <x:c r="T413" t="str">
        <x:f>IF(R413="Hombre","REVISAR REGLA OFICIAL","")</x:f>
      </x:c>
      <x:c r="V413" t="str">
        <x:f>IF(A413="","",(Q413*40%+S413*30%+U413*30%)*5%)</x:f>
      </x:c>
      <x:c r="W413" t="str">
        <x:f>IF(A413="","",F413+K413+P413+V413)</x:f>
      </x:c>
      <x:c r="X413" t="str">
        <x:f>IF(W413="","",IF(W413&gt;='11_Config'!$B$9,"Selección prioritaria",IF(W413&gt;='11_Config'!$B$10,"Elegible / reserva",IF(W413&gt;='11_Config'!$B$11,"Elegible condicionado","No recomendado"))))</x:f>
      </x:c>
    </x:row>
    <x:row r="414">
      <x:c r="F414" t="str">
        <x:f>IF(A414="","",(C414*40%+D414*30%+E414*30%)*15%)</x:f>
      </x:c>
      <x:c r="K414" t="str">
        <x:f>IF(A414="","",(G414*35%+H414*35%+I414*20%+J414*10%)*55%)</x:f>
      </x:c>
      <x:c r="P414" t="str">
        <x:f>IF(A414="","",(L414*35%+M414*35%+N414*20%+O414*10%)*25%)</x:f>
      </x:c>
      <x:c r="S414" t="str">
        <x:f>IF(R414="","",IF(R414="Mujer",10,IF(R414="Hombre",'11_Config'!$B$13,0)))</x:f>
      </x:c>
      <x:c r="T414" t="str">
        <x:f>IF(R414="Hombre","REVISAR REGLA OFICIAL","")</x:f>
      </x:c>
      <x:c r="V414" t="str">
        <x:f>IF(A414="","",(Q414*40%+S414*30%+U414*30%)*5%)</x:f>
      </x:c>
      <x:c r="W414" t="str">
        <x:f>IF(A414="","",F414+K414+P414+V414)</x:f>
      </x:c>
      <x:c r="X414" t="str">
        <x:f>IF(W414="","",IF(W414&gt;='11_Config'!$B$9,"Selección prioritaria",IF(W414&gt;='11_Config'!$B$10,"Elegible / reserva",IF(W414&gt;='11_Config'!$B$11,"Elegible condicionado","No recomendado"))))</x:f>
      </x:c>
    </x:row>
    <x:row r="415">
      <x:c r="F415" t="str">
        <x:f>IF(A415="","",(C415*40%+D415*30%+E415*30%)*15%)</x:f>
      </x:c>
      <x:c r="K415" t="str">
        <x:f>IF(A415="","",(G415*35%+H415*35%+I415*20%+J415*10%)*55%)</x:f>
      </x:c>
      <x:c r="P415" t="str">
        <x:f>IF(A415="","",(L415*35%+M415*35%+N415*20%+O415*10%)*25%)</x:f>
      </x:c>
      <x:c r="S415" t="str">
        <x:f>IF(R415="","",IF(R415="Mujer",10,IF(R415="Hombre",'11_Config'!$B$13,0)))</x:f>
      </x:c>
      <x:c r="T415" t="str">
        <x:f>IF(R415="Hombre","REVISAR REGLA OFICIAL","")</x:f>
      </x:c>
      <x:c r="V415" t="str">
        <x:f>IF(A415="","",(Q415*40%+S415*30%+U415*30%)*5%)</x:f>
      </x:c>
      <x:c r="W415" t="str">
        <x:f>IF(A415="","",F415+K415+P415+V415)</x:f>
      </x:c>
      <x:c r="X415" t="str">
        <x:f>IF(W415="","",IF(W415&gt;='11_Config'!$B$9,"Selección prioritaria",IF(W415&gt;='11_Config'!$B$10,"Elegible / reserva",IF(W415&gt;='11_Config'!$B$11,"Elegible condicionado","No recomendado"))))</x:f>
      </x:c>
    </x:row>
    <x:row r="416">
      <x:c r="F416" t="str">
        <x:f>IF(A416="","",(C416*40%+D416*30%+E416*30%)*15%)</x:f>
      </x:c>
      <x:c r="K416" t="str">
        <x:f>IF(A416="","",(G416*35%+H416*35%+I416*20%+J416*10%)*55%)</x:f>
      </x:c>
      <x:c r="P416" t="str">
        <x:f>IF(A416="","",(L416*35%+M416*35%+N416*20%+O416*10%)*25%)</x:f>
      </x:c>
      <x:c r="S416" t="str">
        <x:f>IF(R416="","",IF(R416="Mujer",10,IF(R416="Hombre",'11_Config'!$B$13,0)))</x:f>
      </x:c>
      <x:c r="T416" t="str">
        <x:f>IF(R416="Hombre","REVISAR REGLA OFICIAL","")</x:f>
      </x:c>
      <x:c r="V416" t="str">
        <x:f>IF(A416="","",(Q416*40%+S416*30%+U416*30%)*5%)</x:f>
      </x:c>
      <x:c r="W416" t="str">
        <x:f>IF(A416="","",F416+K416+P416+V416)</x:f>
      </x:c>
      <x:c r="X416" t="str">
        <x:f>IF(W416="","",IF(W416&gt;='11_Config'!$B$9,"Selección prioritaria",IF(W416&gt;='11_Config'!$B$10,"Elegible / reserva",IF(W416&gt;='11_Config'!$B$11,"Elegible condicionado","No recomendado"))))</x:f>
      </x:c>
    </x:row>
    <x:row r="417">
      <x:c r="F417" t="str">
        <x:f>IF(A417="","",(C417*40%+D417*30%+E417*30%)*15%)</x:f>
      </x:c>
      <x:c r="K417" t="str">
        <x:f>IF(A417="","",(G417*35%+H417*35%+I417*20%+J417*10%)*55%)</x:f>
      </x:c>
      <x:c r="P417" t="str">
        <x:f>IF(A417="","",(L417*35%+M417*35%+N417*20%+O417*10%)*25%)</x:f>
      </x:c>
      <x:c r="S417" t="str">
        <x:f>IF(R417="","",IF(R417="Mujer",10,IF(R417="Hombre",'11_Config'!$B$13,0)))</x:f>
      </x:c>
      <x:c r="T417" t="str">
        <x:f>IF(R417="Hombre","REVISAR REGLA OFICIAL","")</x:f>
      </x:c>
      <x:c r="V417" t="str">
        <x:f>IF(A417="","",(Q417*40%+S417*30%+U417*30%)*5%)</x:f>
      </x:c>
      <x:c r="W417" t="str">
        <x:f>IF(A417="","",F417+K417+P417+V417)</x:f>
      </x:c>
      <x:c r="X417" t="str">
        <x:f>IF(W417="","",IF(W417&gt;='11_Config'!$B$9,"Selección prioritaria",IF(W417&gt;='11_Config'!$B$10,"Elegible / reserva",IF(W417&gt;='11_Config'!$B$11,"Elegible condicionado","No recomendado"))))</x:f>
      </x:c>
    </x:row>
    <x:row r="418">
      <x:c r="F418" t="str">
        <x:f>IF(A418="","",(C418*40%+D418*30%+E418*30%)*15%)</x:f>
      </x:c>
      <x:c r="K418" t="str">
        <x:f>IF(A418="","",(G418*35%+H418*35%+I418*20%+J418*10%)*55%)</x:f>
      </x:c>
      <x:c r="P418" t="str">
        <x:f>IF(A418="","",(L418*35%+M418*35%+N418*20%+O418*10%)*25%)</x:f>
      </x:c>
      <x:c r="S418" t="str">
        <x:f>IF(R418="","",IF(R418="Mujer",10,IF(R418="Hombre",'11_Config'!$B$13,0)))</x:f>
      </x:c>
      <x:c r="T418" t="str">
        <x:f>IF(R418="Hombre","REVISAR REGLA OFICIAL","")</x:f>
      </x:c>
      <x:c r="V418" t="str">
        <x:f>IF(A418="","",(Q418*40%+S418*30%+U418*30%)*5%)</x:f>
      </x:c>
      <x:c r="W418" t="str">
        <x:f>IF(A418="","",F418+K418+P418+V418)</x:f>
      </x:c>
      <x:c r="X418" t="str">
        <x:f>IF(W418="","",IF(W418&gt;='11_Config'!$B$9,"Selección prioritaria",IF(W418&gt;='11_Config'!$B$10,"Elegible / reserva",IF(W418&gt;='11_Config'!$B$11,"Elegible condicionado","No recomendado"))))</x:f>
      </x:c>
    </x:row>
    <x:row r="419">
      <x:c r="F419" t="str">
        <x:f>IF(A419="","",(C419*40%+D419*30%+E419*30%)*15%)</x:f>
      </x:c>
      <x:c r="K419" t="str">
        <x:f>IF(A419="","",(G419*35%+H419*35%+I419*20%+J419*10%)*55%)</x:f>
      </x:c>
      <x:c r="P419" t="str">
        <x:f>IF(A419="","",(L419*35%+M419*35%+N419*20%+O419*10%)*25%)</x:f>
      </x:c>
      <x:c r="S419" t="str">
        <x:f>IF(R419="","",IF(R419="Mujer",10,IF(R419="Hombre",'11_Config'!$B$13,0)))</x:f>
      </x:c>
      <x:c r="T419" t="str">
        <x:f>IF(R419="Hombre","REVISAR REGLA OFICIAL","")</x:f>
      </x:c>
      <x:c r="V419" t="str">
        <x:f>IF(A419="","",(Q419*40%+S419*30%+U419*30%)*5%)</x:f>
      </x:c>
      <x:c r="W419" t="str">
        <x:f>IF(A419="","",F419+K419+P419+V419)</x:f>
      </x:c>
      <x:c r="X419" t="str">
        <x:f>IF(W419="","",IF(W419&gt;='11_Config'!$B$9,"Selección prioritaria",IF(W419&gt;='11_Config'!$B$10,"Elegible / reserva",IF(W419&gt;='11_Config'!$B$11,"Elegible condicionado","No recomendado"))))</x:f>
      </x:c>
    </x:row>
    <x:row r="420">
      <x:c r="F420" t="str">
        <x:f>IF(A420="","",(C420*40%+D420*30%+E420*30%)*15%)</x:f>
      </x:c>
      <x:c r="K420" t="str">
        <x:f>IF(A420="","",(G420*35%+H420*35%+I420*20%+J420*10%)*55%)</x:f>
      </x:c>
      <x:c r="P420" t="str">
        <x:f>IF(A420="","",(L420*35%+M420*35%+N420*20%+O420*10%)*25%)</x:f>
      </x:c>
      <x:c r="S420" t="str">
        <x:f>IF(R420="","",IF(R420="Mujer",10,IF(R420="Hombre",'11_Config'!$B$13,0)))</x:f>
      </x:c>
      <x:c r="T420" t="str">
        <x:f>IF(R420="Hombre","REVISAR REGLA OFICIAL","")</x:f>
      </x:c>
      <x:c r="V420" t="str">
        <x:f>IF(A420="","",(Q420*40%+S420*30%+U420*30%)*5%)</x:f>
      </x:c>
      <x:c r="W420" t="str">
        <x:f>IF(A420="","",F420+K420+P420+V420)</x:f>
      </x:c>
      <x:c r="X420" t="str">
        <x:f>IF(W420="","",IF(W420&gt;='11_Config'!$B$9,"Selección prioritaria",IF(W420&gt;='11_Config'!$B$10,"Elegible / reserva",IF(W420&gt;='11_Config'!$B$11,"Elegible condicionado","No recomendado"))))</x:f>
      </x:c>
    </x:row>
    <x:row r="421">
      <x:c r="F421" t="str">
        <x:f>IF(A421="","",(C421*40%+D421*30%+E421*30%)*15%)</x:f>
      </x:c>
      <x:c r="K421" t="str">
        <x:f>IF(A421="","",(G421*35%+H421*35%+I421*20%+J421*10%)*55%)</x:f>
      </x:c>
      <x:c r="P421" t="str">
        <x:f>IF(A421="","",(L421*35%+M421*35%+N421*20%+O421*10%)*25%)</x:f>
      </x:c>
      <x:c r="S421" t="str">
        <x:f>IF(R421="","",IF(R421="Mujer",10,IF(R421="Hombre",'11_Config'!$B$13,0)))</x:f>
      </x:c>
      <x:c r="T421" t="str">
        <x:f>IF(R421="Hombre","REVISAR REGLA OFICIAL","")</x:f>
      </x:c>
      <x:c r="V421" t="str">
        <x:f>IF(A421="","",(Q421*40%+S421*30%+U421*30%)*5%)</x:f>
      </x:c>
      <x:c r="W421" t="str">
        <x:f>IF(A421="","",F421+K421+P421+V421)</x:f>
      </x:c>
      <x:c r="X421" t="str">
        <x:f>IF(W421="","",IF(W421&gt;='11_Config'!$B$9,"Selección prioritaria",IF(W421&gt;='11_Config'!$B$10,"Elegible / reserva",IF(W421&gt;='11_Config'!$B$11,"Elegible condicionado","No recomendado"))))</x:f>
      </x:c>
    </x:row>
    <x:row r="422">
      <x:c r="F422" t="str">
        <x:f>IF(A422="","",(C422*40%+D422*30%+E422*30%)*15%)</x:f>
      </x:c>
      <x:c r="K422" t="str">
        <x:f>IF(A422="","",(G422*35%+H422*35%+I422*20%+J422*10%)*55%)</x:f>
      </x:c>
      <x:c r="P422" t="str">
        <x:f>IF(A422="","",(L422*35%+M422*35%+N422*20%+O422*10%)*25%)</x:f>
      </x:c>
      <x:c r="S422" t="str">
        <x:f>IF(R422="","",IF(R422="Mujer",10,IF(R422="Hombre",'11_Config'!$B$13,0)))</x:f>
      </x:c>
      <x:c r="T422" t="str">
        <x:f>IF(R422="Hombre","REVISAR REGLA OFICIAL","")</x:f>
      </x:c>
      <x:c r="V422" t="str">
        <x:f>IF(A422="","",(Q422*40%+S422*30%+U422*30%)*5%)</x:f>
      </x:c>
      <x:c r="W422" t="str">
        <x:f>IF(A422="","",F422+K422+P422+V422)</x:f>
      </x:c>
      <x:c r="X422" t="str">
        <x:f>IF(W422="","",IF(W422&gt;='11_Config'!$B$9,"Selección prioritaria",IF(W422&gt;='11_Config'!$B$10,"Elegible / reserva",IF(W422&gt;='11_Config'!$B$11,"Elegible condicionado","No recomendado"))))</x:f>
      </x:c>
    </x:row>
    <x:row r="423">
      <x:c r="F423" t="str">
        <x:f>IF(A423="","",(C423*40%+D423*30%+E423*30%)*15%)</x:f>
      </x:c>
      <x:c r="K423" t="str">
        <x:f>IF(A423="","",(G423*35%+H423*35%+I423*20%+J423*10%)*55%)</x:f>
      </x:c>
      <x:c r="P423" t="str">
        <x:f>IF(A423="","",(L423*35%+M423*35%+N423*20%+O423*10%)*25%)</x:f>
      </x:c>
      <x:c r="S423" t="str">
        <x:f>IF(R423="","",IF(R423="Mujer",10,IF(R423="Hombre",'11_Config'!$B$13,0)))</x:f>
      </x:c>
      <x:c r="T423" t="str">
        <x:f>IF(R423="Hombre","REVISAR REGLA OFICIAL","")</x:f>
      </x:c>
      <x:c r="V423" t="str">
        <x:f>IF(A423="","",(Q423*40%+S423*30%+U423*30%)*5%)</x:f>
      </x:c>
      <x:c r="W423" t="str">
        <x:f>IF(A423="","",F423+K423+P423+V423)</x:f>
      </x:c>
      <x:c r="X423" t="str">
        <x:f>IF(W423="","",IF(W423&gt;='11_Config'!$B$9,"Selección prioritaria",IF(W423&gt;='11_Config'!$B$10,"Elegible / reserva",IF(W423&gt;='11_Config'!$B$11,"Elegible condicionado","No recomendado"))))</x:f>
      </x:c>
    </x:row>
    <x:row r="424">
      <x:c r="F424" t="str">
        <x:f>IF(A424="","",(C424*40%+D424*30%+E424*30%)*15%)</x:f>
      </x:c>
      <x:c r="K424" t="str">
        <x:f>IF(A424="","",(G424*35%+H424*35%+I424*20%+J424*10%)*55%)</x:f>
      </x:c>
      <x:c r="P424" t="str">
        <x:f>IF(A424="","",(L424*35%+M424*35%+N424*20%+O424*10%)*25%)</x:f>
      </x:c>
      <x:c r="S424" t="str">
        <x:f>IF(R424="","",IF(R424="Mujer",10,IF(R424="Hombre",'11_Config'!$B$13,0)))</x:f>
      </x:c>
      <x:c r="T424" t="str">
        <x:f>IF(R424="Hombre","REVISAR REGLA OFICIAL","")</x:f>
      </x:c>
      <x:c r="V424" t="str">
        <x:f>IF(A424="","",(Q424*40%+S424*30%+U424*30%)*5%)</x:f>
      </x:c>
      <x:c r="W424" t="str">
        <x:f>IF(A424="","",F424+K424+P424+V424)</x:f>
      </x:c>
      <x:c r="X424" t="str">
        <x:f>IF(W424="","",IF(W424&gt;='11_Config'!$B$9,"Selección prioritaria",IF(W424&gt;='11_Config'!$B$10,"Elegible / reserva",IF(W424&gt;='11_Config'!$B$11,"Elegible condicionado","No recomendado"))))</x:f>
      </x:c>
    </x:row>
    <x:row r="425">
      <x:c r="F425" t="str">
        <x:f>IF(A425="","",(C425*40%+D425*30%+E425*30%)*15%)</x:f>
      </x:c>
      <x:c r="K425" t="str">
        <x:f>IF(A425="","",(G425*35%+H425*35%+I425*20%+J425*10%)*55%)</x:f>
      </x:c>
      <x:c r="P425" t="str">
        <x:f>IF(A425="","",(L425*35%+M425*35%+N425*20%+O425*10%)*25%)</x:f>
      </x:c>
      <x:c r="S425" t="str">
        <x:f>IF(R425="","",IF(R425="Mujer",10,IF(R425="Hombre",'11_Config'!$B$13,0)))</x:f>
      </x:c>
      <x:c r="T425" t="str">
        <x:f>IF(R425="Hombre","REVISAR REGLA OFICIAL","")</x:f>
      </x:c>
      <x:c r="V425" t="str">
        <x:f>IF(A425="","",(Q425*40%+S425*30%+U425*30%)*5%)</x:f>
      </x:c>
      <x:c r="W425" t="str">
        <x:f>IF(A425="","",F425+K425+P425+V425)</x:f>
      </x:c>
      <x:c r="X425" t="str">
        <x:f>IF(W425="","",IF(W425&gt;='11_Config'!$B$9,"Selección prioritaria",IF(W425&gt;='11_Config'!$B$10,"Elegible / reserva",IF(W425&gt;='11_Config'!$B$11,"Elegible condicionado","No recomendado"))))</x:f>
      </x:c>
    </x:row>
    <x:row r="426">
      <x:c r="F426" t="str">
        <x:f>IF(A426="","",(C426*40%+D426*30%+E426*30%)*15%)</x:f>
      </x:c>
      <x:c r="K426" t="str">
        <x:f>IF(A426="","",(G426*35%+H426*35%+I426*20%+J426*10%)*55%)</x:f>
      </x:c>
      <x:c r="P426" t="str">
        <x:f>IF(A426="","",(L426*35%+M426*35%+N426*20%+O426*10%)*25%)</x:f>
      </x:c>
      <x:c r="S426" t="str">
        <x:f>IF(R426="","",IF(R426="Mujer",10,IF(R426="Hombre",'11_Config'!$B$13,0)))</x:f>
      </x:c>
      <x:c r="T426" t="str">
        <x:f>IF(R426="Hombre","REVISAR REGLA OFICIAL","")</x:f>
      </x:c>
      <x:c r="V426" t="str">
        <x:f>IF(A426="","",(Q426*40%+S426*30%+U426*30%)*5%)</x:f>
      </x:c>
      <x:c r="W426" t="str">
        <x:f>IF(A426="","",F426+K426+P426+V426)</x:f>
      </x:c>
      <x:c r="X426" t="str">
        <x:f>IF(W426="","",IF(W426&gt;='11_Config'!$B$9,"Selección prioritaria",IF(W426&gt;='11_Config'!$B$10,"Elegible / reserva",IF(W426&gt;='11_Config'!$B$11,"Elegible condicionado","No recomendado"))))</x:f>
      </x:c>
    </x:row>
    <x:row r="427">
      <x:c r="F427" t="str">
        <x:f>IF(A427="","",(C427*40%+D427*30%+E427*30%)*15%)</x:f>
      </x:c>
      <x:c r="K427" t="str">
        <x:f>IF(A427="","",(G427*35%+H427*35%+I427*20%+J427*10%)*55%)</x:f>
      </x:c>
      <x:c r="P427" t="str">
        <x:f>IF(A427="","",(L427*35%+M427*35%+N427*20%+O427*10%)*25%)</x:f>
      </x:c>
      <x:c r="S427" t="str">
        <x:f>IF(R427="","",IF(R427="Mujer",10,IF(R427="Hombre",'11_Config'!$B$13,0)))</x:f>
      </x:c>
      <x:c r="T427" t="str">
        <x:f>IF(R427="Hombre","REVISAR REGLA OFICIAL","")</x:f>
      </x:c>
      <x:c r="V427" t="str">
        <x:f>IF(A427="","",(Q427*40%+S427*30%+U427*30%)*5%)</x:f>
      </x:c>
      <x:c r="W427" t="str">
        <x:f>IF(A427="","",F427+K427+P427+V427)</x:f>
      </x:c>
      <x:c r="X427" t="str">
        <x:f>IF(W427="","",IF(W427&gt;='11_Config'!$B$9,"Selección prioritaria",IF(W427&gt;='11_Config'!$B$10,"Elegible / reserva",IF(W427&gt;='11_Config'!$B$11,"Elegible condicionado","No recomendado"))))</x:f>
      </x:c>
    </x:row>
    <x:row r="428">
      <x:c r="F428" t="str">
        <x:f>IF(A428="","",(C428*40%+D428*30%+E428*30%)*15%)</x:f>
      </x:c>
      <x:c r="K428" t="str">
        <x:f>IF(A428="","",(G428*35%+H428*35%+I428*20%+J428*10%)*55%)</x:f>
      </x:c>
      <x:c r="P428" t="str">
        <x:f>IF(A428="","",(L428*35%+M428*35%+N428*20%+O428*10%)*25%)</x:f>
      </x:c>
      <x:c r="S428" t="str">
        <x:f>IF(R428="","",IF(R428="Mujer",10,IF(R428="Hombre",'11_Config'!$B$13,0)))</x:f>
      </x:c>
      <x:c r="T428" t="str">
        <x:f>IF(R428="Hombre","REVISAR REGLA OFICIAL","")</x:f>
      </x:c>
      <x:c r="V428" t="str">
        <x:f>IF(A428="","",(Q428*40%+S428*30%+U428*30%)*5%)</x:f>
      </x:c>
      <x:c r="W428" t="str">
        <x:f>IF(A428="","",F428+K428+P428+V428)</x:f>
      </x:c>
      <x:c r="X428" t="str">
        <x:f>IF(W428="","",IF(W428&gt;='11_Config'!$B$9,"Selección prioritaria",IF(W428&gt;='11_Config'!$B$10,"Elegible / reserva",IF(W428&gt;='11_Config'!$B$11,"Elegible condicionado","No recomendado"))))</x:f>
      </x:c>
    </x:row>
    <x:row r="429">
      <x:c r="F429" t="str">
        <x:f>IF(A429="","",(C429*40%+D429*30%+E429*30%)*15%)</x:f>
      </x:c>
      <x:c r="K429" t="str">
        <x:f>IF(A429="","",(G429*35%+H429*35%+I429*20%+J429*10%)*55%)</x:f>
      </x:c>
      <x:c r="P429" t="str">
        <x:f>IF(A429="","",(L429*35%+M429*35%+N429*20%+O429*10%)*25%)</x:f>
      </x:c>
      <x:c r="S429" t="str">
        <x:f>IF(R429="","",IF(R429="Mujer",10,IF(R429="Hombre",'11_Config'!$B$13,0)))</x:f>
      </x:c>
      <x:c r="T429" t="str">
        <x:f>IF(R429="Hombre","REVISAR REGLA OFICIAL","")</x:f>
      </x:c>
      <x:c r="V429" t="str">
        <x:f>IF(A429="","",(Q429*40%+S429*30%+U429*30%)*5%)</x:f>
      </x:c>
      <x:c r="W429" t="str">
        <x:f>IF(A429="","",F429+K429+P429+V429)</x:f>
      </x:c>
      <x:c r="X429" t="str">
        <x:f>IF(W429="","",IF(W429&gt;='11_Config'!$B$9,"Selección prioritaria",IF(W429&gt;='11_Config'!$B$10,"Elegible / reserva",IF(W429&gt;='11_Config'!$B$11,"Elegible condicionado","No recomendado"))))</x:f>
      </x:c>
    </x:row>
    <x:row r="430">
      <x:c r="F430" t="str">
        <x:f>IF(A430="","",(C430*40%+D430*30%+E430*30%)*15%)</x:f>
      </x:c>
      <x:c r="K430" t="str">
        <x:f>IF(A430="","",(G430*35%+H430*35%+I430*20%+J430*10%)*55%)</x:f>
      </x:c>
      <x:c r="P430" t="str">
        <x:f>IF(A430="","",(L430*35%+M430*35%+N430*20%+O430*10%)*25%)</x:f>
      </x:c>
      <x:c r="S430" t="str">
        <x:f>IF(R430="","",IF(R430="Mujer",10,IF(R430="Hombre",'11_Config'!$B$13,0)))</x:f>
      </x:c>
      <x:c r="T430" t="str">
        <x:f>IF(R430="Hombre","REVISAR REGLA OFICIAL","")</x:f>
      </x:c>
      <x:c r="V430" t="str">
        <x:f>IF(A430="","",(Q430*40%+S430*30%+U430*30%)*5%)</x:f>
      </x:c>
      <x:c r="W430" t="str">
        <x:f>IF(A430="","",F430+K430+P430+V430)</x:f>
      </x:c>
      <x:c r="X430" t="str">
        <x:f>IF(W430="","",IF(W430&gt;='11_Config'!$B$9,"Selección prioritaria",IF(W430&gt;='11_Config'!$B$10,"Elegible / reserva",IF(W430&gt;='11_Config'!$B$11,"Elegible condicionado","No recomendado"))))</x:f>
      </x:c>
    </x:row>
    <x:row r="431">
      <x:c r="F431" t="str">
        <x:f>IF(A431="","",(C431*40%+D431*30%+E431*30%)*15%)</x:f>
      </x:c>
      <x:c r="K431" t="str">
        <x:f>IF(A431="","",(G431*35%+H431*35%+I431*20%+J431*10%)*55%)</x:f>
      </x:c>
      <x:c r="P431" t="str">
        <x:f>IF(A431="","",(L431*35%+M431*35%+N431*20%+O431*10%)*25%)</x:f>
      </x:c>
      <x:c r="S431" t="str">
        <x:f>IF(R431="","",IF(R431="Mujer",10,IF(R431="Hombre",'11_Config'!$B$13,0)))</x:f>
      </x:c>
      <x:c r="T431" t="str">
        <x:f>IF(R431="Hombre","REVISAR REGLA OFICIAL","")</x:f>
      </x:c>
      <x:c r="V431" t="str">
        <x:f>IF(A431="","",(Q431*40%+S431*30%+U431*30%)*5%)</x:f>
      </x:c>
      <x:c r="W431" t="str">
        <x:f>IF(A431="","",F431+K431+P431+V431)</x:f>
      </x:c>
      <x:c r="X431" t="str">
        <x:f>IF(W431="","",IF(W431&gt;='11_Config'!$B$9,"Selección prioritaria",IF(W431&gt;='11_Config'!$B$10,"Elegible / reserva",IF(W431&gt;='11_Config'!$B$11,"Elegible condicionado","No recomendado"))))</x:f>
      </x:c>
    </x:row>
    <x:row r="432">
      <x:c r="F432" t="str">
        <x:f>IF(A432="","",(C432*40%+D432*30%+E432*30%)*15%)</x:f>
      </x:c>
      <x:c r="K432" t="str">
        <x:f>IF(A432="","",(G432*35%+H432*35%+I432*20%+J432*10%)*55%)</x:f>
      </x:c>
      <x:c r="P432" t="str">
        <x:f>IF(A432="","",(L432*35%+M432*35%+N432*20%+O432*10%)*25%)</x:f>
      </x:c>
      <x:c r="S432" t="str">
        <x:f>IF(R432="","",IF(R432="Mujer",10,IF(R432="Hombre",'11_Config'!$B$13,0)))</x:f>
      </x:c>
      <x:c r="T432" t="str">
        <x:f>IF(R432="Hombre","REVISAR REGLA OFICIAL","")</x:f>
      </x:c>
      <x:c r="V432" t="str">
        <x:f>IF(A432="","",(Q432*40%+S432*30%+U432*30%)*5%)</x:f>
      </x:c>
      <x:c r="W432" t="str">
        <x:f>IF(A432="","",F432+K432+P432+V432)</x:f>
      </x:c>
      <x:c r="X432" t="str">
        <x:f>IF(W432="","",IF(W432&gt;='11_Config'!$B$9,"Selección prioritaria",IF(W432&gt;='11_Config'!$B$10,"Elegible / reserva",IF(W432&gt;='11_Config'!$B$11,"Elegible condicionado","No recomendado"))))</x:f>
      </x:c>
    </x:row>
    <x:row r="433">
      <x:c r="F433" t="str">
        <x:f>IF(A433="","",(C433*40%+D433*30%+E433*30%)*15%)</x:f>
      </x:c>
      <x:c r="K433" t="str">
        <x:f>IF(A433="","",(G433*35%+H433*35%+I433*20%+J433*10%)*55%)</x:f>
      </x:c>
      <x:c r="P433" t="str">
        <x:f>IF(A433="","",(L433*35%+M433*35%+N433*20%+O433*10%)*25%)</x:f>
      </x:c>
      <x:c r="S433" t="str">
        <x:f>IF(R433="","",IF(R433="Mujer",10,IF(R433="Hombre",'11_Config'!$B$13,0)))</x:f>
      </x:c>
      <x:c r="T433" t="str">
        <x:f>IF(R433="Hombre","REVISAR REGLA OFICIAL","")</x:f>
      </x:c>
      <x:c r="V433" t="str">
        <x:f>IF(A433="","",(Q433*40%+S433*30%+U433*30%)*5%)</x:f>
      </x:c>
      <x:c r="W433" t="str">
        <x:f>IF(A433="","",F433+K433+P433+V433)</x:f>
      </x:c>
      <x:c r="X433" t="str">
        <x:f>IF(W433="","",IF(W433&gt;='11_Config'!$B$9,"Selección prioritaria",IF(W433&gt;='11_Config'!$B$10,"Elegible / reserva",IF(W433&gt;='11_Config'!$B$11,"Elegible condicionado","No recomendado"))))</x:f>
      </x:c>
    </x:row>
    <x:row r="434">
      <x:c r="F434" t="str">
        <x:f>IF(A434="","",(C434*40%+D434*30%+E434*30%)*15%)</x:f>
      </x:c>
      <x:c r="K434" t="str">
        <x:f>IF(A434="","",(G434*35%+H434*35%+I434*20%+J434*10%)*55%)</x:f>
      </x:c>
      <x:c r="P434" t="str">
        <x:f>IF(A434="","",(L434*35%+M434*35%+N434*20%+O434*10%)*25%)</x:f>
      </x:c>
      <x:c r="S434" t="str">
        <x:f>IF(R434="","",IF(R434="Mujer",10,IF(R434="Hombre",'11_Config'!$B$13,0)))</x:f>
      </x:c>
      <x:c r="T434" t="str">
        <x:f>IF(R434="Hombre","REVISAR REGLA OFICIAL","")</x:f>
      </x:c>
      <x:c r="V434" t="str">
        <x:f>IF(A434="","",(Q434*40%+S434*30%+U434*30%)*5%)</x:f>
      </x:c>
      <x:c r="W434" t="str">
        <x:f>IF(A434="","",F434+K434+P434+V434)</x:f>
      </x:c>
      <x:c r="X434" t="str">
        <x:f>IF(W434="","",IF(W434&gt;='11_Config'!$B$9,"Selección prioritaria",IF(W434&gt;='11_Config'!$B$10,"Elegible / reserva",IF(W434&gt;='11_Config'!$B$11,"Elegible condicionado","No recomendado"))))</x:f>
      </x:c>
    </x:row>
    <x:row r="435">
      <x:c r="F435" t="str">
        <x:f>IF(A435="","",(C435*40%+D435*30%+E435*30%)*15%)</x:f>
      </x:c>
      <x:c r="K435" t="str">
        <x:f>IF(A435="","",(G435*35%+H435*35%+I435*20%+J435*10%)*55%)</x:f>
      </x:c>
      <x:c r="P435" t="str">
        <x:f>IF(A435="","",(L435*35%+M435*35%+N435*20%+O435*10%)*25%)</x:f>
      </x:c>
      <x:c r="S435" t="str">
        <x:f>IF(R435="","",IF(R435="Mujer",10,IF(R435="Hombre",'11_Config'!$B$13,0)))</x:f>
      </x:c>
      <x:c r="T435" t="str">
        <x:f>IF(R435="Hombre","REVISAR REGLA OFICIAL","")</x:f>
      </x:c>
      <x:c r="V435" t="str">
        <x:f>IF(A435="","",(Q435*40%+S435*30%+U435*30%)*5%)</x:f>
      </x:c>
      <x:c r="W435" t="str">
        <x:f>IF(A435="","",F435+K435+P435+V435)</x:f>
      </x:c>
      <x:c r="X435" t="str">
        <x:f>IF(W435="","",IF(W435&gt;='11_Config'!$B$9,"Selección prioritaria",IF(W435&gt;='11_Config'!$B$10,"Elegible / reserva",IF(W435&gt;='11_Config'!$B$11,"Elegible condicionado","No recomendado"))))</x:f>
      </x:c>
    </x:row>
    <x:row r="436">
      <x:c r="F436" t="str">
        <x:f>IF(A436="","",(C436*40%+D436*30%+E436*30%)*15%)</x:f>
      </x:c>
      <x:c r="K436" t="str">
        <x:f>IF(A436="","",(G436*35%+H436*35%+I436*20%+J436*10%)*55%)</x:f>
      </x:c>
      <x:c r="P436" t="str">
        <x:f>IF(A436="","",(L436*35%+M436*35%+N436*20%+O436*10%)*25%)</x:f>
      </x:c>
      <x:c r="S436" t="str">
        <x:f>IF(R436="","",IF(R436="Mujer",10,IF(R436="Hombre",'11_Config'!$B$13,0)))</x:f>
      </x:c>
      <x:c r="T436" t="str">
        <x:f>IF(R436="Hombre","REVISAR REGLA OFICIAL","")</x:f>
      </x:c>
      <x:c r="V436" t="str">
        <x:f>IF(A436="","",(Q436*40%+S436*30%+U436*30%)*5%)</x:f>
      </x:c>
      <x:c r="W436" t="str">
        <x:f>IF(A436="","",F436+K436+P436+V436)</x:f>
      </x:c>
      <x:c r="X436" t="str">
        <x:f>IF(W436="","",IF(W436&gt;='11_Config'!$B$9,"Selección prioritaria",IF(W436&gt;='11_Config'!$B$10,"Elegible / reserva",IF(W436&gt;='11_Config'!$B$11,"Elegible condicionado","No recomendado"))))</x:f>
      </x:c>
    </x:row>
    <x:row r="437">
      <x:c r="F437" t="str">
        <x:f>IF(A437="","",(C437*40%+D437*30%+E437*30%)*15%)</x:f>
      </x:c>
      <x:c r="K437" t="str">
        <x:f>IF(A437="","",(G437*35%+H437*35%+I437*20%+J437*10%)*55%)</x:f>
      </x:c>
      <x:c r="P437" t="str">
        <x:f>IF(A437="","",(L437*35%+M437*35%+N437*20%+O437*10%)*25%)</x:f>
      </x:c>
      <x:c r="S437" t="str">
        <x:f>IF(R437="","",IF(R437="Mujer",10,IF(R437="Hombre",'11_Config'!$B$13,0)))</x:f>
      </x:c>
      <x:c r="T437" t="str">
        <x:f>IF(R437="Hombre","REVISAR REGLA OFICIAL","")</x:f>
      </x:c>
      <x:c r="V437" t="str">
        <x:f>IF(A437="","",(Q437*40%+S437*30%+U437*30%)*5%)</x:f>
      </x:c>
      <x:c r="W437" t="str">
        <x:f>IF(A437="","",F437+K437+P437+V437)</x:f>
      </x:c>
      <x:c r="X437" t="str">
        <x:f>IF(W437="","",IF(W437&gt;='11_Config'!$B$9,"Selección prioritaria",IF(W437&gt;='11_Config'!$B$10,"Elegible / reserva",IF(W437&gt;='11_Config'!$B$11,"Elegible condicionado","No recomendado"))))</x:f>
      </x:c>
    </x:row>
    <x:row r="438">
      <x:c r="F438" t="str">
        <x:f>IF(A438="","",(C438*40%+D438*30%+E438*30%)*15%)</x:f>
      </x:c>
      <x:c r="K438" t="str">
        <x:f>IF(A438="","",(G438*35%+H438*35%+I438*20%+J438*10%)*55%)</x:f>
      </x:c>
      <x:c r="P438" t="str">
        <x:f>IF(A438="","",(L438*35%+M438*35%+N438*20%+O438*10%)*25%)</x:f>
      </x:c>
      <x:c r="S438" t="str">
        <x:f>IF(R438="","",IF(R438="Mujer",10,IF(R438="Hombre",'11_Config'!$B$13,0)))</x:f>
      </x:c>
      <x:c r="T438" t="str">
        <x:f>IF(R438="Hombre","REVISAR REGLA OFICIAL","")</x:f>
      </x:c>
      <x:c r="V438" t="str">
        <x:f>IF(A438="","",(Q438*40%+S438*30%+U438*30%)*5%)</x:f>
      </x:c>
      <x:c r="W438" t="str">
        <x:f>IF(A438="","",F438+K438+P438+V438)</x:f>
      </x:c>
      <x:c r="X438" t="str">
        <x:f>IF(W438="","",IF(W438&gt;='11_Config'!$B$9,"Selección prioritaria",IF(W438&gt;='11_Config'!$B$10,"Elegible / reserva",IF(W438&gt;='11_Config'!$B$11,"Elegible condicionado","No recomendado"))))</x:f>
      </x:c>
    </x:row>
    <x:row r="439">
      <x:c r="F439" t="str">
        <x:f>IF(A439="","",(C439*40%+D439*30%+E439*30%)*15%)</x:f>
      </x:c>
      <x:c r="K439" t="str">
        <x:f>IF(A439="","",(G439*35%+H439*35%+I439*20%+J439*10%)*55%)</x:f>
      </x:c>
      <x:c r="P439" t="str">
        <x:f>IF(A439="","",(L439*35%+M439*35%+N439*20%+O439*10%)*25%)</x:f>
      </x:c>
      <x:c r="S439" t="str">
        <x:f>IF(R439="","",IF(R439="Mujer",10,IF(R439="Hombre",'11_Config'!$B$13,0)))</x:f>
      </x:c>
      <x:c r="T439" t="str">
        <x:f>IF(R439="Hombre","REVISAR REGLA OFICIAL","")</x:f>
      </x:c>
      <x:c r="V439" t="str">
        <x:f>IF(A439="","",(Q439*40%+S439*30%+U439*30%)*5%)</x:f>
      </x:c>
      <x:c r="W439" t="str">
        <x:f>IF(A439="","",F439+K439+P439+V439)</x:f>
      </x:c>
      <x:c r="X439" t="str">
        <x:f>IF(W439="","",IF(W439&gt;='11_Config'!$B$9,"Selección prioritaria",IF(W439&gt;='11_Config'!$B$10,"Elegible / reserva",IF(W439&gt;='11_Config'!$B$11,"Elegible condicionado","No recomendado"))))</x:f>
      </x:c>
    </x:row>
    <x:row r="440">
      <x:c r="F440" t="str">
        <x:f>IF(A440="","",(C440*40%+D440*30%+E440*30%)*15%)</x:f>
      </x:c>
      <x:c r="K440" t="str">
        <x:f>IF(A440="","",(G440*35%+H440*35%+I440*20%+J440*10%)*55%)</x:f>
      </x:c>
      <x:c r="P440" t="str">
        <x:f>IF(A440="","",(L440*35%+M440*35%+N440*20%+O440*10%)*25%)</x:f>
      </x:c>
      <x:c r="S440" t="str">
        <x:f>IF(R440="","",IF(R440="Mujer",10,IF(R440="Hombre",'11_Config'!$B$13,0)))</x:f>
      </x:c>
      <x:c r="T440" t="str">
        <x:f>IF(R440="Hombre","REVISAR REGLA OFICIAL","")</x:f>
      </x:c>
      <x:c r="V440" t="str">
        <x:f>IF(A440="","",(Q440*40%+S440*30%+U440*30%)*5%)</x:f>
      </x:c>
      <x:c r="W440" t="str">
        <x:f>IF(A440="","",F440+K440+P440+V440)</x:f>
      </x:c>
      <x:c r="X440" t="str">
        <x:f>IF(W440="","",IF(W440&gt;='11_Config'!$B$9,"Selección prioritaria",IF(W440&gt;='11_Config'!$B$10,"Elegible / reserva",IF(W440&gt;='11_Config'!$B$11,"Elegible condicionado","No recomendado"))))</x:f>
      </x:c>
    </x:row>
    <x:row r="441">
      <x:c r="F441" t="str">
        <x:f>IF(A441="","",(C441*40%+D441*30%+E441*30%)*15%)</x:f>
      </x:c>
      <x:c r="K441" t="str">
        <x:f>IF(A441="","",(G441*35%+H441*35%+I441*20%+J441*10%)*55%)</x:f>
      </x:c>
      <x:c r="P441" t="str">
        <x:f>IF(A441="","",(L441*35%+M441*35%+N441*20%+O441*10%)*25%)</x:f>
      </x:c>
      <x:c r="S441" t="str">
        <x:f>IF(R441="","",IF(R441="Mujer",10,IF(R441="Hombre",'11_Config'!$B$13,0)))</x:f>
      </x:c>
      <x:c r="T441" t="str">
        <x:f>IF(R441="Hombre","REVISAR REGLA OFICIAL","")</x:f>
      </x:c>
      <x:c r="V441" t="str">
        <x:f>IF(A441="","",(Q441*40%+S441*30%+U441*30%)*5%)</x:f>
      </x:c>
      <x:c r="W441" t="str">
        <x:f>IF(A441="","",F441+K441+P441+V441)</x:f>
      </x:c>
      <x:c r="X441" t="str">
        <x:f>IF(W441="","",IF(W441&gt;='11_Config'!$B$9,"Selección prioritaria",IF(W441&gt;='11_Config'!$B$10,"Elegible / reserva",IF(W441&gt;='11_Config'!$B$11,"Elegible condicionado","No recomendado"))))</x:f>
      </x:c>
    </x:row>
    <x:row r="442">
      <x:c r="F442" t="str">
        <x:f>IF(A442="","",(C442*40%+D442*30%+E442*30%)*15%)</x:f>
      </x:c>
      <x:c r="K442" t="str">
        <x:f>IF(A442="","",(G442*35%+H442*35%+I442*20%+J442*10%)*55%)</x:f>
      </x:c>
      <x:c r="P442" t="str">
        <x:f>IF(A442="","",(L442*35%+M442*35%+N442*20%+O442*10%)*25%)</x:f>
      </x:c>
      <x:c r="S442" t="str">
        <x:f>IF(R442="","",IF(R442="Mujer",10,IF(R442="Hombre",'11_Config'!$B$13,0)))</x:f>
      </x:c>
      <x:c r="T442" t="str">
        <x:f>IF(R442="Hombre","REVISAR REGLA OFICIAL","")</x:f>
      </x:c>
      <x:c r="V442" t="str">
        <x:f>IF(A442="","",(Q442*40%+S442*30%+U442*30%)*5%)</x:f>
      </x:c>
      <x:c r="W442" t="str">
        <x:f>IF(A442="","",F442+K442+P442+V442)</x:f>
      </x:c>
      <x:c r="X442" t="str">
        <x:f>IF(W442="","",IF(W442&gt;='11_Config'!$B$9,"Selección prioritaria",IF(W442&gt;='11_Config'!$B$10,"Elegible / reserva",IF(W442&gt;='11_Config'!$B$11,"Elegible condicionado","No recomendado"))))</x:f>
      </x:c>
    </x:row>
    <x:row r="443">
      <x:c r="F443" t="str">
        <x:f>IF(A443="","",(C443*40%+D443*30%+E443*30%)*15%)</x:f>
      </x:c>
      <x:c r="K443" t="str">
        <x:f>IF(A443="","",(G443*35%+H443*35%+I443*20%+J443*10%)*55%)</x:f>
      </x:c>
      <x:c r="P443" t="str">
        <x:f>IF(A443="","",(L443*35%+M443*35%+N443*20%+O443*10%)*25%)</x:f>
      </x:c>
      <x:c r="S443" t="str">
        <x:f>IF(R443="","",IF(R443="Mujer",10,IF(R443="Hombre",'11_Config'!$B$13,0)))</x:f>
      </x:c>
      <x:c r="T443" t="str">
        <x:f>IF(R443="Hombre","REVISAR REGLA OFICIAL","")</x:f>
      </x:c>
      <x:c r="V443" t="str">
        <x:f>IF(A443="","",(Q443*40%+S443*30%+U443*30%)*5%)</x:f>
      </x:c>
      <x:c r="W443" t="str">
        <x:f>IF(A443="","",F443+K443+P443+V443)</x:f>
      </x:c>
      <x:c r="X443" t="str">
        <x:f>IF(W443="","",IF(W443&gt;='11_Config'!$B$9,"Selección prioritaria",IF(W443&gt;='11_Config'!$B$10,"Elegible / reserva",IF(W443&gt;='11_Config'!$B$11,"Elegible condicionado","No recomendado"))))</x:f>
      </x:c>
    </x:row>
    <x:row r="444">
      <x:c r="F444" t="str">
        <x:f>IF(A444="","",(C444*40%+D444*30%+E444*30%)*15%)</x:f>
      </x:c>
      <x:c r="K444" t="str">
        <x:f>IF(A444="","",(G444*35%+H444*35%+I444*20%+J444*10%)*55%)</x:f>
      </x:c>
      <x:c r="P444" t="str">
        <x:f>IF(A444="","",(L444*35%+M444*35%+N444*20%+O444*10%)*25%)</x:f>
      </x:c>
      <x:c r="S444" t="str">
        <x:f>IF(R444="","",IF(R444="Mujer",10,IF(R444="Hombre",'11_Config'!$B$13,0)))</x:f>
      </x:c>
      <x:c r="T444" t="str">
        <x:f>IF(R444="Hombre","REVISAR REGLA OFICIAL","")</x:f>
      </x:c>
      <x:c r="V444" t="str">
        <x:f>IF(A444="","",(Q444*40%+S444*30%+U444*30%)*5%)</x:f>
      </x:c>
      <x:c r="W444" t="str">
        <x:f>IF(A444="","",F444+K444+P444+V444)</x:f>
      </x:c>
      <x:c r="X444" t="str">
        <x:f>IF(W444="","",IF(W444&gt;='11_Config'!$B$9,"Selección prioritaria",IF(W444&gt;='11_Config'!$B$10,"Elegible / reserva",IF(W444&gt;='11_Config'!$B$11,"Elegible condicionado","No recomendado"))))</x:f>
      </x:c>
    </x:row>
    <x:row r="445">
      <x:c r="F445" t="str">
        <x:f>IF(A445="","",(C445*40%+D445*30%+E445*30%)*15%)</x:f>
      </x:c>
      <x:c r="K445" t="str">
        <x:f>IF(A445="","",(G445*35%+H445*35%+I445*20%+J445*10%)*55%)</x:f>
      </x:c>
      <x:c r="P445" t="str">
        <x:f>IF(A445="","",(L445*35%+M445*35%+N445*20%+O445*10%)*25%)</x:f>
      </x:c>
      <x:c r="S445" t="str">
        <x:f>IF(R445="","",IF(R445="Mujer",10,IF(R445="Hombre",'11_Config'!$B$13,0)))</x:f>
      </x:c>
      <x:c r="T445" t="str">
        <x:f>IF(R445="Hombre","REVISAR REGLA OFICIAL","")</x:f>
      </x:c>
      <x:c r="V445" t="str">
        <x:f>IF(A445="","",(Q445*40%+S445*30%+U445*30%)*5%)</x:f>
      </x:c>
      <x:c r="W445" t="str">
        <x:f>IF(A445="","",F445+K445+P445+V445)</x:f>
      </x:c>
      <x:c r="X445" t="str">
        <x:f>IF(W445="","",IF(W445&gt;='11_Config'!$B$9,"Selección prioritaria",IF(W445&gt;='11_Config'!$B$10,"Elegible / reserva",IF(W445&gt;='11_Config'!$B$11,"Elegible condicionado","No recomendado"))))</x:f>
      </x:c>
    </x:row>
    <x:row r="446">
      <x:c r="F446" t="str">
        <x:f>IF(A446="","",(C446*40%+D446*30%+E446*30%)*15%)</x:f>
      </x:c>
      <x:c r="K446" t="str">
        <x:f>IF(A446="","",(G446*35%+H446*35%+I446*20%+J446*10%)*55%)</x:f>
      </x:c>
      <x:c r="P446" t="str">
        <x:f>IF(A446="","",(L446*35%+M446*35%+N446*20%+O446*10%)*25%)</x:f>
      </x:c>
      <x:c r="S446" t="str">
        <x:f>IF(R446="","",IF(R446="Mujer",10,IF(R446="Hombre",'11_Config'!$B$13,0)))</x:f>
      </x:c>
      <x:c r="T446" t="str">
        <x:f>IF(R446="Hombre","REVISAR REGLA OFICIAL","")</x:f>
      </x:c>
      <x:c r="V446" t="str">
        <x:f>IF(A446="","",(Q446*40%+S446*30%+U446*30%)*5%)</x:f>
      </x:c>
      <x:c r="W446" t="str">
        <x:f>IF(A446="","",F446+K446+P446+V446)</x:f>
      </x:c>
      <x:c r="X446" t="str">
        <x:f>IF(W446="","",IF(W446&gt;='11_Config'!$B$9,"Selección prioritaria",IF(W446&gt;='11_Config'!$B$10,"Elegible / reserva",IF(W446&gt;='11_Config'!$B$11,"Elegible condicionado","No recomendado"))))</x:f>
      </x:c>
    </x:row>
    <x:row r="447">
      <x:c r="F447" t="str">
        <x:f>IF(A447="","",(C447*40%+D447*30%+E447*30%)*15%)</x:f>
      </x:c>
      <x:c r="K447" t="str">
        <x:f>IF(A447="","",(G447*35%+H447*35%+I447*20%+J447*10%)*55%)</x:f>
      </x:c>
      <x:c r="P447" t="str">
        <x:f>IF(A447="","",(L447*35%+M447*35%+N447*20%+O447*10%)*25%)</x:f>
      </x:c>
      <x:c r="S447" t="str">
        <x:f>IF(R447="","",IF(R447="Mujer",10,IF(R447="Hombre",'11_Config'!$B$13,0)))</x:f>
      </x:c>
      <x:c r="T447" t="str">
        <x:f>IF(R447="Hombre","REVISAR REGLA OFICIAL","")</x:f>
      </x:c>
      <x:c r="V447" t="str">
        <x:f>IF(A447="","",(Q447*40%+S447*30%+U447*30%)*5%)</x:f>
      </x:c>
      <x:c r="W447" t="str">
        <x:f>IF(A447="","",F447+K447+P447+V447)</x:f>
      </x:c>
      <x:c r="X447" t="str">
        <x:f>IF(W447="","",IF(W447&gt;='11_Config'!$B$9,"Selección prioritaria",IF(W447&gt;='11_Config'!$B$10,"Elegible / reserva",IF(W447&gt;='11_Config'!$B$11,"Elegible condicionado","No recomendado"))))</x:f>
      </x:c>
    </x:row>
    <x:row r="448">
      <x:c r="F448" t="str">
        <x:f>IF(A448="","",(C448*40%+D448*30%+E448*30%)*15%)</x:f>
      </x:c>
      <x:c r="K448" t="str">
        <x:f>IF(A448="","",(G448*35%+H448*35%+I448*20%+J448*10%)*55%)</x:f>
      </x:c>
      <x:c r="P448" t="str">
        <x:f>IF(A448="","",(L448*35%+M448*35%+N448*20%+O448*10%)*25%)</x:f>
      </x:c>
      <x:c r="S448" t="str">
        <x:f>IF(R448="","",IF(R448="Mujer",10,IF(R448="Hombre",'11_Config'!$B$13,0)))</x:f>
      </x:c>
      <x:c r="T448" t="str">
        <x:f>IF(R448="Hombre","REVISAR REGLA OFICIAL","")</x:f>
      </x:c>
      <x:c r="V448" t="str">
        <x:f>IF(A448="","",(Q448*40%+S448*30%+U448*30%)*5%)</x:f>
      </x:c>
      <x:c r="W448" t="str">
        <x:f>IF(A448="","",F448+K448+P448+V448)</x:f>
      </x:c>
      <x:c r="X448" t="str">
        <x:f>IF(W448="","",IF(W448&gt;='11_Config'!$B$9,"Selección prioritaria",IF(W448&gt;='11_Config'!$B$10,"Elegible / reserva",IF(W448&gt;='11_Config'!$B$11,"Elegible condicionado","No recomendado"))))</x:f>
      </x:c>
    </x:row>
    <x:row r="449">
      <x:c r="F449" t="str">
        <x:f>IF(A449="","",(C449*40%+D449*30%+E449*30%)*15%)</x:f>
      </x:c>
      <x:c r="K449" t="str">
        <x:f>IF(A449="","",(G449*35%+H449*35%+I449*20%+J449*10%)*55%)</x:f>
      </x:c>
      <x:c r="P449" t="str">
        <x:f>IF(A449="","",(L449*35%+M449*35%+N449*20%+O449*10%)*25%)</x:f>
      </x:c>
      <x:c r="S449" t="str">
        <x:f>IF(R449="","",IF(R449="Mujer",10,IF(R449="Hombre",'11_Config'!$B$13,0)))</x:f>
      </x:c>
      <x:c r="T449" t="str">
        <x:f>IF(R449="Hombre","REVISAR REGLA OFICIAL","")</x:f>
      </x:c>
      <x:c r="V449" t="str">
        <x:f>IF(A449="","",(Q449*40%+S449*30%+U449*30%)*5%)</x:f>
      </x:c>
      <x:c r="W449" t="str">
        <x:f>IF(A449="","",F449+K449+P449+V449)</x:f>
      </x:c>
      <x:c r="X449" t="str">
        <x:f>IF(W449="","",IF(W449&gt;='11_Config'!$B$9,"Selección prioritaria",IF(W449&gt;='11_Config'!$B$10,"Elegible / reserva",IF(W449&gt;='11_Config'!$B$11,"Elegible condicionado","No recomendado"))))</x:f>
      </x:c>
    </x:row>
    <x:row r="450">
      <x:c r="F450" t="str">
        <x:f>IF(A450="","",(C450*40%+D450*30%+E450*30%)*15%)</x:f>
      </x:c>
      <x:c r="K450" t="str">
        <x:f>IF(A450="","",(G450*35%+H450*35%+I450*20%+J450*10%)*55%)</x:f>
      </x:c>
      <x:c r="P450" t="str">
        <x:f>IF(A450="","",(L450*35%+M450*35%+N450*20%+O450*10%)*25%)</x:f>
      </x:c>
      <x:c r="S450" t="str">
        <x:f>IF(R450="","",IF(R450="Mujer",10,IF(R450="Hombre",'11_Config'!$B$13,0)))</x:f>
      </x:c>
      <x:c r="T450" t="str">
        <x:f>IF(R450="Hombre","REVISAR REGLA OFICIAL","")</x:f>
      </x:c>
      <x:c r="V450" t="str">
        <x:f>IF(A450="","",(Q450*40%+S450*30%+U450*30%)*5%)</x:f>
      </x:c>
      <x:c r="W450" t="str">
        <x:f>IF(A450="","",F450+K450+P450+V450)</x:f>
      </x:c>
      <x:c r="X450" t="str">
        <x:f>IF(W450="","",IF(W450&gt;='11_Config'!$B$9,"Selección prioritaria",IF(W450&gt;='11_Config'!$B$10,"Elegible / reserva",IF(W450&gt;='11_Config'!$B$11,"Elegible condicionado","No recomendado"))))</x:f>
      </x:c>
    </x:row>
    <x:row r="451">
      <x:c r="F451" t="str">
        <x:f>IF(A451="","",(C451*40%+D451*30%+E451*30%)*15%)</x:f>
      </x:c>
      <x:c r="K451" t="str">
        <x:f>IF(A451="","",(G451*35%+H451*35%+I451*20%+J451*10%)*55%)</x:f>
      </x:c>
      <x:c r="P451" t="str">
        <x:f>IF(A451="","",(L451*35%+M451*35%+N451*20%+O451*10%)*25%)</x:f>
      </x:c>
      <x:c r="S451" t="str">
        <x:f>IF(R451="","",IF(R451="Mujer",10,IF(R451="Hombre",'11_Config'!$B$13,0)))</x:f>
      </x:c>
      <x:c r="T451" t="str">
        <x:f>IF(R451="Hombre","REVISAR REGLA OFICIAL","")</x:f>
      </x:c>
      <x:c r="V451" t="str">
        <x:f>IF(A451="","",(Q451*40%+S451*30%+U451*30%)*5%)</x:f>
      </x:c>
      <x:c r="W451" t="str">
        <x:f>IF(A451="","",F451+K451+P451+V451)</x:f>
      </x:c>
      <x:c r="X451" t="str">
        <x:f>IF(W451="","",IF(W451&gt;='11_Config'!$B$9,"Selección prioritaria",IF(W451&gt;='11_Config'!$B$10,"Elegible / reserva",IF(W451&gt;='11_Config'!$B$11,"Elegible condicionado","No recomendado"))))</x:f>
      </x:c>
    </x:row>
    <x:row r="452">
      <x:c r="F452" t="str">
        <x:f>IF(A452="","",(C452*40%+D452*30%+E452*30%)*15%)</x:f>
      </x:c>
      <x:c r="K452" t="str">
        <x:f>IF(A452="","",(G452*35%+H452*35%+I452*20%+J452*10%)*55%)</x:f>
      </x:c>
      <x:c r="P452" t="str">
        <x:f>IF(A452="","",(L452*35%+M452*35%+N452*20%+O452*10%)*25%)</x:f>
      </x:c>
      <x:c r="S452" t="str">
        <x:f>IF(R452="","",IF(R452="Mujer",10,IF(R452="Hombre",'11_Config'!$B$13,0)))</x:f>
      </x:c>
      <x:c r="T452" t="str">
        <x:f>IF(R452="Hombre","REVISAR REGLA OFICIAL","")</x:f>
      </x:c>
      <x:c r="V452" t="str">
        <x:f>IF(A452="","",(Q452*40%+S452*30%+U452*30%)*5%)</x:f>
      </x:c>
      <x:c r="W452" t="str">
        <x:f>IF(A452="","",F452+K452+P452+V452)</x:f>
      </x:c>
      <x:c r="X452" t="str">
        <x:f>IF(W452="","",IF(W452&gt;='11_Config'!$B$9,"Selección prioritaria",IF(W452&gt;='11_Config'!$B$10,"Elegible / reserva",IF(W452&gt;='11_Config'!$B$11,"Elegible condicionado","No recomendado"))))</x:f>
      </x:c>
    </x:row>
    <x:row r="453">
      <x:c r="F453" t="str">
        <x:f>IF(A453="","",(C453*40%+D453*30%+E453*30%)*15%)</x:f>
      </x:c>
      <x:c r="K453" t="str">
        <x:f>IF(A453="","",(G453*35%+H453*35%+I453*20%+J453*10%)*55%)</x:f>
      </x:c>
      <x:c r="P453" t="str">
        <x:f>IF(A453="","",(L453*35%+M453*35%+N453*20%+O453*10%)*25%)</x:f>
      </x:c>
      <x:c r="S453" t="str">
        <x:f>IF(R453="","",IF(R453="Mujer",10,IF(R453="Hombre",'11_Config'!$B$13,0)))</x:f>
      </x:c>
      <x:c r="T453" t="str">
        <x:f>IF(R453="Hombre","REVISAR REGLA OFICIAL","")</x:f>
      </x:c>
      <x:c r="V453" t="str">
        <x:f>IF(A453="","",(Q453*40%+S453*30%+U453*30%)*5%)</x:f>
      </x:c>
      <x:c r="W453" t="str">
        <x:f>IF(A453="","",F453+K453+P453+V453)</x:f>
      </x:c>
      <x:c r="X453" t="str">
        <x:f>IF(W453="","",IF(W453&gt;='11_Config'!$B$9,"Selección prioritaria",IF(W453&gt;='11_Config'!$B$10,"Elegible / reserva",IF(W453&gt;='11_Config'!$B$11,"Elegible condicionado","No recomendado"))))</x:f>
      </x:c>
    </x:row>
    <x:row r="454">
      <x:c r="F454" t="str">
        <x:f>IF(A454="","",(C454*40%+D454*30%+E454*30%)*15%)</x:f>
      </x:c>
      <x:c r="K454" t="str">
        <x:f>IF(A454="","",(G454*35%+H454*35%+I454*20%+J454*10%)*55%)</x:f>
      </x:c>
      <x:c r="P454" t="str">
        <x:f>IF(A454="","",(L454*35%+M454*35%+N454*20%+O454*10%)*25%)</x:f>
      </x:c>
      <x:c r="S454" t="str">
        <x:f>IF(R454="","",IF(R454="Mujer",10,IF(R454="Hombre",'11_Config'!$B$13,0)))</x:f>
      </x:c>
      <x:c r="T454" t="str">
        <x:f>IF(R454="Hombre","REVISAR REGLA OFICIAL","")</x:f>
      </x:c>
      <x:c r="V454" t="str">
        <x:f>IF(A454="","",(Q454*40%+S454*30%+U454*30%)*5%)</x:f>
      </x:c>
      <x:c r="W454" t="str">
        <x:f>IF(A454="","",F454+K454+P454+V454)</x:f>
      </x:c>
      <x:c r="X454" t="str">
        <x:f>IF(W454="","",IF(W454&gt;='11_Config'!$B$9,"Selección prioritaria",IF(W454&gt;='11_Config'!$B$10,"Elegible / reserva",IF(W454&gt;='11_Config'!$B$11,"Elegible condicionado","No recomendado"))))</x:f>
      </x:c>
    </x:row>
    <x:row r="455">
      <x:c r="F455" t="str">
        <x:f>IF(A455="","",(C455*40%+D455*30%+E455*30%)*15%)</x:f>
      </x:c>
      <x:c r="K455" t="str">
        <x:f>IF(A455="","",(G455*35%+H455*35%+I455*20%+J455*10%)*55%)</x:f>
      </x:c>
      <x:c r="P455" t="str">
        <x:f>IF(A455="","",(L455*35%+M455*35%+N455*20%+O455*10%)*25%)</x:f>
      </x:c>
      <x:c r="S455" t="str">
        <x:f>IF(R455="","",IF(R455="Mujer",10,IF(R455="Hombre",'11_Config'!$B$13,0)))</x:f>
      </x:c>
      <x:c r="T455" t="str">
        <x:f>IF(R455="Hombre","REVISAR REGLA OFICIAL","")</x:f>
      </x:c>
      <x:c r="V455" t="str">
        <x:f>IF(A455="","",(Q455*40%+S455*30%+U455*30%)*5%)</x:f>
      </x:c>
      <x:c r="W455" t="str">
        <x:f>IF(A455="","",F455+K455+P455+V455)</x:f>
      </x:c>
      <x:c r="X455" t="str">
        <x:f>IF(W455="","",IF(W455&gt;='11_Config'!$B$9,"Selección prioritaria",IF(W455&gt;='11_Config'!$B$10,"Elegible / reserva",IF(W455&gt;='11_Config'!$B$11,"Elegible condicionado","No recomendado"))))</x:f>
      </x:c>
    </x:row>
    <x:row r="456">
      <x:c r="F456" t="str">
        <x:f>IF(A456="","",(C456*40%+D456*30%+E456*30%)*15%)</x:f>
      </x:c>
      <x:c r="K456" t="str">
        <x:f>IF(A456="","",(G456*35%+H456*35%+I456*20%+J456*10%)*55%)</x:f>
      </x:c>
      <x:c r="P456" t="str">
        <x:f>IF(A456="","",(L456*35%+M456*35%+N456*20%+O456*10%)*25%)</x:f>
      </x:c>
      <x:c r="S456" t="str">
        <x:f>IF(R456="","",IF(R456="Mujer",10,IF(R456="Hombre",'11_Config'!$B$13,0)))</x:f>
      </x:c>
      <x:c r="T456" t="str">
        <x:f>IF(R456="Hombre","REVISAR REGLA OFICIAL","")</x:f>
      </x:c>
      <x:c r="V456" t="str">
        <x:f>IF(A456="","",(Q456*40%+S456*30%+U456*30%)*5%)</x:f>
      </x:c>
      <x:c r="W456" t="str">
        <x:f>IF(A456="","",F456+K456+P456+V456)</x:f>
      </x:c>
      <x:c r="X456" t="str">
        <x:f>IF(W456="","",IF(W456&gt;='11_Config'!$B$9,"Selección prioritaria",IF(W456&gt;='11_Config'!$B$10,"Elegible / reserva",IF(W456&gt;='11_Config'!$B$11,"Elegible condicionado","No recomendado"))))</x:f>
      </x:c>
    </x:row>
    <x:row r="457">
      <x:c r="F457" t="str">
        <x:f>IF(A457="","",(C457*40%+D457*30%+E457*30%)*15%)</x:f>
      </x:c>
      <x:c r="K457" t="str">
        <x:f>IF(A457="","",(G457*35%+H457*35%+I457*20%+J457*10%)*55%)</x:f>
      </x:c>
      <x:c r="P457" t="str">
        <x:f>IF(A457="","",(L457*35%+M457*35%+N457*20%+O457*10%)*25%)</x:f>
      </x:c>
      <x:c r="S457" t="str">
        <x:f>IF(R457="","",IF(R457="Mujer",10,IF(R457="Hombre",'11_Config'!$B$13,0)))</x:f>
      </x:c>
      <x:c r="T457" t="str">
        <x:f>IF(R457="Hombre","REVISAR REGLA OFICIAL","")</x:f>
      </x:c>
      <x:c r="V457" t="str">
        <x:f>IF(A457="","",(Q457*40%+S457*30%+U457*30%)*5%)</x:f>
      </x:c>
      <x:c r="W457" t="str">
        <x:f>IF(A457="","",F457+K457+P457+V457)</x:f>
      </x:c>
      <x:c r="X457" t="str">
        <x:f>IF(W457="","",IF(W457&gt;='11_Config'!$B$9,"Selección prioritaria",IF(W457&gt;='11_Config'!$B$10,"Elegible / reserva",IF(W457&gt;='11_Config'!$B$11,"Elegible condicionado","No recomendado"))))</x:f>
      </x:c>
    </x:row>
    <x:row r="458">
      <x:c r="F458" t="str">
        <x:f>IF(A458="","",(C458*40%+D458*30%+E458*30%)*15%)</x:f>
      </x:c>
      <x:c r="K458" t="str">
        <x:f>IF(A458="","",(G458*35%+H458*35%+I458*20%+J458*10%)*55%)</x:f>
      </x:c>
      <x:c r="P458" t="str">
        <x:f>IF(A458="","",(L458*35%+M458*35%+N458*20%+O458*10%)*25%)</x:f>
      </x:c>
      <x:c r="S458" t="str">
        <x:f>IF(R458="","",IF(R458="Mujer",10,IF(R458="Hombre",'11_Config'!$B$13,0)))</x:f>
      </x:c>
      <x:c r="T458" t="str">
        <x:f>IF(R458="Hombre","REVISAR REGLA OFICIAL","")</x:f>
      </x:c>
      <x:c r="V458" t="str">
        <x:f>IF(A458="","",(Q458*40%+S458*30%+U458*30%)*5%)</x:f>
      </x:c>
      <x:c r="W458" t="str">
        <x:f>IF(A458="","",F458+K458+P458+V458)</x:f>
      </x:c>
      <x:c r="X458" t="str">
        <x:f>IF(W458="","",IF(W458&gt;='11_Config'!$B$9,"Selección prioritaria",IF(W458&gt;='11_Config'!$B$10,"Elegible / reserva",IF(W458&gt;='11_Config'!$B$11,"Elegible condicionado","No recomendado"))))</x:f>
      </x:c>
    </x:row>
    <x:row r="459">
      <x:c r="F459" t="str">
        <x:f>IF(A459="","",(C459*40%+D459*30%+E459*30%)*15%)</x:f>
      </x:c>
      <x:c r="K459" t="str">
        <x:f>IF(A459="","",(G459*35%+H459*35%+I459*20%+J459*10%)*55%)</x:f>
      </x:c>
      <x:c r="P459" t="str">
        <x:f>IF(A459="","",(L459*35%+M459*35%+N459*20%+O459*10%)*25%)</x:f>
      </x:c>
      <x:c r="S459" t="str">
        <x:f>IF(R459="","",IF(R459="Mujer",10,IF(R459="Hombre",'11_Config'!$B$13,0)))</x:f>
      </x:c>
      <x:c r="T459" t="str">
        <x:f>IF(R459="Hombre","REVISAR REGLA OFICIAL","")</x:f>
      </x:c>
      <x:c r="V459" t="str">
        <x:f>IF(A459="","",(Q459*40%+S459*30%+U459*30%)*5%)</x:f>
      </x:c>
      <x:c r="W459" t="str">
        <x:f>IF(A459="","",F459+K459+P459+V459)</x:f>
      </x:c>
      <x:c r="X459" t="str">
        <x:f>IF(W459="","",IF(W459&gt;='11_Config'!$B$9,"Selección prioritaria",IF(W459&gt;='11_Config'!$B$10,"Elegible / reserva",IF(W459&gt;='11_Config'!$B$11,"Elegible condicionado","No recomendado"))))</x:f>
      </x:c>
    </x:row>
    <x:row r="460">
      <x:c r="F460" t="str">
        <x:f>IF(A460="","",(C460*40%+D460*30%+E460*30%)*15%)</x:f>
      </x:c>
      <x:c r="K460" t="str">
        <x:f>IF(A460="","",(G460*35%+H460*35%+I460*20%+J460*10%)*55%)</x:f>
      </x:c>
      <x:c r="P460" t="str">
        <x:f>IF(A460="","",(L460*35%+M460*35%+N460*20%+O460*10%)*25%)</x:f>
      </x:c>
      <x:c r="S460" t="str">
        <x:f>IF(R460="","",IF(R460="Mujer",10,IF(R460="Hombre",'11_Config'!$B$13,0)))</x:f>
      </x:c>
      <x:c r="T460" t="str">
        <x:f>IF(R460="Hombre","REVISAR REGLA OFICIAL","")</x:f>
      </x:c>
      <x:c r="V460" t="str">
        <x:f>IF(A460="","",(Q460*40%+S460*30%+U460*30%)*5%)</x:f>
      </x:c>
      <x:c r="W460" t="str">
        <x:f>IF(A460="","",F460+K460+P460+V460)</x:f>
      </x:c>
      <x:c r="X460" t="str">
        <x:f>IF(W460="","",IF(W460&gt;='11_Config'!$B$9,"Selección prioritaria",IF(W460&gt;='11_Config'!$B$10,"Elegible / reserva",IF(W460&gt;='11_Config'!$B$11,"Elegible condicionado","No recomendado"))))</x:f>
      </x:c>
    </x:row>
    <x:row r="461">
      <x:c r="F461" t="str">
        <x:f>IF(A461="","",(C461*40%+D461*30%+E461*30%)*15%)</x:f>
      </x:c>
      <x:c r="K461" t="str">
        <x:f>IF(A461="","",(G461*35%+H461*35%+I461*20%+J461*10%)*55%)</x:f>
      </x:c>
      <x:c r="P461" t="str">
        <x:f>IF(A461="","",(L461*35%+M461*35%+N461*20%+O461*10%)*25%)</x:f>
      </x:c>
      <x:c r="S461" t="str">
        <x:f>IF(R461="","",IF(R461="Mujer",10,IF(R461="Hombre",'11_Config'!$B$13,0)))</x:f>
      </x:c>
      <x:c r="T461" t="str">
        <x:f>IF(R461="Hombre","REVISAR REGLA OFICIAL","")</x:f>
      </x:c>
      <x:c r="V461" t="str">
        <x:f>IF(A461="","",(Q461*40%+S461*30%+U461*30%)*5%)</x:f>
      </x:c>
      <x:c r="W461" t="str">
        <x:f>IF(A461="","",F461+K461+P461+V461)</x:f>
      </x:c>
      <x:c r="X461" t="str">
        <x:f>IF(W461="","",IF(W461&gt;='11_Config'!$B$9,"Selección prioritaria",IF(W461&gt;='11_Config'!$B$10,"Elegible / reserva",IF(W461&gt;='11_Config'!$B$11,"Elegible condicionado","No recomendado"))))</x:f>
      </x:c>
    </x:row>
    <x:row r="462">
      <x:c r="F462" t="str">
        <x:f>IF(A462="","",(C462*40%+D462*30%+E462*30%)*15%)</x:f>
      </x:c>
      <x:c r="K462" t="str">
        <x:f>IF(A462="","",(G462*35%+H462*35%+I462*20%+J462*10%)*55%)</x:f>
      </x:c>
      <x:c r="P462" t="str">
        <x:f>IF(A462="","",(L462*35%+M462*35%+N462*20%+O462*10%)*25%)</x:f>
      </x:c>
      <x:c r="S462" t="str">
        <x:f>IF(R462="","",IF(R462="Mujer",10,IF(R462="Hombre",'11_Config'!$B$13,0)))</x:f>
      </x:c>
      <x:c r="T462" t="str">
        <x:f>IF(R462="Hombre","REVISAR REGLA OFICIAL","")</x:f>
      </x:c>
      <x:c r="V462" t="str">
        <x:f>IF(A462="","",(Q462*40%+S462*30%+U462*30%)*5%)</x:f>
      </x:c>
      <x:c r="W462" t="str">
        <x:f>IF(A462="","",F462+K462+P462+V462)</x:f>
      </x:c>
      <x:c r="X462" t="str">
        <x:f>IF(W462="","",IF(W462&gt;='11_Config'!$B$9,"Selección prioritaria",IF(W462&gt;='11_Config'!$B$10,"Elegible / reserva",IF(W462&gt;='11_Config'!$B$11,"Elegible condicionado","No recomendado"))))</x:f>
      </x:c>
    </x:row>
    <x:row r="463">
      <x:c r="F463" t="str">
        <x:f>IF(A463="","",(C463*40%+D463*30%+E463*30%)*15%)</x:f>
      </x:c>
      <x:c r="K463" t="str">
        <x:f>IF(A463="","",(G463*35%+H463*35%+I463*20%+J463*10%)*55%)</x:f>
      </x:c>
      <x:c r="P463" t="str">
        <x:f>IF(A463="","",(L463*35%+M463*35%+N463*20%+O463*10%)*25%)</x:f>
      </x:c>
      <x:c r="S463" t="str">
        <x:f>IF(R463="","",IF(R463="Mujer",10,IF(R463="Hombre",'11_Config'!$B$13,0)))</x:f>
      </x:c>
      <x:c r="T463" t="str">
        <x:f>IF(R463="Hombre","REVISAR REGLA OFICIAL","")</x:f>
      </x:c>
      <x:c r="V463" t="str">
        <x:f>IF(A463="","",(Q463*40%+S463*30%+U463*30%)*5%)</x:f>
      </x:c>
      <x:c r="W463" t="str">
        <x:f>IF(A463="","",F463+K463+P463+V463)</x:f>
      </x:c>
      <x:c r="X463" t="str">
        <x:f>IF(W463="","",IF(W463&gt;='11_Config'!$B$9,"Selección prioritaria",IF(W463&gt;='11_Config'!$B$10,"Elegible / reserva",IF(W463&gt;='11_Config'!$B$11,"Elegible condicionado","No recomendado"))))</x:f>
      </x:c>
    </x:row>
    <x:row r="464">
      <x:c r="F464" t="str">
        <x:f>IF(A464="","",(C464*40%+D464*30%+E464*30%)*15%)</x:f>
      </x:c>
      <x:c r="K464" t="str">
        <x:f>IF(A464="","",(G464*35%+H464*35%+I464*20%+J464*10%)*55%)</x:f>
      </x:c>
      <x:c r="P464" t="str">
        <x:f>IF(A464="","",(L464*35%+M464*35%+N464*20%+O464*10%)*25%)</x:f>
      </x:c>
      <x:c r="S464" t="str">
        <x:f>IF(R464="","",IF(R464="Mujer",10,IF(R464="Hombre",'11_Config'!$B$13,0)))</x:f>
      </x:c>
      <x:c r="T464" t="str">
        <x:f>IF(R464="Hombre","REVISAR REGLA OFICIAL","")</x:f>
      </x:c>
      <x:c r="V464" t="str">
        <x:f>IF(A464="","",(Q464*40%+S464*30%+U464*30%)*5%)</x:f>
      </x:c>
      <x:c r="W464" t="str">
        <x:f>IF(A464="","",F464+K464+P464+V464)</x:f>
      </x:c>
      <x:c r="X464" t="str">
        <x:f>IF(W464="","",IF(W464&gt;='11_Config'!$B$9,"Selección prioritaria",IF(W464&gt;='11_Config'!$B$10,"Elegible / reserva",IF(W464&gt;='11_Config'!$B$11,"Elegible condicionado","No recomendado"))))</x:f>
      </x:c>
    </x:row>
    <x:row r="465">
      <x:c r="F465" t="str">
        <x:f>IF(A465="","",(C465*40%+D465*30%+E465*30%)*15%)</x:f>
      </x:c>
      <x:c r="K465" t="str">
        <x:f>IF(A465="","",(G465*35%+H465*35%+I465*20%+J465*10%)*55%)</x:f>
      </x:c>
      <x:c r="P465" t="str">
        <x:f>IF(A465="","",(L465*35%+M465*35%+N465*20%+O465*10%)*25%)</x:f>
      </x:c>
      <x:c r="S465" t="str">
        <x:f>IF(R465="","",IF(R465="Mujer",10,IF(R465="Hombre",'11_Config'!$B$13,0)))</x:f>
      </x:c>
      <x:c r="T465" t="str">
        <x:f>IF(R465="Hombre","REVISAR REGLA OFICIAL","")</x:f>
      </x:c>
      <x:c r="V465" t="str">
        <x:f>IF(A465="","",(Q465*40%+S465*30%+U465*30%)*5%)</x:f>
      </x:c>
      <x:c r="W465" t="str">
        <x:f>IF(A465="","",F465+K465+P465+V465)</x:f>
      </x:c>
      <x:c r="X465" t="str">
        <x:f>IF(W465="","",IF(W465&gt;='11_Config'!$B$9,"Selección prioritaria",IF(W465&gt;='11_Config'!$B$10,"Elegible / reserva",IF(W465&gt;='11_Config'!$B$11,"Elegible condicionado","No recomendado"))))</x:f>
      </x:c>
    </x:row>
    <x:row r="466">
      <x:c r="F466" t="str">
        <x:f>IF(A466="","",(C466*40%+D466*30%+E466*30%)*15%)</x:f>
      </x:c>
      <x:c r="K466" t="str">
        <x:f>IF(A466="","",(G466*35%+H466*35%+I466*20%+J466*10%)*55%)</x:f>
      </x:c>
      <x:c r="P466" t="str">
        <x:f>IF(A466="","",(L466*35%+M466*35%+N466*20%+O466*10%)*25%)</x:f>
      </x:c>
      <x:c r="S466" t="str">
        <x:f>IF(R466="","",IF(R466="Mujer",10,IF(R466="Hombre",'11_Config'!$B$13,0)))</x:f>
      </x:c>
      <x:c r="T466" t="str">
        <x:f>IF(R466="Hombre","REVISAR REGLA OFICIAL","")</x:f>
      </x:c>
      <x:c r="V466" t="str">
        <x:f>IF(A466="","",(Q466*40%+S466*30%+U466*30%)*5%)</x:f>
      </x:c>
      <x:c r="W466" t="str">
        <x:f>IF(A466="","",F466+K466+P466+V466)</x:f>
      </x:c>
      <x:c r="X466" t="str">
        <x:f>IF(W466="","",IF(W466&gt;='11_Config'!$B$9,"Selección prioritaria",IF(W466&gt;='11_Config'!$B$10,"Elegible / reserva",IF(W466&gt;='11_Config'!$B$11,"Elegible condicionado","No recomendado"))))</x:f>
      </x:c>
    </x:row>
    <x:row r="467">
      <x:c r="F467" t="str">
        <x:f>IF(A467="","",(C467*40%+D467*30%+E467*30%)*15%)</x:f>
      </x:c>
      <x:c r="K467" t="str">
        <x:f>IF(A467="","",(G467*35%+H467*35%+I467*20%+J467*10%)*55%)</x:f>
      </x:c>
      <x:c r="P467" t="str">
        <x:f>IF(A467="","",(L467*35%+M467*35%+N467*20%+O467*10%)*25%)</x:f>
      </x:c>
      <x:c r="S467" t="str">
        <x:f>IF(R467="","",IF(R467="Mujer",10,IF(R467="Hombre",'11_Config'!$B$13,0)))</x:f>
      </x:c>
      <x:c r="T467" t="str">
        <x:f>IF(R467="Hombre","REVISAR REGLA OFICIAL","")</x:f>
      </x:c>
      <x:c r="V467" t="str">
        <x:f>IF(A467="","",(Q467*40%+S467*30%+U467*30%)*5%)</x:f>
      </x:c>
      <x:c r="W467" t="str">
        <x:f>IF(A467="","",F467+K467+P467+V467)</x:f>
      </x:c>
      <x:c r="X467" t="str">
        <x:f>IF(W467="","",IF(W467&gt;='11_Config'!$B$9,"Selección prioritaria",IF(W467&gt;='11_Config'!$B$10,"Elegible / reserva",IF(W467&gt;='11_Config'!$B$11,"Elegible condicionado","No recomendado"))))</x:f>
      </x:c>
    </x:row>
    <x:row r="468">
      <x:c r="F468" t="str">
        <x:f>IF(A468="","",(C468*40%+D468*30%+E468*30%)*15%)</x:f>
      </x:c>
      <x:c r="K468" t="str">
        <x:f>IF(A468="","",(G468*35%+H468*35%+I468*20%+J468*10%)*55%)</x:f>
      </x:c>
      <x:c r="P468" t="str">
        <x:f>IF(A468="","",(L468*35%+M468*35%+N468*20%+O468*10%)*25%)</x:f>
      </x:c>
      <x:c r="S468" t="str">
        <x:f>IF(R468="","",IF(R468="Mujer",10,IF(R468="Hombre",'11_Config'!$B$13,0)))</x:f>
      </x:c>
      <x:c r="T468" t="str">
        <x:f>IF(R468="Hombre","REVISAR REGLA OFICIAL","")</x:f>
      </x:c>
      <x:c r="V468" t="str">
        <x:f>IF(A468="","",(Q468*40%+S468*30%+U468*30%)*5%)</x:f>
      </x:c>
      <x:c r="W468" t="str">
        <x:f>IF(A468="","",F468+K468+P468+V468)</x:f>
      </x:c>
      <x:c r="X468" t="str">
        <x:f>IF(W468="","",IF(W468&gt;='11_Config'!$B$9,"Selección prioritaria",IF(W468&gt;='11_Config'!$B$10,"Elegible / reserva",IF(W468&gt;='11_Config'!$B$11,"Elegible condicionado","No recomendado"))))</x:f>
      </x:c>
    </x:row>
    <x:row r="469">
      <x:c r="F469" t="str">
        <x:f>IF(A469="","",(C469*40%+D469*30%+E469*30%)*15%)</x:f>
      </x:c>
      <x:c r="K469" t="str">
        <x:f>IF(A469="","",(G469*35%+H469*35%+I469*20%+J469*10%)*55%)</x:f>
      </x:c>
      <x:c r="P469" t="str">
        <x:f>IF(A469="","",(L469*35%+M469*35%+N469*20%+O469*10%)*25%)</x:f>
      </x:c>
      <x:c r="S469" t="str">
        <x:f>IF(R469="","",IF(R469="Mujer",10,IF(R469="Hombre",'11_Config'!$B$13,0)))</x:f>
      </x:c>
      <x:c r="T469" t="str">
        <x:f>IF(R469="Hombre","REVISAR REGLA OFICIAL","")</x:f>
      </x:c>
      <x:c r="V469" t="str">
        <x:f>IF(A469="","",(Q469*40%+S469*30%+U469*30%)*5%)</x:f>
      </x:c>
      <x:c r="W469" t="str">
        <x:f>IF(A469="","",F469+K469+P469+V469)</x:f>
      </x:c>
      <x:c r="X469" t="str">
        <x:f>IF(W469="","",IF(W469&gt;='11_Config'!$B$9,"Selección prioritaria",IF(W469&gt;='11_Config'!$B$10,"Elegible / reserva",IF(W469&gt;='11_Config'!$B$11,"Elegible condicionado","No recomendado"))))</x:f>
      </x:c>
    </x:row>
    <x:row r="470">
      <x:c r="F470" t="str">
        <x:f>IF(A470="","",(C470*40%+D470*30%+E470*30%)*15%)</x:f>
      </x:c>
      <x:c r="K470" t="str">
        <x:f>IF(A470="","",(G470*35%+H470*35%+I470*20%+J470*10%)*55%)</x:f>
      </x:c>
      <x:c r="P470" t="str">
        <x:f>IF(A470="","",(L470*35%+M470*35%+N470*20%+O470*10%)*25%)</x:f>
      </x:c>
      <x:c r="S470" t="str">
        <x:f>IF(R470="","",IF(R470="Mujer",10,IF(R470="Hombre",'11_Config'!$B$13,0)))</x:f>
      </x:c>
      <x:c r="T470" t="str">
        <x:f>IF(R470="Hombre","REVISAR REGLA OFICIAL","")</x:f>
      </x:c>
      <x:c r="V470" t="str">
        <x:f>IF(A470="","",(Q470*40%+S470*30%+U470*30%)*5%)</x:f>
      </x:c>
      <x:c r="W470" t="str">
        <x:f>IF(A470="","",F470+K470+P470+V470)</x:f>
      </x:c>
      <x:c r="X470" t="str">
        <x:f>IF(W470="","",IF(W470&gt;='11_Config'!$B$9,"Selección prioritaria",IF(W470&gt;='11_Config'!$B$10,"Elegible / reserva",IF(W470&gt;='11_Config'!$B$11,"Elegible condicionado","No recomendado"))))</x:f>
      </x:c>
    </x:row>
    <x:row r="471">
      <x:c r="F471" t="str">
        <x:f>IF(A471="","",(C471*40%+D471*30%+E471*30%)*15%)</x:f>
      </x:c>
      <x:c r="K471" t="str">
        <x:f>IF(A471="","",(G471*35%+H471*35%+I471*20%+J471*10%)*55%)</x:f>
      </x:c>
      <x:c r="P471" t="str">
        <x:f>IF(A471="","",(L471*35%+M471*35%+N471*20%+O471*10%)*25%)</x:f>
      </x:c>
      <x:c r="S471" t="str">
        <x:f>IF(R471="","",IF(R471="Mujer",10,IF(R471="Hombre",'11_Config'!$B$13,0)))</x:f>
      </x:c>
      <x:c r="T471" t="str">
        <x:f>IF(R471="Hombre","REVISAR REGLA OFICIAL","")</x:f>
      </x:c>
      <x:c r="V471" t="str">
        <x:f>IF(A471="","",(Q471*40%+S471*30%+U471*30%)*5%)</x:f>
      </x:c>
      <x:c r="W471" t="str">
        <x:f>IF(A471="","",F471+K471+P471+V471)</x:f>
      </x:c>
      <x:c r="X471" t="str">
        <x:f>IF(W471="","",IF(W471&gt;='11_Config'!$B$9,"Selección prioritaria",IF(W471&gt;='11_Config'!$B$10,"Elegible / reserva",IF(W471&gt;='11_Config'!$B$11,"Elegible condicionado","No recomendado"))))</x:f>
      </x:c>
    </x:row>
    <x:row r="472">
      <x:c r="F472" t="str">
        <x:f>IF(A472="","",(C472*40%+D472*30%+E472*30%)*15%)</x:f>
      </x:c>
      <x:c r="K472" t="str">
        <x:f>IF(A472="","",(G472*35%+H472*35%+I472*20%+J472*10%)*55%)</x:f>
      </x:c>
      <x:c r="P472" t="str">
        <x:f>IF(A472="","",(L472*35%+M472*35%+N472*20%+O472*10%)*25%)</x:f>
      </x:c>
      <x:c r="S472" t="str">
        <x:f>IF(R472="","",IF(R472="Mujer",10,IF(R472="Hombre",'11_Config'!$B$13,0)))</x:f>
      </x:c>
      <x:c r="T472" t="str">
        <x:f>IF(R472="Hombre","REVISAR REGLA OFICIAL","")</x:f>
      </x:c>
      <x:c r="V472" t="str">
        <x:f>IF(A472="","",(Q472*40%+S472*30%+U472*30%)*5%)</x:f>
      </x:c>
      <x:c r="W472" t="str">
        <x:f>IF(A472="","",F472+K472+P472+V472)</x:f>
      </x:c>
      <x:c r="X472" t="str">
        <x:f>IF(W472="","",IF(W472&gt;='11_Config'!$B$9,"Selección prioritaria",IF(W472&gt;='11_Config'!$B$10,"Elegible / reserva",IF(W472&gt;='11_Config'!$B$11,"Elegible condicionado","No recomendado"))))</x:f>
      </x:c>
    </x:row>
    <x:row r="473">
      <x:c r="F473" t="str">
        <x:f>IF(A473="","",(C473*40%+D473*30%+E473*30%)*15%)</x:f>
      </x:c>
      <x:c r="K473" t="str">
        <x:f>IF(A473="","",(G473*35%+H473*35%+I473*20%+J473*10%)*55%)</x:f>
      </x:c>
      <x:c r="P473" t="str">
        <x:f>IF(A473="","",(L473*35%+M473*35%+N473*20%+O473*10%)*25%)</x:f>
      </x:c>
      <x:c r="S473" t="str">
        <x:f>IF(R473="","",IF(R473="Mujer",10,IF(R473="Hombre",'11_Config'!$B$13,0)))</x:f>
      </x:c>
      <x:c r="T473" t="str">
        <x:f>IF(R473="Hombre","REVISAR REGLA OFICIAL","")</x:f>
      </x:c>
      <x:c r="V473" t="str">
        <x:f>IF(A473="","",(Q473*40%+S473*30%+U473*30%)*5%)</x:f>
      </x:c>
      <x:c r="W473" t="str">
        <x:f>IF(A473="","",F473+K473+P473+V473)</x:f>
      </x:c>
      <x:c r="X473" t="str">
        <x:f>IF(W473="","",IF(W473&gt;='11_Config'!$B$9,"Selección prioritaria",IF(W473&gt;='11_Config'!$B$10,"Elegible / reserva",IF(W473&gt;='11_Config'!$B$11,"Elegible condicionado","No recomendado"))))</x:f>
      </x:c>
    </x:row>
    <x:row r="474">
      <x:c r="F474" t="str">
        <x:f>IF(A474="","",(C474*40%+D474*30%+E474*30%)*15%)</x:f>
      </x:c>
      <x:c r="K474" t="str">
        <x:f>IF(A474="","",(G474*35%+H474*35%+I474*20%+J474*10%)*55%)</x:f>
      </x:c>
      <x:c r="P474" t="str">
        <x:f>IF(A474="","",(L474*35%+M474*35%+N474*20%+O474*10%)*25%)</x:f>
      </x:c>
      <x:c r="S474" t="str">
        <x:f>IF(R474="","",IF(R474="Mujer",10,IF(R474="Hombre",'11_Config'!$B$13,0)))</x:f>
      </x:c>
      <x:c r="T474" t="str">
        <x:f>IF(R474="Hombre","REVISAR REGLA OFICIAL","")</x:f>
      </x:c>
      <x:c r="V474" t="str">
        <x:f>IF(A474="","",(Q474*40%+S474*30%+U474*30%)*5%)</x:f>
      </x:c>
      <x:c r="W474" t="str">
        <x:f>IF(A474="","",F474+K474+P474+V474)</x:f>
      </x:c>
      <x:c r="X474" t="str">
        <x:f>IF(W474="","",IF(W474&gt;='11_Config'!$B$9,"Selección prioritaria",IF(W474&gt;='11_Config'!$B$10,"Elegible / reserva",IF(W474&gt;='11_Config'!$B$11,"Elegible condicionado","No recomendado"))))</x:f>
      </x:c>
    </x:row>
    <x:row r="475">
      <x:c r="F475" t="str">
        <x:f>IF(A475="","",(C475*40%+D475*30%+E475*30%)*15%)</x:f>
      </x:c>
      <x:c r="K475" t="str">
        <x:f>IF(A475="","",(G475*35%+H475*35%+I475*20%+J475*10%)*55%)</x:f>
      </x:c>
      <x:c r="P475" t="str">
        <x:f>IF(A475="","",(L475*35%+M475*35%+N475*20%+O475*10%)*25%)</x:f>
      </x:c>
      <x:c r="S475" t="str">
        <x:f>IF(R475="","",IF(R475="Mujer",10,IF(R475="Hombre",'11_Config'!$B$13,0)))</x:f>
      </x:c>
      <x:c r="T475" t="str">
        <x:f>IF(R475="Hombre","REVISAR REGLA OFICIAL","")</x:f>
      </x:c>
      <x:c r="V475" t="str">
        <x:f>IF(A475="","",(Q475*40%+S475*30%+U475*30%)*5%)</x:f>
      </x:c>
      <x:c r="W475" t="str">
        <x:f>IF(A475="","",F475+K475+P475+V475)</x:f>
      </x:c>
      <x:c r="X475" t="str">
        <x:f>IF(W475="","",IF(W475&gt;='11_Config'!$B$9,"Selección prioritaria",IF(W475&gt;='11_Config'!$B$10,"Elegible / reserva",IF(W475&gt;='11_Config'!$B$11,"Elegible condicionado","No recomendado"))))</x:f>
      </x:c>
    </x:row>
    <x:row r="476">
      <x:c r="F476" t="str">
        <x:f>IF(A476="","",(C476*40%+D476*30%+E476*30%)*15%)</x:f>
      </x:c>
      <x:c r="K476" t="str">
        <x:f>IF(A476="","",(G476*35%+H476*35%+I476*20%+J476*10%)*55%)</x:f>
      </x:c>
      <x:c r="P476" t="str">
        <x:f>IF(A476="","",(L476*35%+M476*35%+N476*20%+O476*10%)*25%)</x:f>
      </x:c>
      <x:c r="S476" t="str">
        <x:f>IF(R476="","",IF(R476="Mujer",10,IF(R476="Hombre",'11_Config'!$B$13,0)))</x:f>
      </x:c>
      <x:c r="T476" t="str">
        <x:f>IF(R476="Hombre","REVISAR REGLA OFICIAL","")</x:f>
      </x:c>
      <x:c r="V476" t="str">
        <x:f>IF(A476="","",(Q476*40%+S476*30%+U476*30%)*5%)</x:f>
      </x:c>
      <x:c r="W476" t="str">
        <x:f>IF(A476="","",F476+K476+P476+V476)</x:f>
      </x:c>
      <x:c r="X476" t="str">
        <x:f>IF(W476="","",IF(W476&gt;='11_Config'!$B$9,"Selección prioritaria",IF(W476&gt;='11_Config'!$B$10,"Elegible / reserva",IF(W476&gt;='11_Config'!$B$11,"Elegible condicionado","No recomendado"))))</x:f>
      </x:c>
    </x:row>
    <x:row r="477">
      <x:c r="F477" t="str">
        <x:f>IF(A477="","",(C477*40%+D477*30%+E477*30%)*15%)</x:f>
      </x:c>
      <x:c r="K477" t="str">
        <x:f>IF(A477="","",(G477*35%+H477*35%+I477*20%+J477*10%)*55%)</x:f>
      </x:c>
      <x:c r="P477" t="str">
        <x:f>IF(A477="","",(L477*35%+M477*35%+N477*20%+O477*10%)*25%)</x:f>
      </x:c>
      <x:c r="S477" t="str">
        <x:f>IF(R477="","",IF(R477="Mujer",10,IF(R477="Hombre",'11_Config'!$B$13,0)))</x:f>
      </x:c>
      <x:c r="T477" t="str">
        <x:f>IF(R477="Hombre","REVISAR REGLA OFICIAL","")</x:f>
      </x:c>
      <x:c r="V477" t="str">
        <x:f>IF(A477="","",(Q477*40%+S477*30%+U477*30%)*5%)</x:f>
      </x:c>
      <x:c r="W477" t="str">
        <x:f>IF(A477="","",F477+K477+P477+V477)</x:f>
      </x:c>
      <x:c r="X477" t="str">
        <x:f>IF(W477="","",IF(W477&gt;='11_Config'!$B$9,"Selección prioritaria",IF(W477&gt;='11_Config'!$B$10,"Elegible / reserva",IF(W477&gt;='11_Config'!$B$11,"Elegible condicionado","No recomendado"))))</x:f>
      </x:c>
    </x:row>
    <x:row r="478">
      <x:c r="F478" t="str">
        <x:f>IF(A478="","",(C478*40%+D478*30%+E478*30%)*15%)</x:f>
      </x:c>
      <x:c r="K478" t="str">
        <x:f>IF(A478="","",(G478*35%+H478*35%+I478*20%+J478*10%)*55%)</x:f>
      </x:c>
      <x:c r="P478" t="str">
        <x:f>IF(A478="","",(L478*35%+M478*35%+N478*20%+O478*10%)*25%)</x:f>
      </x:c>
      <x:c r="S478" t="str">
        <x:f>IF(R478="","",IF(R478="Mujer",10,IF(R478="Hombre",'11_Config'!$B$13,0)))</x:f>
      </x:c>
      <x:c r="T478" t="str">
        <x:f>IF(R478="Hombre","REVISAR REGLA OFICIAL","")</x:f>
      </x:c>
      <x:c r="V478" t="str">
        <x:f>IF(A478="","",(Q478*40%+S478*30%+U478*30%)*5%)</x:f>
      </x:c>
      <x:c r="W478" t="str">
        <x:f>IF(A478="","",F478+K478+P478+V478)</x:f>
      </x:c>
      <x:c r="X478" t="str">
        <x:f>IF(W478="","",IF(W478&gt;='11_Config'!$B$9,"Selección prioritaria",IF(W478&gt;='11_Config'!$B$10,"Elegible / reserva",IF(W478&gt;='11_Config'!$B$11,"Elegible condicionado","No recomendado"))))</x:f>
      </x:c>
    </x:row>
    <x:row r="479">
      <x:c r="F479" t="str">
        <x:f>IF(A479="","",(C479*40%+D479*30%+E479*30%)*15%)</x:f>
      </x:c>
      <x:c r="K479" t="str">
        <x:f>IF(A479="","",(G479*35%+H479*35%+I479*20%+J479*10%)*55%)</x:f>
      </x:c>
      <x:c r="P479" t="str">
        <x:f>IF(A479="","",(L479*35%+M479*35%+N479*20%+O479*10%)*25%)</x:f>
      </x:c>
      <x:c r="S479" t="str">
        <x:f>IF(R479="","",IF(R479="Mujer",10,IF(R479="Hombre",'11_Config'!$B$13,0)))</x:f>
      </x:c>
      <x:c r="T479" t="str">
        <x:f>IF(R479="Hombre","REVISAR REGLA OFICIAL","")</x:f>
      </x:c>
      <x:c r="V479" t="str">
        <x:f>IF(A479="","",(Q479*40%+S479*30%+U479*30%)*5%)</x:f>
      </x:c>
      <x:c r="W479" t="str">
        <x:f>IF(A479="","",F479+K479+P479+V479)</x:f>
      </x:c>
      <x:c r="X479" t="str">
        <x:f>IF(W479="","",IF(W479&gt;='11_Config'!$B$9,"Selección prioritaria",IF(W479&gt;='11_Config'!$B$10,"Elegible / reserva",IF(W479&gt;='11_Config'!$B$11,"Elegible condicionado","No recomendado"))))</x:f>
      </x:c>
    </x:row>
    <x:row r="480">
      <x:c r="F480" t="str">
        <x:f>IF(A480="","",(C480*40%+D480*30%+E480*30%)*15%)</x:f>
      </x:c>
      <x:c r="K480" t="str">
        <x:f>IF(A480="","",(G480*35%+H480*35%+I480*20%+J480*10%)*55%)</x:f>
      </x:c>
      <x:c r="P480" t="str">
        <x:f>IF(A480="","",(L480*35%+M480*35%+N480*20%+O480*10%)*25%)</x:f>
      </x:c>
      <x:c r="S480" t="str">
        <x:f>IF(R480="","",IF(R480="Mujer",10,IF(R480="Hombre",'11_Config'!$B$13,0)))</x:f>
      </x:c>
      <x:c r="T480" t="str">
        <x:f>IF(R480="Hombre","REVISAR REGLA OFICIAL","")</x:f>
      </x:c>
      <x:c r="V480" t="str">
        <x:f>IF(A480="","",(Q480*40%+S480*30%+U480*30%)*5%)</x:f>
      </x:c>
      <x:c r="W480" t="str">
        <x:f>IF(A480="","",F480+K480+P480+V480)</x:f>
      </x:c>
      <x:c r="X480" t="str">
        <x:f>IF(W480="","",IF(W480&gt;='11_Config'!$B$9,"Selección prioritaria",IF(W480&gt;='11_Config'!$B$10,"Elegible / reserva",IF(W480&gt;='11_Config'!$B$11,"Elegible condicionado","No recomendado"))))</x:f>
      </x:c>
    </x:row>
    <x:row r="481">
      <x:c r="F481" t="str">
        <x:f>IF(A481="","",(C481*40%+D481*30%+E481*30%)*15%)</x:f>
      </x:c>
      <x:c r="K481" t="str">
        <x:f>IF(A481="","",(G481*35%+H481*35%+I481*20%+J481*10%)*55%)</x:f>
      </x:c>
      <x:c r="P481" t="str">
        <x:f>IF(A481="","",(L481*35%+M481*35%+N481*20%+O481*10%)*25%)</x:f>
      </x:c>
      <x:c r="S481" t="str">
        <x:f>IF(R481="","",IF(R481="Mujer",10,IF(R481="Hombre",'11_Config'!$B$13,0)))</x:f>
      </x:c>
      <x:c r="T481" t="str">
        <x:f>IF(R481="Hombre","REVISAR REGLA OFICIAL","")</x:f>
      </x:c>
      <x:c r="V481" t="str">
        <x:f>IF(A481="","",(Q481*40%+S481*30%+U481*30%)*5%)</x:f>
      </x:c>
      <x:c r="W481" t="str">
        <x:f>IF(A481="","",F481+K481+P481+V481)</x:f>
      </x:c>
      <x:c r="X481" t="str">
        <x:f>IF(W481="","",IF(W481&gt;='11_Config'!$B$9,"Selección prioritaria",IF(W481&gt;='11_Config'!$B$10,"Elegible / reserva",IF(W481&gt;='11_Config'!$B$11,"Elegible condicionado","No recomendado"))))</x:f>
      </x:c>
    </x:row>
    <x:row r="482">
      <x:c r="F482" t="str">
        <x:f>IF(A482="","",(C482*40%+D482*30%+E482*30%)*15%)</x:f>
      </x:c>
      <x:c r="K482" t="str">
        <x:f>IF(A482="","",(G482*35%+H482*35%+I482*20%+J482*10%)*55%)</x:f>
      </x:c>
      <x:c r="P482" t="str">
        <x:f>IF(A482="","",(L482*35%+M482*35%+N482*20%+O482*10%)*25%)</x:f>
      </x:c>
      <x:c r="S482" t="str">
        <x:f>IF(R482="","",IF(R482="Mujer",10,IF(R482="Hombre",'11_Config'!$B$13,0)))</x:f>
      </x:c>
      <x:c r="T482" t="str">
        <x:f>IF(R482="Hombre","REVISAR REGLA OFICIAL","")</x:f>
      </x:c>
      <x:c r="V482" t="str">
        <x:f>IF(A482="","",(Q482*40%+S482*30%+U482*30%)*5%)</x:f>
      </x:c>
      <x:c r="W482" t="str">
        <x:f>IF(A482="","",F482+K482+P482+V482)</x:f>
      </x:c>
      <x:c r="X482" t="str">
        <x:f>IF(W482="","",IF(W482&gt;='11_Config'!$B$9,"Selección prioritaria",IF(W482&gt;='11_Config'!$B$10,"Elegible / reserva",IF(W482&gt;='11_Config'!$B$11,"Elegible condicionado","No recomendado"))))</x:f>
      </x:c>
    </x:row>
    <x:row r="483">
      <x:c r="F483" t="str">
        <x:f>IF(A483="","",(C483*40%+D483*30%+E483*30%)*15%)</x:f>
      </x:c>
      <x:c r="K483" t="str">
        <x:f>IF(A483="","",(G483*35%+H483*35%+I483*20%+J483*10%)*55%)</x:f>
      </x:c>
      <x:c r="P483" t="str">
        <x:f>IF(A483="","",(L483*35%+M483*35%+N483*20%+O483*10%)*25%)</x:f>
      </x:c>
      <x:c r="S483" t="str">
        <x:f>IF(R483="","",IF(R483="Mujer",10,IF(R483="Hombre",'11_Config'!$B$13,0)))</x:f>
      </x:c>
      <x:c r="T483" t="str">
        <x:f>IF(R483="Hombre","REVISAR REGLA OFICIAL","")</x:f>
      </x:c>
      <x:c r="V483" t="str">
        <x:f>IF(A483="","",(Q483*40%+S483*30%+U483*30%)*5%)</x:f>
      </x:c>
      <x:c r="W483" t="str">
        <x:f>IF(A483="","",F483+K483+P483+V483)</x:f>
      </x:c>
      <x:c r="X483" t="str">
        <x:f>IF(W483="","",IF(W483&gt;='11_Config'!$B$9,"Selección prioritaria",IF(W483&gt;='11_Config'!$B$10,"Elegible / reserva",IF(W483&gt;='11_Config'!$B$11,"Elegible condicionado","No recomendado"))))</x:f>
      </x:c>
    </x:row>
    <x:row r="484">
      <x:c r="F484" t="str">
        <x:f>IF(A484="","",(C484*40%+D484*30%+E484*30%)*15%)</x:f>
      </x:c>
      <x:c r="K484" t="str">
        <x:f>IF(A484="","",(G484*35%+H484*35%+I484*20%+J484*10%)*55%)</x:f>
      </x:c>
      <x:c r="P484" t="str">
        <x:f>IF(A484="","",(L484*35%+M484*35%+N484*20%+O484*10%)*25%)</x:f>
      </x:c>
      <x:c r="S484" t="str">
        <x:f>IF(R484="","",IF(R484="Mujer",10,IF(R484="Hombre",'11_Config'!$B$13,0)))</x:f>
      </x:c>
      <x:c r="T484" t="str">
        <x:f>IF(R484="Hombre","REVISAR REGLA OFICIAL","")</x:f>
      </x:c>
      <x:c r="V484" t="str">
        <x:f>IF(A484="","",(Q484*40%+S484*30%+U484*30%)*5%)</x:f>
      </x:c>
      <x:c r="W484" t="str">
        <x:f>IF(A484="","",F484+K484+P484+V484)</x:f>
      </x:c>
      <x:c r="X484" t="str">
        <x:f>IF(W484="","",IF(W484&gt;='11_Config'!$B$9,"Selección prioritaria",IF(W484&gt;='11_Config'!$B$10,"Elegible / reserva",IF(W484&gt;='11_Config'!$B$11,"Elegible condicionado","No recomendado"))))</x:f>
      </x:c>
    </x:row>
    <x:row r="485">
      <x:c r="F485" t="str">
        <x:f>IF(A485="","",(C485*40%+D485*30%+E485*30%)*15%)</x:f>
      </x:c>
      <x:c r="K485" t="str">
        <x:f>IF(A485="","",(G485*35%+H485*35%+I485*20%+J485*10%)*55%)</x:f>
      </x:c>
      <x:c r="P485" t="str">
        <x:f>IF(A485="","",(L485*35%+M485*35%+N485*20%+O485*10%)*25%)</x:f>
      </x:c>
      <x:c r="S485" t="str">
        <x:f>IF(R485="","",IF(R485="Mujer",10,IF(R485="Hombre",'11_Config'!$B$13,0)))</x:f>
      </x:c>
      <x:c r="T485" t="str">
        <x:f>IF(R485="Hombre","REVISAR REGLA OFICIAL","")</x:f>
      </x:c>
      <x:c r="V485" t="str">
        <x:f>IF(A485="","",(Q485*40%+S485*30%+U485*30%)*5%)</x:f>
      </x:c>
      <x:c r="W485" t="str">
        <x:f>IF(A485="","",F485+K485+P485+V485)</x:f>
      </x:c>
      <x:c r="X485" t="str">
        <x:f>IF(W485="","",IF(W485&gt;='11_Config'!$B$9,"Selección prioritaria",IF(W485&gt;='11_Config'!$B$10,"Elegible / reserva",IF(W485&gt;='11_Config'!$B$11,"Elegible condicionado","No recomendado"))))</x:f>
      </x:c>
    </x:row>
    <x:row r="486">
      <x:c r="F486" t="str">
        <x:f>IF(A486="","",(C486*40%+D486*30%+E486*30%)*15%)</x:f>
      </x:c>
      <x:c r="K486" t="str">
        <x:f>IF(A486="","",(G486*35%+H486*35%+I486*20%+J486*10%)*55%)</x:f>
      </x:c>
      <x:c r="P486" t="str">
        <x:f>IF(A486="","",(L486*35%+M486*35%+N486*20%+O486*10%)*25%)</x:f>
      </x:c>
      <x:c r="S486" t="str">
        <x:f>IF(R486="","",IF(R486="Mujer",10,IF(R486="Hombre",'11_Config'!$B$13,0)))</x:f>
      </x:c>
      <x:c r="T486" t="str">
        <x:f>IF(R486="Hombre","REVISAR REGLA OFICIAL","")</x:f>
      </x:c>
      <x:c r="V486" t="str">
        <x:f>IF(A486="","",(Q486*40%+S486*30%+U486*30%)*5%)</x:f>
      </x:c>
      <x:c r="W486" t="str">
        <x:f>IF(A486="","",F486+K486+P486+V486)</x:f>
      </x:c>
      <x:c r="X486" t="str">
        <x:f>IF(W486="","",IF(W486&gt;='11_Config'!$B$9,"Selección prioritaria",IF(W486&gt;='11_Config'!$B$10,"Elegible / reserva",IF(W486&gt;='11_Config'!$B$11,"Elegible condicionado","No recomendado"))))</x:f>
      </x:c>
    </x:row>
    <x:row r="487">
      <x:c r="F487" t="str">
        <x:f>IF(A487="","",(C487*40%+D487*30%+E487*30%)*15%)</x:f>
      </x:c>
      <x:c r="K487" t="str">
        <x:f>IF(A487="","",(G487*35%+H487*35%+I487*20%+J487*10%)*55%)</x:f>
      </x:c>
      <x:c r="P487" t="str">
        <x:f>IF(A487="","",(L487*35%+M487*35%+N487*20%+O487*10%)*25%)</x:f>
      </x:c>
      <x:c r="S487" t="str">
        <x:f>IF(R487="","",IF(R487="Mujer",10,IF(R487="Hombre",'11_Config'!$B$13,0)))</x:f>
      </x:c>
      <x:c r="T487" t="str">
        <x:f>IF(R487="Hombre","REVISAR REGLA OFICIAL","")</x:f>
      </x:c>
      <x:c r="V487" t="str">
        <x:f>IF(A487="","",(Q487*40%+S487*30%+U487*30%)*5%)</x:f>
      </x:c>
      <x:c r="W487" t="str">
        <x:f>IF(A487="","",F487+K487+P487+V487)</x:f>
      </x:c>
      <x:c r="X487" t="str">
        <x:f>IF(W487="","",IF(W487&gt;='11_Config'!$B$9,"Selección prioritaria",IF(W487&gt;='11_Config'!$B$10,"Elegible / reserva",IF(W487&gt;='11_Config'!$B$11,"Elegible condicionado","No recomendado"))))</x:f>
      </x:c>
    </x:row>
    <x:row r="488">
      <x:c r="F488" t="str">
        <x:f>IF(A488="","",(C488*40%+D488*30%+E488*30%)*15%)</x:f>
      </x:c>
      <x:c r="K488" t="str">
        <x:f>IF(A488="","",(G488*35%+H488*35%+I488*20%+J488*10%)*55%)</x:f>
      </x:c>
      <x:c r="P488" t="str">
        <x:f>IF(A488="","",(L488*35%+M488*35%+N488*20%+O488*10%)*25%)</x:f>
      </x:c>
      <x:c r="S488" t="str">
        <x:f>IF(R488="","",IF(R488="Mujer",10,IF(R488="Hombre",'11_Config'!$B$13,0)))</x:f>
      </x:c>
      <x:c r="T488" t="str">
        <x:f>IF(R488="Hombre","REVISAR REGLA OFICIAL","")</x:f>
      </x:c>
      <x:c r="V488" t="str">
        <x:f>IF(A488="","",(Q488*40%+S488*30%+U488*30%)*5%)</x:f>
      </x:c>
      <x:c r="W488" t="str">
        <x:f>IF(A488="","",F488+K488+P488+V488)</x:f>
      </x:c>
      <x:c r="X488" t="str">
        <x:f>IF(W488="","",IF(W488&gt;='11_Config'!$B$9,"Selección prioritaria",IF(W488&gt;='11_Config'!$B$10,"Elegible / reserva",IF(W488&gt;='11_Config'!$B$11,"Elegible condicionado","No recomendado"))))</x:f>
      </x:c>
    </x:row>
    <x:row r="489">
      <x:c r="F489" t="str">
        <x:f>IF(A489="","",(C489*40%+D489*30%+E489*30%)*15%)</x:f>
      </x:c>
      <x:c r="K489" t="str">
        <x:f>IF(A489="","",(G489*35%+H489*35%+I489*20%+J489*10%)*55%)</x:f>
      </x:c>
      <x:c r="P489" t="str">
        <x:f>IF(A489="","",(L489*35%+M489*35%+N489*20%+O489*10%)*25%)</x:f>
      </x:c>
      <x:c r="S489" t="str">
        <x:f>IF(R489="","",IF(R489="Mujer",10,IF(R489="Hombre",'11_Config'!$B$13,0)))</x:f>
      </x:c>
      <x:c r="T489" t="str">
        <x:f>IF(R489="Hombre","REVISAR REGLA OFICIAL","")</x:f>
      </x:c>
      <x:c r="V489" t="str">
        <x:f>IF(A489="","",(Q489*40%+S489*30%+U489*30%)*5%)</x:f>
      </x:c>
      <x:c r="W489" t="str">
        <x:f>IF(A489="","",F489+K489+P489+V489)</x:f>
      </x:c>
      <x:c r="X489" t="str">
        <x:f>IF(W489="","",IF(W489&gt;='11_Config'!$B$9,"Selección prioritaria",IF(W489&gt;='11_Config'!$B$10,"Elegible / reserva",IF(W489&gt;='11_Config'!$B$11,"Elegible condicionado","No recomendado"))))</x:f>
      </x:c>
    </x:row>
    <x:row r="490">
      <x:c r="F490" t="str">
        <x:f>IF(A490="","",(C490*40%+D490*30%+E490*30%)*15%)</x:f>
      </x:c>
      <x:c r="K490" t="str">
        <x:f>IF(A490="","",(G490*35%+H490*35%+I490*20%+J490*10%)*55%)</x:f>
      </x:c>
      <x:c r="P490" t="str">
        <x:f>IF(A490="","",(L490*35%+M490*35%+N490*20%+O490*10%)*25%)</x:f>
      </x:c>
      <x:c r="S490" t="str">
        <x:f>IF(R490="","",IF(R490="Mujer",10,IF(R490="Hombre",'11_Config'!$B$13,0)))</x:f>
      </x:c>
      <x:c r="T490" t="str">
        <x:f>IF(R490="Hombre","REVISAR REGLA OFICIAL","")</x:f>
      </x:c>
      <x:c r="V490" t="str">
        <x:f>IF(A490="","",(Q490*40%+S490*30%+U490*30%)*5%)</x:f>
      </x:c>
      <x:c r="W490" t="str">
        <x:f>IF(A490="","",F490+K490+P490+V490)</x:f>
      </x:c>
      <x:c r="X490" t="str">
        <x:f>IF(W490="","",IF(W490&gt;='11_Config'!$B$9,"Selección prioritaria",IF(W490&gt;='11_Config'!$B$10,"Elegible / reserva",IF(W490&gt;='11_Config'!$B$11,"Elegible condicionado","No recomendado"))))</x:f>
      </x:c>
    </x:row>
    <x:row r="491">
      <x:c r="F491" t="str">
        <x:f>IF(A491="","",(C491*40%+D491*30%+E491*30%)*15%)</x:f>
      </x:c>
      <x:c r="K491" t="str">
        <x:f>IF(A491="","",(G491*35%+H491*35%+I491*20%+J491*10%)*55%)</x:f>
      </x:c>
      <x:c r="P491" t="str">
        <x:f>IF(A491="","",(L491*35%+M491*35%+N491*20%+O491*10%)*25%)</x:f>
      </x:c>
      <x:c r="S491" t="str">
        <x:f>IF(R491="","",IF(R491="Mujer",10,IF(R491="Hombre",'11_Config'!$B$13,0)))</x:f>
      </x:c>
      <x:c r="T491" t="str">
        <x:f>IF(R491="Hombre","REVISAR REGLA OFICIAL","")</x:f>
      </x:c>
      <x:c r="V491" t="str">
        <x:f>IF(A491="","",(Q491*40%+S491*30%+U491*30%)*5%)</x:f>
      </x:c>
      <x:c r="W491" t="str">
        <x:f>IF(A491="","",F491+K491+P491+V491)</x:f>
      </x:c>
      <x:c r="X491" t="str">
        <x:f>IF(W491="","",IF(W491&gt;='11_Config'!$B$9,"Selección prioritaria",IF(W491&gt;='11_Config'!$B$10,"Elegible / reserva",IF(W491&gt;='11_Config'!$B$11,"Elegible condicionado","No recomendado"))))</x:f>
      </x:c>
    </x:row>
    <x:row r="492">
      <x:c r="F492" t="str">
        <x:f>IF(A492="","",(C492*40%+D492*30%+E492*30%)*15%)</x:f>
      </x:c>
      <x:c r="K492" t="str">
        <x:f>IF(A492="","",(G492*35%+H492*35%+I492*20%+J492*10%)*55%)</x:f>
      </x:c>
      <x:c r="P492" t="str">
        <x:f>IF(A492="","",(L492*35%+M492*35%+N492*20%+O492*10%)*25%)</x:f>
      </x:c>
      <x:c r="S492" t="str">
        <x:f>IF(R492="","",IF(R492="Mujer",10,IF(R492="Hombre",'11_Config'!$B$13,0)))</x:f>
      </x:c>
      <x:c r="T492" t="str">
        <x:f>IF(R492="Hombre","REVISAR REGLA OFICIAL","")</x:f>
      </x:c>
      <x:c r="V492" t="str">
        <x:f>IF(A492="","",(Q492*40%+S492*30%+U492*30%)*5%)</x:f>
      </x:c>
      <x:c r="W492" t="str">
        <x:f>IF(A492="","",F492+K492+P492+V492)</x:f>
      </x:c>
      <x:c r="X492" t="str">
        <x:f>IF(W492="","",IF(W492&gt;='11_Config'!$B$9,"Selección prioritaria",IF(W492&gt;='11_Config'!$B$10,"Elegible / reserva",IF(W492&gt;='11_Config'!$B$11,"Elegible condicionado","No recomendado"))))</x:f>
      </x:c>
    </x:row>
    <x:row r="493">
      <x:c r="F493" t="str">
        <x:f>IF(A493="","",(C493*40%+D493*30%+E493*30%)*15%)</x:f>
      </x:c>
      <x:c r="K493" t="str">
        <x:f>IF(A493="","",(G493*35%+H493*35%+I493*20%+J493*10%)*55%)</x:f>
      </x:c>
      <x:c r="P493" t="str">
        <x:f>IF(A493="","",(L493*35%+M493*35%+N493*20%+O493*10%)*25%)</x:f>
      </x:c>
      <x:c r="S493" t="str">
        <x:f>IF(R493="","",IF(R493="Mujer",10,IF(R493="Hombre",'11_Config'!$B$13,0)))</x:f>
      </x:c>
      <x:c r="T493" t="str">
        <x:f>IF(R493="Hombre","REVISAR REGLA OFICIAL","")</x:f>
      </x:c>
      <x:c r="V493" t="str">
        <x:f>IF(A493="","",(Q493*40%+S493*30%+U493*30%)*5%)</x:f>
      </x:c>
      <x:c r="W493" t="str">
        <x:f>IF(A493="","",F493+K493+P493+V493)</x:f>
      </x:c>
      <x:c r="X493" t="str">
        <x:f>IF(W493="","",IF(W493&gt;='11_Config'!$B$9,"Selección prioritaria",IF(W493&gt;='11_Config'!$B$10,"Elegible / reserva",IF(W493&gt;='11_Config'!$B$11,"Elegible condicionado","No recomendado"))))</x:f>
      </x:c>
    </x:row>
    <x:row r="494">
      <x:c r="F494" t="str">
        <x:f>IF(A494="","",(C494*40%+D494*30%+E494*30%)*15%)</x:f>
      </x:c>
      <x:c r="K494" t="str">
        <x:f>IF(A494="","",(G494*35%+H494*35%+I494*20%+J494*10%)*55%)</x:f>
      </x:c>
      <x:c r="P494" t="str">
        <x:f>IF(A494="","",(L494*35%+M494*35%+N494*20%+O494*10%)*25%)</x:f>
      </x:c>
      <x:c r="S494" t="str">
        <x:f>IF(R494="","",IF(R494="Mujer",10,IF(R494="Hombre",'11_Config'!$B$13,0)))</x:f>
      </x:c>
      <x:c r="T494" t="str">
        <x:f>IF(R494="Hombre","REVISAR REGLA OFICIAL","")</x:f>
      </x:c>
      <x:c r="V494" t="str">
        <x:f>IF(A494="","",(Q494*40%+S494*30%+U494*30%)*5%)</x:f>
      </x:c>
      <x:c r="W494" t="str">
        <x:f>IF(A494="","",F494+K494+P494+V494)</x:f>
      </x:c>
      <x:c r="X494" t="str">
        <x:f>IF(W494="","",IF(W494&gt;='11_Config'!$B$9,"Selección prioritaria",IF(W494&gt;='11_Config'!$B$10,"Elegible / reserva",IF(W494&gt;='11_Config'!$B$11,"Elegible condicionado","No recomendado"))))</x:f>
      </x:c>
    </x:row>
    <x:row r="495">
      <x:c r="F495" t="str">
        <x:f>IF(A495="","",(C495*40%+D495*30%+E495*30%)*15%)</x:f>
      </x:c>
      <x:c r="K495" t="str">
        <x:f>IF(A495="","",(G495*35%+H495*35%+I495*20%+J495*10%)*55%)</x:f>
      </x:c>
      <x:c r="P495" t="str">
        <x:f>IF(A495="","",(L495*35%+M495*35%+N495*20%+O495*10%)*25%)</x:f>
      </x:c>
      <x:c r="S495" t="str">
        <x:f>IF(R495="","",IF(R495="Mujer",10,IF(R495="Hombre",'11_Config'!$B$13,0)))</x:f>
      </x:c>
      <x:c r="T495" t="str">
        <x:f>IF(R495="Hombre","REVISAR REGLA OFICIAL","")</x:f>
      </x:c>
      <x:c r="V495" t="str">
        <x:f>IF(A495="","",(Q495*40%+S495*30%+U495*30%)*5%)</x:f>
      </x:c>
      <x:c r="W495" t="str">
        <x:f>IF(A495="","",F495+K495+P495+V495)</x:f>
      </x:c>
      <x:c r="X495" t="str">
        <x:f>IF(W495="","",IF(W495&gt;='11_Config'!$B$9,"Selección prioritaria",IF(W495&gt;='11_Config'!$B$10,"Elegible / reserva",IF(W495&gt;='11_Config'!$B$11,"Elegible condicionado","No recomendado"))))</x:f>
      </x:c>
    </x:row>
    <x:row r="496">
      <x:c r="F496" t="str">
        <x:f>IF(A496="","",(C496*40%+D496*30%+E496*30%)*15%)</x:f>
      </x:c>
      <x:c r="K496" t="str">
        <x:f>IF(A496="","",(G496*35%+H496*35%+I496*20%+J496*10%)*55%)</x:f>
      </x:c>
      <x:c r="P496" t="str">
        <x:f>IF(A496="","",(L496*35%+M496*35%+N496*20%+O496*10%)*25%)</x:f>
      </x:c>
      <x:c r="S496" t="str">
        <x:f>IF(R496="","",IF(R496="Mujer",10,IF(R496="Hombre",'11_Config'!$B$13,0)))</x:f>
      </x:c>
      <x:c r="T496" t="str">
        <x:f>IF(R496="Hombre","REVISAR REGLA OFICIAL","")</x:f>
      </x:c>
      <x:c r="V496" t="str">
        <x:f>IF(A496="","",(Q496*40%+S496*30%+U496*30%)*5%)</x:f>
      </x:c>
      <x:c r="W496" t="str">
        <x:f>IF(A496="","",F496+K496+P496+V496)</x:f>
      </x:c>
      <x:c r="X496" t="str">
        <x:f>IF(W496="","",IF(W496&gt;='11_Config'!$B$9,"Selección prioritaria",IF(W496&gt;='11_Config'!$B$10,"Elegible / reserva",IF(W496&gt;='11_Config'!$B$11,"Elegible condicionado","No recomendado"))))</x:f>
      </x:c>
    </x:row>
    <x:row r="497">
      <x:c r="F497" t="str">
        <x:f>IF(A497="","",(C497*40%+D497*30%+E497*30%)*15%)</x:f>
      </x:c>
      <x:c r="K497" t="str">
        <x:f>IF(A497="","",(G497*35%+H497*35%+I497*20%+J497*10%)*55%)</x:f>
      </x:c>
      <x:c r="P497" t="str">
        <x:f>IF(A497="","",(L497*35%+M497*35%+N497*20%+O497*10%)*25%)</x:f>
      </x:c>
      <x:c r="S497" t="str">
        <x:f>IF(R497="","",IF(R497="Mujer",10,IF(R497="Hombre",'11_Config'!$B$13,0)))</x:f>
      </x:c>
      <x:c r="T497" t="str">
        <x:f>IF(R497="Hombre","REVISAR REGLA OFICIAL","")</x:f>
      </x:c>
      <x:c r="V497" t="str">
        <x:f>IF(A497="","",(Q497*40%+S497*30%+U497*30%)*5%)</x:f>
      </x:c>
      <x:c r="W497" t="str">
        <x:f>IF(A497="","",F497+K497+P497+V497)</x:f>
      </x:c>
      <x:c r="X497" t="str">
        <x:f>IF(W497="","",IF(W497&gt;='11_Config'!$B$9,"Selección prioritaria",IF(W497&gt;='11_Config'!$B$10,"Elegible / reserva",IF(W497&gt;='11_Config'!$B$11,"Elegible condicionado","No recomendado"))))</x:f>
      </x:c>
    </x:row>
    <x:row r="498">
      <x:c r="F498" t="str">
        <x:f>IF(A498="","",(C498*40%+D498*30%+E498*30%)*15%)</x:f>
      </x:c>
      <x:c r="K498" t="str">
        <x:f>IF(A498="","",(G498*35%+H498*35%+I498*20%+J498*10%)*55%)</x:f>
      </x:c>
      <x:c r="P498" t="str">
        <x:f>IF(A498="","",(L498*35%+M498*35%+N498*20%+O498*10%)*25%)</x:f>
      </x:c>
      <x:c r="S498" t="str">
        <x:f>IF(R498="","",IF(R498="Mujer",10,IF(R498="Hombre",'11_Config'!$B$13,0)))</x:f>
      </x:c>
      <x:c r="T498" t="str">
        <x:f>IF(R498="Hombre","REVISAR REGLA OFICIAL","")</x:f>
      </x:c>
      <x:c r="V498" t="str">
        <x:f>IF(A498="","",(Q498*40%+S498*30%+U498*30%)*5%)</x:f>
      </x:c>
      <x:c r="W498" t="str">
        <x:f>IF(A498="","",F498+K498+P498+V498)</x:f>
      </x:c>
      <x:c r="X498" t="str">
        <x:f>IF(W498="","",IF(W498&gt;='11_Config'!$B$9,"Selección prioritaria",IF(W498&gt;='11_Config'!$B$10,"Elegible / reserva",IF(W498&gt;='11_Config'!$B$11,"Elegible condicionado","No recomendado"))))</x:f>
      </x:c>
    </x:row>
    <x:row r="499">
      <x:c r="F499" t="str">
        <x:f>IF(A499="","",(C499*40%+D499*30%+E499*30%)*15%)</x:f>
      </x:c>
      <x:c r="K499" t="str">
        <x:f>IF(A499="","",(G499*35%+H499*35%+I499*20%+J499*10%)*55%)</x:f>
      </x:c>
      <x:c r="P499" t="str">
        <x:f>IF(A499="","",(L499*35%+M499*35%+N499*20%+O499*10%)*25%)</x:f>
      </x:c>
      <x:c r="S499" t="str">
        <x:f>IF(R499="","",IF(R499="Mujer",10,IF(R499="Hombre",'11_Config'!$B$13,0)))</x:f>
      </x:c>
      <x:c r="T499" t="str">
        <x:f>IF(R499="Hombre","REVISAR REGLA OFICIAL","")</x:f>
      </x:c>
      <x:c r="V499" t="str">
        <x:f>IF(A499="","",(Q499*40%+S499*30%+U499*30%)*5%)</x:f>
      </x:c>
      <x:c r="W499" t="str">
        <x:f>IF(A499="","",F499+K499+P499+V499)</x:f>
      </x:c>
      <x:c r="X499" t="str">
        <x:f>IF(W499="","",IF(W499&gt;='11_Config'!$B$9,"Selección prioritaria",IF(W499&gt;='11_Config'!$B$10,"Elegible / reserva",IF(W499&gt;='11_Config'!$B$11,"Elegible condicionado","No recomendado"))))</x:f>
      </x:c>
    </x:row>
    <x:row r="500">
      <x:c r="F500" t="str">
        <x:f>IF(A500="","",(C500*40%+D500*30%+E500*30%)*15%)</x:f>
      </x:c>
      <x:c r="K500" t="str">
        <x:f>IF(A500="","",(G500*35%+H500*35%+I500*20%+J500*10%)*55%)</x:f>
      </x:c>
      <x:c r="P500" t="str">
        <x:f>IF(A500="","",(L500*35%+M500*35%+N500*20%+O500*10%)*25%)</x:f>
      </x:c>
      <x:c r="S500" t="str">
        <x:f>IF(R500="","",IF(R500="Mujer",10,IF(R500="Hombre",'11_Config'!$B$13,0)))</x:f>
      </x:c>
      <x:c r="T500" t="str">
        <x:f>IF(R500="Hombre","REVISAR REGLA OFICIAL","")</x:f>
      </x:c>
      <x:c r="V500" t="str">
        <x:f>IF(A500="","",(Q500*40%+S500*30%+U500*30%)*5%)</x:f>
      </x:c>
      <x:c r="W500" t="str">
        <x:f>IF(A500="","",F500+K500+P500+V500)</x:f>
      </x:c>
      <x:c r="X500" t="str">
        <x:f>IF(W500="","",IF(W500&gt;='11_Config'!$B$9,"Selección prioritaria",IF(W500&gt;='11_Config'!$B$10,"Elegible / reserva",IF(W500&gt;='11_Config'!$B$11,"Elegible condicionado","No recomendado"))))</x:f>
      </x:c>
    </x:row>
  </x:sheetData>
  <x:dataValidations count="13">
    <x:dataValidation type="list" sqref="C2:C500">
      <x:formula1>"0,5,10"</x:formula1>
    </x:dataValidation>
    <x:dataValidation type="list" sqref="D2:D500">
      <x:formula1>"0,5,10"</x:formula1>
    </x:dataValidation>
    <x:dataValidation type="list" sqref="E2:E500">
      <x:formula1>"0,5,10"</x:formula1>
    </x:dataValidation>
    <x:dataValidation type="list" sqref="G2:G500">
      <x:formula1>"0,5,10"</x:formula1>
    </x:dataValidation>
    <x:dataValidation type="list" sqref="H2:H500">
      <x:formula1>"0,5,10"</x:formula1>
    </x:dataValidation>
    <x:dataValidation type="list" sqref="I2:I500">
      <x:formula1>"0,5,10"</x:formula1>
    </x:dataValidation>
    <x:dataValidation type="list" sqref="J2:J500">
      <x:formula1>"0,5,10"</x:formula1>
    </x:dataValidation>
    <x:dataValidation type="list" sqref="L2:L500">
      <x:formula1>"0,5,10"</x:formula1>
    </x:dataValidation>
    <x:dataValidation type="list" sqref="M2:M500">
      <x:formula1>"0,5,10"</x:formula1>
    </x:dataValidation>
    <x:dataValidation type="list" sqref="N2:N500">
      <x:formula1>"0,5,10"</x:formula1>
    </x:dataValidation>
    <x:dataValidation type="list" sqref="O2:O500">
      <x:formula1>"0,5,10"</x:formula1>
    </x:dataValidation>
    <x:dataValidation type="list" sqref="Q2:Q500">
      <x:formula1>"0,5,10"</x:formula1>
    </x:dataValidation>
    <x:dataValidation type="list" sqref="U2:U500">
      <x:formula1>"0,5,10"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9" t="str">
        <x:v>ID_Postulante</x:v>
      </x:c>
      <x:c r="B1" s="9" t="str">
        <x:v>Tipo</x:v>
      </x:c>
      <x:c r="C1" s="9" t="str">
        <x:v>Institucion</x:v>
      </x:c>
      <x:c r="D1" s="9" t="str">
        <x:v>Validador</x:v>
      </x:c>
      <x:c r="E1" s="9" t="str">
        <x:v>Resultado</x:v>
      </x:c>
      <x:c r="F1" s="9" t="str">
        <x:v>Observaciones</x:v>
      </x:c>
      <x:c r="G1" s="9" t="str">
        <x:v>Fecha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>
      <x:c r="A1" s="9" t="str">
        <x:v>Posicion_provincia</x:v>
      </x:c>
      <x:c r="B1" s="9" t="str">
        <x:v>ID_Postulante</x:v>
      </x:c>
      <x:c r="C1" s="9" t="str">
        <x:v>Nombre</x:v>
      </x:c>
      <x:c r="D1" s="9" t="str">
        <x:v>Provincia</x:v>
      </x:c>
      <x:c r="E1" s="9" t="str">
        <x:v>Region</x:v>
      </x:c>
      <x:c r="F1" s="9" t="str">
        <x:v>Institucion</x:v>
      </x:c>
      <x:c r="G1" s="9" t="str">
        <x:v>Admisibilidad</x:v>
      </x:c>
      <x:c r="H1" s="9" t="str">
        <x:v>Puntaje</x:v>
      </x:c>
      <x:c r="I1" s="9" t="str">
        <x:v>Clasificacion</x:v>
      </x:c>
      <x:c r="J1" s="9" t="str">
        <x:v>Empate</x:v>
      </x:c>
      <x:c r="K1" s="9" t="str">
        <x:v>Estado_aprobacion</x:v>
      </x:c>
      <x:c r="L1" s="9" t="str">
        <x:v>Estado_final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9" t="str">
        <x:v>Provincia</x:v>
      </x:c>
      <x:c r="B1" s="9" t="str">
        <x:v>Posicion</x:v>
      </x:c>
      <x:c r="C1" s="9" t="str">
        <x:v>ID_Postulante</x:v>
      </x:c>
      <x:c r="D1" s="9" t="str">
        <x:v>Nombre</x:v>
      </x:c>
      <x:c r="E1" s="9" t="str">
        <x:v>Puntaje</x:v>
      </x:c>
      <x:c r="F1" s="9" t="str">
        <x:v>Estado_aprobacion</x:v>
      </x:c>
      <x:c r="G1" s="9" t="str">
        <x:v>Confirmacion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9" t="str">
        <x:v>Provincia</x:v>
      </x:c>
      <x:c r="B1" s="9" t="str">
        <x:v>Posicion_reserva</x:v>
      </x:c>
      <x:c r="C1" s="9" t="str">
        <x:v>ID_Postulante</x:v>
      </x:c>
      <x:c r="D1" s="9" t="str">
        <x:v>Nombre</x:v>
      </x:c>
      <x:c r="E1" s="9" t="str">
        <x:v>Puntaje</x:v>
      </x:c>
      <x:c r="F1" s="9" t="str">
        <x:v>Estado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9" t="str">
        <x:v>ID_Postulante</x:v>
      </x:c>
      <x:c r="B1" s="9" t="str">
        <x:v>Correo</x:v>
      </x:c>
      <x:c r="C1" s="9" t="str">
        <x:v>Tipo</x:v>
      </x:c>
      <x:c r="D1" s="9" t="str">
        <x:v>Estado</x:v>
      </x:c>
      <x:c r="E1" s="9" t="str">
        <x:v>Fecha</x:v>
      </x:c>
      <x:c r="F1" s="9" t="str">
        <x:v>Asunto</x:v>
      </x:c>
      <x:c r="G1" s="9" t="str">
        <x:v>Detalle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</x:cols>
  <x:sheetData>
    <x:row r="1">
      <x:c r="A1" s="9" t="str">
        <x:v>Provincia</x:v>
      </x:c>
      <x:c r="B1" s="9" t="str">
        <x:v>Región</x:v>
      </x:c>
    </x:row>
    <x:row r="2">
      <x:c r="A2" t="str">
        <x:v>Pinar del Río</x:v>
      </x:c>
      <x:c r="B2" t="str">
        <x:v>Occidente</x:v>
      </x:c>
    </x:row>
    <x:row r="3">
      <x:c r="A3" t="str">
        <x:v>Artemisa</x:v>
      </x:c>
      <x:c r="B3" t="str">
        <x:v>Occidente</x:v>
      </x:c>
    </x:row>
    <x:row r="4">
      <x:c r="A4" t="str">
        <x:v>La Habana</x:v>
      </x:c>
      <x:c r="B4" t="str">
        <x:v>Occidente</x:v>
      </x:c>
    </x:row>
    <x:row r="5">
      <x:c r="A5" t="str">
        <x:v>Mayabeque</x:v>
      </x:c>
      <x:c r="B5" t="str">
        <x:v>Occidente</x:v>
      </x:c>
    </x:row>
    <x:row r="6">
      <x:c r="A6" t="str">
        <x:v>Matanzas</x:v>
      </x:c>
      <x:c r="B6" t="str">
        <x:v>Occidente</x:v>
      </x:c>
    </x:row>
    <x:row r="7">
      <x:c r="A7" t="str">
        <x:v>Isla de la Juventud</x:v>
      </x:c>
      <x:c r="B7" t="str">
        <x:v>Occidente</x:v>
      </x:c>
    </x:row>
    <x:row r="8">
      <x:c r="A8" t="str">
        <x:v>Villa Clara</x:v>
      </x:c>
      <x:c r="B8" t="str">
        <x:v>Centro</x:v>
      </x:c>
    </x:row>
    <x:row r="9">
      <x:c r="A9" t="str">
        <x:v>Cienfuegos</x:v>
      </x:c>
      <x:c r="B9" t="str">
        <x:v>Centro</x:v>
      </x:c>
    </x:row>
    <x:row r="10">
      <x:c r="A10" t="str">
        <x:v>Sancti Spíritus</x:v>
      </x:c>
      <x:c r="B10" t="str">
        <x:v>Centro</x:v>
      </x:c>
    </x:row>
    <x:row r="11">
      <x:c r="A11" t="str">
        <x:v>Ciego de Ávila</x:v>
      </x:c>
      <x:c r="B11" t="str">
        <x:v>Centro</x:v>
      </x:c>
    </x:row>
    <x:row r="12">
      <x:c r="A12" t="str">
        <x:v>Camagüey</x:v>
      </x:c>
      <x:c r="B12" t="str">
        <x:v>Centro</x:v>
      </x:c>
    </x:row>
    <x:row r="13">
      <x:c r="A13" t="str">
        <x:v>Las Tunas</x:v>
      </x:c>
      <x:c r="B13" t="str">
        <x:v>Oriente</x:v>
      </x:c>
    </x:row>
    <x:row r="14">
      <x:c r="A14" t="str">
        <x:v>Holguín</x:v>
      </x:c>
      <x:c r="B14" t="str">
        <x:v>Oriente</x:v>
      </x:c>
    </x:row>
    <x:row r="15">
      <x:c r="A15" t="str">
        <x:v>Granma</x:v>
      </x:c>
      <x:c r="B15" t="str">
        <x:v>Oriente</x:v>
      </x:c>
    </x:row>
    <x:row r="16">
      <x:c r="A16" t="str">
        <x:v>Santiago de Cuba</x:v>
      </x:c>
      <x:c r="B16" t="str">
        <x:v>Oriente</x:v>
      </x:c>
    </x:row>
    <x:row r="17">
      <x:c r="A17" t="str">
        <x:v>Guantánamo</x:v>
      </x:c>
      <x:c r="B17" t="str">
        <x:v>Oriente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</x:cols>
  <x:sheetData>
    <x:row r="1">
      <x:c r="A1" s="9" t="str">
        <x:v>Parámetro</x:v>
      </x:c>
      <x:c r="B1" s="9" t="str">
        <x:v>Valor</x:v>
      </x:c>
      <x:c r="C1" s="9" t="str">
        <x:v>Nota</x:v>
      </x:c>
    </x:row>
    <x:row r="2">
      <x:c r="A2" s="14" t="str">
        <x:v>Nombre_convocatoria</x:v>
      </x:c>
      <x:c r="B2" s="14" t="str">
        <x:v>Formación de Formadores FdF 2026</x:v>
      </x:c>
      <x:c r="C2" s="14" t="str">
        <x:v>Oficial</x:v>
      </x:c>
    </x:row>
    <x:row r="3">
      <x:c r="A3" s="14" t="str">
        <x:v>Cupo_por_provincia</x:v>
      </x:c>
      <x:c r="B3" s="14" t="n">
        <x:v>4</x:v>
      </x:c>
      <x:c r="C3" s="14" t="str">
        <x:v>Oficial</x:v>
      </x:c>
    </x:row>
    <x:row r="4">
      <x:c r="A4" s="14" t="str">
        <x:v>Total_provincial</x:v>
      </x:c>
      <x:c r="B4" s="14" t="n">
        <x:v>64</x:v>
      </x:c>
      <x:c r="C4" s="14" t="str">
        <x:v>Oficial</x:v>
      </x:c>
    </x:row>
    <x:row r="5">
      <x:c r="A5" s="14" t="str">
        <x:v>Peso_vinculacion</x:v>
      </x:c>
      <x:c r="B5" s="14" t="n">
        <x:v>15</x:v>
      </x:c>
      <x:c r="C5" s="14" t="str">
        <x:v>Oficial</x:v>
      </x:c>
    </x:row>
    <x:row r="6">
      <x:c r="A6" s="14" t="str">
        <x:v>Peso_capacidades</x:v>
      </x:c>
      <x:c r="B6" s="14" t="n">
        <x:v>55</x:v>
      </x:c>
      <x:c r="C6" s="14" t="str">
        <x:v>Oficial</x:v>
      </x:c>
    </x:row>
    <x:row r="7">
      <x:c r="A7" s="14" t="str">
        <x:v>Peso_replica</x:v>
      </x:c>
      <x:c r="B7" s="14" t="n">
        <x:v>25</x:v>
      </x:c>
      <x:c r="C7" s="14" t="str">
        <x:v>Oficial</x:v>
      </x:c>
    </x:row>
    <x:row r="8">
      <x:c r="A8" s="14" t="str">
        <x:v>Peso_inclusion</x:v>
      </x:c>
      <x:c r="B8" s="14" t="n">
        <x:v>5</x:v>
      </x:c>
      <x:c r="C8" s="14" t="str">
        <x:v>Oficial</x:v>
      </x:c>
    </x:row>
    <x:row r="9">
      <x:c r="A9" s="14" t="str">
        <x:v>Umbral_prioritaria</x:v>
      </x:c>
      <x:c r="B9" s="14" t="n">
        <x:v>80</x:v>
      </x:c>
      <x:c r="C9" s="14" t="str">
        <x:v>Oficial</x:v>
      </x:c>
    </x:row>
    <x:row r="10">
      <x:c r="A10" s="14" t="str">
        <x:v>Umbral_reserva</x:v>
      </x:c>
      <x:c r="B10" s="14" t="n">
        <x:v>70</x:v>
      </x:c>
      <x:c r="C10" s="14" t="str">
        <x:v>Oficial</x:v>
      </x:c>
    </x:row>
    <x:row r="11">
      <x:c r="A11" s="14" t="str">
        <x:v>Umbral_condicionado</x:v>
      </x:c>
      <x:c r="B11" s="14" t="n">
        <x:v>60</x:v>
      </x:c>
      <x:c r="C11" s="14" t="str">
        <x:v>Oficial</x:v>
      </x:c>
    </x:row>
    <x:row r="12">
      <x:c r="A12" s="14" t="str">
        <x:v>Puntos_mujer</x:v>
      </x:c>
      <x:c r="B12" s="14" t="n">
        <x:v>10</x:v>
      </x:c>
      <x:c r="C12" s="14" t="str">
        <x:v>Oficial</x:v>
      </x:c>
    </x:row>
    <x:row r="13">
      <x:c r="A13" s="14" t="str">
        <x:v>Puntos_hombre</x:v>
      </x:c>
      <x:c r="B13" s="14" t="n">
        <x:v>5</x:v>
      </x:c>
      <x:c r="C13" s="14" t="str">
        <x:v>PENDIENTE: Anexo 1=5 / Anexo 2=10</x:v>
      </x:c>
    </x:row>
    <x:row r="14">
      <x:c r="A14" s="14" t="str">
        <x:v>Plazo_subsanacion_dias</x:v>
      </x:c>
      <x:c r="B14" s="14" t="str"/>
      <x:c r="C14" s="14" t="str">
        <x:v>PENDIENTE</x:v>
      </x:c>
    </x:row>
    <x:row r="15">
      <x:c r="A15" s="14" t="str">
        <x:v>Correo_FdF</x:v>
      </x:c>
      <x:c r="B15" s="14" t="str"/>
      <x:c r="C15" s="14" t="str">
        <x:v>Completar</x:v>
      </x:c>
    </x:row>
    <x:row r="16">
      <x:c r="A16" s="14" t="str">
        <x:v>Drive_FdF_ID</x:v>
      </x:c>
      <x:c r="B16" s="14" t="str"/>
      <x:c r="C16" s="14" t="str">
        <x:v>Completar</x:v>
      </x:c>
    </x:row>
    <x:row r="17">
      <x:c r="A17" s="14" t="str">
        <x:v>Fecha_apertura</x:v>
      </x:c>
      <x:c r="B17" s="14" t="str">
        <x:v>2026-08-14</x:v>
      </x:c>
      <x:c r="C17" s="14" t="str">
        <x:v>Oficial</x:v>
      </x:c>
    </x:row>
    <x:row r="18">
      <x:c r="A18" s="14" t="str">
        <x:v>Fecha_cierre</x:v>
      </x:c>
      <x:c r="B18" s="14" t="str">
        <x:v>2026-08-23</x:v>
      </x:c>
      <x:c r="C18" s="14" t="str">
        <x:v>Oficial</x:v>
      </x:c>
    </x:row>
    <x:row r="19">
      <x:c r="A19" s="14" t="str">
        <x:v>Evaluacion_inicio</x:v>
      </x:c>
      <x:c r="B19" s="14" t="str">
        <x:v>2026-08-24</x:v>
      </x:c>
      <x:c r="C19" s="14" t="str">
        <x:v>Oficial</x:v>
      </x:c>
    </x:row>
    <x:row r="20">
      <x:c r="A20" s="14" t="str">
        <x:v>Evaluacion_fin</x:v>
      </x:c>
      <x:c r="B20" s="14" t="str">
        <x:v>2026-08-28</x:v>
      </x:c>
      <x:c r="C20" s="14" t="str">
        <x:v>Oficial</x:v>
      </x:c>
    </x:row>
    <x:row r="21">
      <x:c r="A21" s="14" t="str">
        <x:v>Fecha_notificacion</x:v>
      </x:c>
      <x:c r="B21" s="14" t="str">
        <x:v>2026-09-04</x:v>
      </x:c>
      <x:c r="C21" s="14" t="str">
        <x:v>Oficial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1">
      <x:c r="A1" s="9" t="str">
        <x:v>Fecha_hora</x:v>
      </x:c>
      <x:c r="B1" s="9" t="str">
        <x:v>Usuario</x:v>
      </x:c>
      <x:c r="C1" s="9" t="str">
        <x:v>Accion</x:v>
      </x:c>
      <x:c r="D1" s="9" t="str">
        <x:v>ID_Postulante</x:v>
      </x:c>
      <x:c r="E1" s="9" t="str">
        <x:v>Detalle</x:v>
      </x:c>
      <x:c r="F1" s="9" t="str">
        <x:v>Resultado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58" hidden="0" customWidth="1"/>
    <x:col min="4" max="4" width="18" hidden="0" customWidth="1"/>
    <x:col min="5" max="5" width="72" hidden="0" customWidth="1"/>
    <x:col min="6" max="6" width="46" hidden="0" customWidth="1"/>
    <x:col min="7" max="7" width="14" hidden="0" customWidth="1"/>
    <x:col min="8" max="8" width="22" hidden="0" customWidth="1"/>
  </x:cols>
  <x:sheetData>
    <x:row r="1">
      <x:c r="A1" s="9" t="str">
        <x:v>Código</x:v>
      </x:c>
      <x:c r="B1" s="9" t="str">
        <x:v>Sección</x:v>
      </x:c>
      <x:c r="C1" s="9" t="str">
        <x:v>Pregunta</x:v>
      </x:c>
      <x:c r="D1" s="9" t="str">
        <x:v>Tipo</x:v>
      </x:c>
      <x:c r="E1" s="9" t="str">
        <x:v>Opciones</x:v>
      </x:c>
      <x:c r="F1" s="9" t="str">
        <x:v>Atributo / uso</x:v>
      </x:c>
      <x:c r="G1" s="9" t="str">
        <x:v>Obligatoria</x:v>
      </x:c>
      <x:c r="H1" s="9" t="str">
        <x:v>Fuente</x:v>
      </x:c>
    </x:row>
    <x:row r="2">
      <x:c r="A2" s="14" t="str">
        <x:v>FDF-01</x:v>
      </x:c>
      <x:c r="B2" s="14" t="str">
        <x:v>1</x:v>
      </x:c>
      <x:c r="C2" s="14" t="str">
        <x:v>Escriba su primer nombre</x:v>
      </x:c>
      <x:c r="D2" s="14" t="str">
        <x:v>Respuesta corta</x:v>
      </x:c>
      <x:c r="E2" s="14" t="str"/>
      <x:c r="F2" s="14" t="str">
        <x:v>No puntúa</x:v>
      </x:c>
      <x:c r="G2" s="14" t="str">
        <x:v>Sí</x:v>
      </x:c>
      <x:c r="H2" s="14" t="str">
        <x:v>Anexo 2 aprobado</x:v>
      </x:c>
    </x:row>
    <x:row r="3">
      <x:c r="A3" s="14" t="str">
        <x:v>FDF-02</x:v>
      </x:c>
      <x:c r="B3" s="14" t="str">
        <x:v>1</x:v>
      </x:c>
      <x:c r="C3" s="14" t="str">
        <x:v>Escriba su segundo nombre, si aplica</x:v>
      </x:c>
      <x:c r="D3" s="14" t="str">
        <x:v>Respuesta corta</x:v>
      </x:c>
      <x:c r="E3" s="14" t="str"/>
      <x:c r="F3" s="14" t="str">
        <x:v>No puntúa</x:v>
      </x:c>
      <x:c r="G3" s="14" t="str">
        <x:v>No</x:v>
      </x:c>
      <x:c r="H3" s="14" t="str">
        <x:v>Anexo 2 aprobado</x:v>
      </x:c>
    </x:row>
    <x:row r="4">
      <x:c r="A4" s="14" t="str">
        <x:v>FDF-03</x:v>
      </x:c>
      <x:c r="B4" s="14" t="str">
        <x:v>1</x:v>
      </x:c>
      <x:c r="C4" s="14" t="str">
        <x:v>Escriba su primer apellido</x:v>
      </x:c>
      <x:c r="D4" s="14" t="str">
        <x:v>Respuesta corta</x:v>
      </x:c>
      <x:c r="E4" s="14" t="str"/>
      <x:c r="F4" s="14" t="str">
        <x:v>No puntúa</x:v>
      </x:c>
      <x:c r="G4" s="14" t="str">
        <x:v>Sí</x:v>
      </x:c>
      <x:c r="H4" s="14" t="str">
        <x:v>Anexo 2 aprobado</x:v>
      </x:c>
    </x:row>
    <x:row r="5">
      <x:c r="A5" s="14" t="str">
        <x:v>FDF-04</x:v>
      </x:c>
      <x:c r="B5" s="14" t="str">
        <x:v>1</x:v>
      </x:c>
      <x:c r="C5" s="14" t="str">
        <x:v>Escriba su segundo apellido</x:v>
      </x:c>
      <x:c r="D5" s="14" t="str">
        <x:v>Respuesta corta</x:v>
      </x:c>
      <x:c r="E5" s="14" t="str"/>
      <x:c r="F5" s="14" t="str">
        <x:v>No puntúa</x:v>
      </x:c>
      <x:c r="G5" s="14" t="str">
        <x:v>Sí</x:v>
      </x:c>
      <x:c r="H5" s="14" t="str">
        <x:v>Anexo 2 aprobado</x:v>
      </x:c>
    </x:row>
    <x:row r="6">
      <x:c r="A6" s="14" t="str">
        <x:v>FDF-05</x:v>
      </x:c>
      <x:c r="B6" s="14" t="str">
        <x:v>1</x:v>
      </x:c>
      <x:c r="C6" s="14" t="str">
        <x:v>Número de identificación</x:v>
      </x:c>
      <x:c r="D6" s="14" t="str">
        <x:v>Respuesta corta</x:v>
      </x:c>
      <x:c r="E6" s="14" t="str"/>
      <x:c r="F6" s="14" t="str">
        <x:v>No puntúa</x:v>
      </x:c>
      <x:c r="G6" s="14" t="str">
        <x:v>Sí</x:v>
      </x:c>
      <x:c r="H6" s="14" t="str">
        <x:v>Anexo 2 aprobado</x:v>
      </x:c>
    </x:row>
    <x:row r="7">
      <x:c r="A7" s="14" t="str">
        <x:v>FDF-06</x:v>
      </x:c>
      <x:c r="B7" s="14" t="str">
        <x:v>1</x:v>
      </x:c>
      <x:c r="C7" s="14" t="str">
        <x:v>Teléfono celular</x:v>
      </x:c>
      <x:c r="D7" s="14" t="str">
        <x:v>Respuesta corta</x:v>
      </x:c>
      <x:c r="E7" s="14" t="str"/>
      <x:c r="F7" s="14" t="str">
        <x:v>No puntúa</x:v>
      </x:c>
      <x:c r="G7" s="14" t="str">
        <x:v>Sí</x:v>
      </x:c>
      <x:c r="H7" s="14" t="str">
        <x:v>Anexo 2 aprobado</x:v>
      </x:c>
    </x:row>
    <x:row r="8">
      <x:c r="A8" s="14" t="str">
        <x:v>FDF-07</x:v>
      </x:c>
      <x:c r="B8" s="14" t="str">
        <x:v>1</x:v>
      </x:c>
      <x:c r="C8" s="14" t="str">
        <x:v>Correo electrónico</x:v>
      </x:c>
      <x:c r="D8" s="14" t="str">
        <x:v>Respuesta corta</x:v>
      </x:c>
      <x:c r="E8" s="14" t="str"/>
      <x:c r="F8" s="14" t="str">
        <x:v>No puntúa</x:v>
      </x:c>
      <x:c r="G8" s="14" t="str">
        <x:v>Sí</x:v>
      </x:c>
      <x:c r="H8" s="14" t="str">
        <x:v>Anexo 2 aprobado</x:v>
      </x:c>
    </x:row>
    <x:row r="9">
      <x:c r="A9" s="14" t="str">
        <x:v>FDF-08</x:v>
      </x:c>
      <x:c r="B9" s="14" t="str">
        <x:v>1</x:v>
      </x:c>
      <x:c r="C9" s="14" t="str">
        <x:v>Región donde trabaja principalmente</x:v>
      </x:c>
      <x:c r="D9" s="14" t="str">
        <x:v>Opción múltiple</x:v>
      </x:c>
      <x:c r="E9" s="14" t="str">
        <x:v>Oriente; Centro; Occidente</x:v>
      </x:c>
      <x:c r="F9" s="14" t="str">
        <x:v>Equilibrio territorial</x:v>
      </x:c>
      <x:c r="G9" s="14" t="str">
        <x:v>Sí</x:v>
      </x:c>
      <x:c r="H9" s="14" t="str">
        <x:v>Anexo 2 aprobado</x:v>
      </x:c>
    </x:row>
    <x:row r="10">
      <x:c r="A10" s="14" t="str">
        <x:v>FDF-09</x:v>
      </x:c>
      <x:c r="B10" s="14" t="str">
        <x:v>1</x:v>
      </x:c>
      <x:c r="C10" s="14" t="str">
        <x:v>Provincia donde trabaja principalmente</x:v>
      </x:c>
      <x:c r="D10" s="14" t="str">
        <x:v>Opción múltiple</x:v>
      </x:c>
      <x:c r="E10" s="14" t="str">
        <x:v>Pinar del Río; Artemisa; La Habana; Mayabeque; Matanzas; Isla de la Juventud; Villa Clara; Cienfuegos; Sancti Spíritus; Ciego de Ávila; Camagüey; Las Tunas; Holguín; Granma; Santiago de Cuba; Guantánamo</x:v>
      </x:c>
      <x:c r="F10" s="14" t="str">
        <x:v>Equilibrio territorial</x:v>
      </x:c>
      <x:c r="G10" s="14" t="str">
        <x:v>Sí</x:v>
      </x:c>
      <x:c r="H10" s="14" t="str">
        <x:v>Anexo 2 aprobado</x:v>
      </x:c>
    </x:row>
    <x:row r="11">
      <x:c r="A11" s="14" t="str">
        <x:v>FDF-10</x:v>
      </x:c>
      <x:c r="B11" s="14" t="str">
        <x:v>1</x:v>
      </x:c>
      <x:c r="C11" s="14" t="str">
        <x:v>Municipio donde trabaja principalmente</x:v>
      </x:c>
      <x:c r="D11" s="14" t="str">
        <x:v>Respuesta corta</x:v>
      </x:c>
      <x:c r="E11" s="14" t="str"/>
      <x:c r="F11" s="14" t="str">
        <x:v>Equilibrio territorial</x:v>
      </x:c>
      <x:c r="G11" s="14" t="str">
        <x:v>Sí</x:v>
      </x:c>
      <x:c r="H11" s="14" t="str">
        <x:v>Anexo 2 aprobado</x:v>
      </x:c>
    </x:row>
    <x:row r="12">
      <x:c r="A12" s="14" t="str">
        <x:v>FDF-11</x:v>
      </x:c>
      <x:c r="B12" s="14" t="str">
        <x:v>1</x:v>
      </x:c>
      <x:c r="C12" s="14" t="str">
        <x:v>¿Acepta que la información registrada sea utilizada exclusivamente para el proceso de selección FdF?</x:v>
      </x:c>
      <x:c r="D12" s="14" t="str">
        <x:v>Opción múltiple</x:v>
      </x:c>
      <x:c r="E12" s="14" t="str">
        <x:v>Sí; No</x:v>
      </x:c>
      <x:c r="F12" s="14" t="str">
        <x:v>Requisito habilitante</x:v>
      </x:c>
      <x:c r="G12" s="14" t="str">
        <x:v>Sí</x:v>
      </x:c>
      <x:c r="H12" s="14" t="str">
        <x:v>Anexo 2 aprobado</x:v>
      </x:c>
    </x:row>
    <x:row r="13">
      <x:c r="A13" s="14" t="str">
        <x:v>FDF-12</x:v>
      </x:c>
      <x:c r="B13" s="14" t="str">
        <x:v>2</x:v>
      </x:c>
      <x:c r="C13" s="14" t="str">
        <x:v>Nombre de la institución a la que pertenece</x:v>
      </x:c>
      <x:c r="D13" s="14" t="str">
        <x:v>Respuesta corta</x:v>
      </x:c>
      <x:c r="E13" s="14" t="str"/>
      <x:c r="F13" s="14" t="str">
        <x:v>No puntúa</x:v>
      </x:c>
      <x:c r="G13" s="14" t="str">
        <x:v>Sí</x:v>
      </x:c>
      <x:c r="H13" s="14" t="str">
        <x:v>Anexo 2 aprobado</x:v>
      </x:c>
    </x:row>
    <x:row r="14">
      <x:c r="A14" s="14" t="str">
        <x:v>FDF-13</x:v>
      </x:c>
      <x:c r="B14" s="14" t="str">
        <x:v>2</x:v>
      </x:c>
      <x:c r="C14" s="14" t="str">
        <x:v>Tipo de institución</x:v>
      </x:c>
      <x:c r="D14" s="14" t="str">
        <x:v>Opción múltiple</x:v>
      </x:c>
      <x:c r="E14" s="14" t="str">
        <x:v>Universidad; Centro Universitario Municipal (CUM); DDP; DDM; Parque científico o tecnológico; ANEC; INAENE; Gobierno local; Otra institución pertinente</x:v>
      </x:c>
      <x:c r="F14" s="14" t="str">
        <x:v>Análisis institucional</x:v>
      </x:c>
      <x:c r="G14" s="14" t="str">
        <x:v>Sí</x:v>
      </x:c>
      <x:c r="H14" s="14" t="str">
        <x:v>Anexo 2 aprobado</x:v>
      </x:c>
    </x:row>
    <x:row r="15">
      <x:c r="A15" s="14" t="str">
        <x:v>FDF-14</x:v>
      </x:c>
      <x:c r="B15" s="14" t="str">
        <x:v>2</x:v>
      </x:c>
      <x:c r="C15" s="14" t="str">
        <x:v>Cargo o función actual</x:v>
      </x:c>
      <x:c r="D15" s="14" t="str">
        <x:v>Respuesta corta</x:v>
      </x:c>
      <x:c r="E15" s="14" t="str"/>
      <x:c r="F15" s="14" t="str">
        <x:v>No puntúa</x:v>
      </x:c>
      <x:c r="G15" s="14" t="str">
        <x:v>Sí</x:v>
      </x:c>
      <x:c r="H15" s="14" t="str">
        <x:v>Anexo 2 aprobado</x:v>
      </x:c>
    </x:row>
    <x:row r="16">
      <x:c r="A16" s="14" t="str">
        <x:v>FDF-15</x:v>
      </x:c>
      <x:c r="B16" s="14" t="str">
        <x:v>2</x:v>
      </x:c>
      <x:c r="C16" s="14" t="str">
        <x:v>Nivel principal de actuación de su institución</x:v>
      </x:c>
      <x:c r="D16" s="14" t="str">
        <x:v>Opción múltiple</x:v>
      </x:c>
      <x:c r="E16" s="14" t="str">
        <x:v>Nacional; Provincial; Municipal</x:v>
      </x:c>
      <x:c r="F16" s="14" t="str">
        <x:v>No puntúa</x:v>
      </x:c>
      <x:c r="G16" s="14" t="str">
        <x:v>Sí</x:v>
      </x:c>
      <x:c r="H16" s="14" t="str">
        <x:v>Anexo 2 aprobado</x:v>
      </x:c>
    </x:row>
    <x:row r="17">
      <x:c r="A17" s="14" t="str">
        <x:v>FDF-16</x:v>
      </x:c>
      <x:c r="B17" s="14" t="str">
        <x:v>2</x:v>
      </x:c>
      <x:c r="C17" s="14" t="str">
        <x:v>Describa brevemente las funciones que desempeña actualmente</x:v>
      </x:c>
      <x:c r="D17" s="14" t="str">
        <x:v>Párrafo</x:v>
      </x:c>
      <x:c r="E17" s="14" t="str"/>
      <x:c r="F17" s="14" t="str">
        <x:v>Evidencia cualitativa</x:v>
      </x:c>
      <x:c r="G17" s="14" t="str">
        <x:v>Sí</x:v>
      </x:c>
      <x:c r="H17" s="14" t="str">
        <x:v>Anexo 2 aprobado</x:v>
      </x:c>
    </x:row>
    <x:row r="18">
      <x:c r="A18" s="14" t="str">
        <x:v>FDF-17</x:v>
      </x:c>
      <x:c r="B18" s="14" t="str">
        <x:v>3</x:v>
      </x:c>
      <x:c r="C18" s="14" t="str">
        <x:v>¿Qué tan directa es su vinculación institucional con estructuras de apoyo a los NAE?</x:v>
      </x:c>
      <x:c r="D18" s="14" t="str">
        <x:v>Opción múltiple</x:v>
      </x:c>
      <x:c r="E18" s="14" t="str">
        <x:v>Directamente vinculada — 10 puntos; Vínculo indirecto o requiere validación — 5 puntos; Sin vínculo institucional activo — 0 puntos</x:v>
      </x:c>
      <x:c r="F18" s="14" t="str">
        <x:v>Vinculación institucional activa</x:v>
      </x:c>
      <x:c r="G18" s="14" t="str">
        <x:v>Sí</x:v>
      </x:c>
      <x:c r="H18" s="14" t="str">
        <x:v>Anexo 2 aprobado</x:v>
      </x:c>
    </x:row>
    <x:row r="19">
      <x:c r="A19" s="14" t="str">
        <x:v>FDF-18</x:v>
      </x:c>
      <x:c r="B19" s="14" t="str">
        <x:v>3</x:v>
      </x:c>
      <x:c r="C19" s="14" t="str">
        <x:v>¿Su cargo o función actual le permite incidir en procesos de formación, asesoría, mentoría, desarrollo territorial o acompañamiento a NAE?</x:v>
      </x:c>
      <x:c r="D19" s="14" t="str">
        <x:v>Opción múltiple</x:v>
      </x:c>
      <x:c r="E19" s="14" t="str">
        <x:v>Incide directamente — 10 puntos; Relación parcial — 5 puntos; Sin relación verificable — 0 puntos</x:v>
      </x:c>
      <x:c r="F19" s="14" t="str">
        <x:v>Pertinencia del rol institucional</x:v>
      </x:c>
      <x:c r="G19" s="14" t="str">
        <x:v>Sí</x:v>
      </x:c>
      <x:c r="H19" s="14" t="str">
        <x:v>Anexo 2 aprobado</x:v>
      </x:c>
    </x:row>
    <x:row r="20">
      <x:c r="A20" s="14" t="str">
        <x:v>FDF-19</x:v>
      </x:c>
      <x:c r="B20" s="14" t="str">
        <x:v>3</x:v>
      </x:c>
      <x:c r="C20" s="14" t="str">
        <x:v>¿La institución respalda su participación en el proceso FdF y la réplica posterior?</x:v>
      </x:c>
      <x:c r="D20" s="14" t="str">
        <x:v>Opción múltiple</x:v>
      </x:c>
      <x:c r="E20" s="14" t="str">
        <x:v>Respalda explícitamente participación y réplica — 10 puntos; Avala participación sin precisar réplica — 5 puntos; Sin respaldo verificable — 0 puntos</x:v>
      </x:c>
      <x:c r="F20" s="14" t="str">
        <x:v>Respaldo institucional</x:v>
      </x:c>
      <x:c r="G20" s="14" t="str">
        <x:v>Sí</x:v>
      </x:c>
      <x:c r="H20" s="14" t="str">
        <x:v>Anexo 2 aprobado</x:v>
      </x:c>
    </x:row>
    <x:row r="21">
      <x:c r="A21" s="14" t="str">
        <x:v>FDF-20</x:v>
      </x:c>
      <x:c r="B21" s="14" t="str">
        <x:v>3</x:v>
      </x:c>
      <x:c r="C21" s="14" t="str">
        <x:v>Adjunte carta aval institucional</x:v>
      </x:c>
      <x:c r="D21" s="14" t="str">
        <x:v>Carga de archivo</x:v>
      </x:c>
      <x:c r="E21" s="14" t="str">
        <x:v>PDF o documento</x:v>
      </x:c>
      <x:c r="F21" s="14" t="str">
        <x:v>Evidencia documental / requisito</x:v>
      </x:c>
      <x:c r="G21" s="14" t="str">
        <x:v>Sí</x:v>
      </x:c>
      <x:c r="H21" s="14" t="str">
        <x:v>Anexo 2 aprobado</x:v>
      </x:c>
    </x:row>
    <x:row r="22">
      <x:c r="A22" s="14" t="str">
        <x:v>FDF-21</x:v>
      </x:c>
      <x:c r="B22" s="14" t="str">
        <x:v>4</x:v>
      </x:c>
      <x:c r="C22" s="14" t="str">
        <x:v>¿Tiene experiencia en formación, docencia o facilitación?</x:v>
      </x:c>
      <x:c r="D22" s="14" t="str">
        <x:v>Opción múltiple</x:v>
      </x:c>
      <x:c r="E22" s="14" t="str">
        <x:v>Experiencia sólida — 10 puntos; Experiencia limitada — 5 puntos; Sin experiencia — 0 puntos</x:v>
      </x:c>
      <x:c r="F22" s="14" t="str">
        <x:v>Experiencia en formación/docencia/facilitación</x:v>
      </x:c>
      <x:c r="G22" s="14" t="str">
        <x:v>Sí</x:v>
      </x:c>
      <x:c r="H22" s="14" t="str">
        <x:v>Anexo 2 aprobado</x:v>
      </x:c>
    </x:row>
    <x:row r="23">
      <x:c r="A23" s="14" t="str">
        <x:v>FDF-22</x:v>
      </x:c>
      <x:c r="B23" s="14" t="str">
        <x:v>4</x:v>
      </x:c>
      <x:c r="C23" s="14" t="str">
        <x:v>Describa brevemente su experiencia en formación, docencia o facilitación</x:v>
      </x:c>
      <x:c r="D23" s="14" t="str">
        <x:v>Párrafo</x:v>
      </x:c>
      <x:c r="E23" s="14" t="str"/>
      <x:c r="F23" s="14" t="str">
        <x:v>Evidencia cualitativa</x:v>
      </x:c>
      <x:c r="G23" s="14" t="str">
        <x:v>Sí</x:v>
      </x:c>
      <x:c r="H23" s="14" t="str">
        <x:v>Anexo 2 aprobado</x:v>
      </x:c>
    </x:row>
    <x:row r="24">
      <x:c r="A24" s="14" t="str">
        <x:v>FDF-23</x:v>
      </x:c>
      <x:c r="B24" s="14" t="str">
        <x:v>4</x:v>
      </x:c>
      <x:c r="C24" s="14" t="str">
        <x:v>¿Tiene experiencia en acompañamiento empresarial o desarrollo territorial?</x:v>
      </x:c>
      <x:c r="D24" s="14" t="str">
        <x:v>Opción múltiple</x:v>
      </x:c>
      <x:c r="E24" s="14" t="str">
        <x:v>Experiencia directa — 10 puntos; Experiencia parcial — 5 puntos; Sin experiencia relacionada — 0 puntos</x:v>
      </x:c>
      <x:c r="F24" s="14" t="str">
        <x:v>Acompañamiento empresarial/desarrollo territorial</x:v>
      </x:c>
      <x:c r="G24" s="14" t="str">
        <x:v>Sí</x:v>
      </x:c>
      <x:c r="H24" s="14" t="str">
        <x:v>Anexo 2 aprobado</x:v>
      </x:c>
    </x:row>
    <x:row r="25">
      <x:c r="A25" s="14" t="str">
        <x:v>FDF-24</x:v>
      </x:c>
      <x:c r="B25" s="14" t="str">
        <x:v>4</x:v>
      </x:c>
      <x:c r="C25" s="14" t="str">
        <x:v>Describa brevemente su experiencia en acompañamiento empresarial o desarrollo territorial</x:v>
      </x:c>
      <x:c r="D25" s="14" t="str">
        <x:v>Párrafo</x:v>
      </x:c>
      <x:c r="E25" s="14" t="str"/>
      <x:c r="F25" s="14" t="str">
        <x:v>Evidencia cualitativa</x:v>
      </x:c>
      <x:c r="G25" s="14" t="str">
        <x:v>Sí</x:v>
      </x:c>
      <x:c r="H25" s="14" t="str">
        <x:v>Anexo 2 aprobado</x:v>
      </x:c>
    </x:row>
    <x:row r="26">
      <x:c r="A26" s="14" t="str">
        <x:v>FDF-25</x:v>
      </x:c>
      <x:c r="B26" s="14" t="str">
        <x:v>4</x:v>
      </x:c>
      <x:c r="C26" s="14" t="str">
        <x:v>¿Cuál es su nivel de conocimiento del ecosistema NAE en Cuba?</x:v>
      </x:c>
      <x:c r="D26" s="14" t="str">
        <x:v>Opción múltiple</x:v>
      </x:c>
      <x:c r="E26" s="14" t="str">
        <x:v>Conocimiento práctico del ecosistema NAE — 10 puntos; Conocimiento general con limitada experiencia — 5 puntos; Conocimiento insuficiente — 0 puntos</x:v>
      </x:c>
      <x:c r="F26" s="14" t="str">
        <x:v>Conocimiento del ecosistema NAE</x:v>
      </x:c>
      <x:c r="G26" s="14" t="str">
        <x:v>Sí</x:v>
      </x:c>
      <x:c r="H26" s="14" t="str">
        <x:v>Anexo 2 aprobado</x:v>
      </x:c>
    </x:row>
    <x:row r="27">
      <x:c r="A27" s="14" t="str">
        <x:v>FDF-26</x:v>
      </x:c>
      <x:c r="B27" s="14" t="str">
        <x:v>4</x:v>
      </x:c>
      <x:c r="C27" s="14" t="str">
        <x:v>¿Ha utilizado metodologías participativas, herramientas de diagnóstico, guías, plantillas o materiales formativos replicables, o herramientas digitales?</x:v>
      </x:c>
      <x:c r="D27" s="14" t="str">
        <x:v>Opción múltiple</x:v>
      </x:c>
      <x:c r="E27" s="14" t="str">
        <x:v>Metodologías activas/materiales replicables/herramientas digitales — 10 puntos; Herramientas formativas básicas — 5 puntos; Sin evidencia — 0 puntos</x:v>
      </x:c>
      <x:c r="F27" s="14" t="str">
        <x:v>Metodologías participativas/materiales formativos</x:v>
      </x:c>
      <x:c r="G27" s="14" t="str">
        <x:v>Sí</x:v>
      </x:c>
      <x:c r="H27" s="14" t="str">
        <x:v>Anexo 2 aprobado</x:v>
      </x:c>
    </x:row>
    <x:row r="28">
      <x:c r="A28" s="14" t="str">
        <x:v>FDF-27</x:v>
      </x:c>
      <x:c r="B28" s="14" t="str">
        <x:v>4</x:v>
      </x:c>
      <x:c r="C28" s="14" t="str">
        <x:v>Adjunte su currículum vitae actualizado</x:v>
      </x:c>
      <x:c r="D28" s="14" t="str">
        <x:v>Carga de archivo</x:v>
      </x:c>
      <x:c r="E28" s="14" t="str">
        <x:v>PDF o documento</x:v>
      </x:c>
      <x:c r="F28" s="14" t="str">
        <x:v>Evidencia documental</x:v>
      </x:c>
      <x:c r="G28" s="14" t="str">
        <x:v>Sí</x:v>
      </x:c>
      <x:c r="H28" s="14" t="str">
        <x:v>Anexo 2 aprobado</x:v>
      </x:c>
    </x:row>
    <x:row r="29">
      <x:c r="A29" s="14" t="str">
        <x:v>FDF-28</x:v>
      </x:c>
      <x:c r="B29" s="14" t="str">
        <x:v>5</x:v>
      </x:c>
      <x:c r="C29" s="14" t="str">
        <x:v>¿Tiene capacidad para convocar, coordinar o articular actores provinciales o municipales para futuras acciones de multiplicación?</x:v>
      </x:c>
      <x:c r="D29" s="14" t="str">
        <x:v>Opción múltiple</x:v>
      </x:c>
      <x:c r="E29" s="14" t="str">
        <x:v>Sí, puede articular — 10 puntos; Capacidad parcial — 5 puntos; Sin capacidad evidenciada — 0 puntos</x:v>
      </x:c>
      <x:c r="F29" s="14" t="str">
        <x:v>Capacidad de convocatoria y articulación</x:v>
      </x:c>
      <x:c r="G29" s="14" t="str">
        <x:v>Sí</x:v>
      </x:c>
      <x:c r="H29" s="14" t="str">
        <x:v>Anexo 2 aprobado</x:v>
      </x:c>
    </x:row>
    <x:row r="30">
      <x:c r="A30" s="14" t="str">
        <x:v>FDF-29</x:v>
      </x:c>
      <x:c r="B30" s="14" t="str">
        <x:v>5</x:v>
      </x:c>
      <x:c r="C30" s="14" t="str">
        <x:v>¿Con qué actores podría articular una futura réplica territorial?</x:v>
      </x:c>
      <x:c r="D30" s="14" t="str">
        <x:v>Casillas</x:v>
      </x:c>
      <x:c r="E30" s="14" t="str">
        <x:v>Universidad; CUM; DDP; DDM; Gobierno local; ANEC; INAENE; Parque científico o tecnológico; MIPYMES; Cooperativas no agropecuarias; PDL; Otros</x:v>
      </x:c>
      <x:c r="F30" s="14" t="str">
        <x:v>Evidencia complementaria</x:v>
      </x:c>
      <x:c r="G30" s="14" t="str">
        <x:v>Sí</x:v>
      </x:c>
      <x:c r="H30" s="14" t="str">
        <x:v>Anexo 2 aprobado</x:v>
      </x:c>
    </x:row>
    <x:row r="31">
      <x:c r="A31" s="14" t="str">
        <x:v>FDF-30</x:v>
      </x:c>
      <x:c r="B31" s="14" t="str">
        <x:v>5</x:v>
      </x:c>
      <x:c r="C31" s="14" t="str">
        <x:v>¿Se compromete a participar en acciones de multiplicación provincial o territorial luego de la formación?</x:v>
      </x:c>
      <x:c r="D31" s="14" t="str">
        <x:v>Opción múltiple</x:v>
      </x:c>
      <x:c r="E31" s="14" t="str">
        <x:v>Compromiso claro — 10 puntos; Disposición general — 5 puntos; Sin compromiso — 0 puntos</x:v>
      </x:c>
      <x:c r="F31" s="14" t="str">
        <x:v>Compromiso de multiplicación</x:v>
      </x:c>
      <x:c r="G31" s="14" t="str">
        <x:v>Sí</x:v>
      </x:c>
      <x:c r="H31" s="14" t="str">
        <x:v>Anexo 2 aprobado</x:v>
      </x:c>
    </x:row>
    <x:row r="32">
      <x:c r="A32" s="14" t="str">
        <x:v>FDF-31</x:v>
      </x:c>
      <x:c r="B32" s="14" t="str">
        <x:v>5</x:v>
      </x:c>
      <x:c r="C32" s="14" t="str">
        <x:v>Describa brevemente cómo podría aportar a la multiplicación provincial o territorial</x:v>
      </x:c>
      <x:c r="D32" s="14" t="str">
        <x:v>Párrafo</x:v>
      </x:c>
      <x:c r="E32" s="14" t="str"/>
      <x:c r="F32" s="14" t="str">
        <x:v>Evidencia cualitativa</x:v>
      </x:c>
      <x:c r="G32" s="14" t="str">
        <x:v>Sí</x:v>
      </x:c>
      <x:c r="H32" s="14" t="str">
        <x:v>Anexo 2 aprobado</x:v>
      </x:c>
    </x:row>
    <x:row r="33">
      <x:c r="A33" s="14" t="str">
        <x:v>FDF-32</x:v>
      </x:c>
      <x:c r="B33" s="14" t="str">
        <x:v>5</x:v>
      </x:c>
      <x:c r="C33" s="14" t="str">
        <x:v>¿Tiene disponibilidad para participar en la jornada presencial, acciones sincrónicas, actividades asincrónicas y ejercicios de aplicación?</x:v>
      </x:c>
      <x:c r="D33" s="14" t="str">
        <x:v>Opción múltiple</x:v>
      </x:c>
      <x:c r="E33" s="14" t="str">
        <x:v>Disponibilidad completa — 10 puntos; Parcial/condicionada — 5 puntos; Insuficiente — 0 puntos</x:v>
      </x:c>
      <x:c r="F33" s="14" t="str">
        <x:v>Disponibilidad</x:v>
      </x:c>
      <x:c r="G33" s="14" t="str">
        <x:v>Sí</x:v>
      </x:c>
      <x:c r="H33" s="14" t="str">
        <x:v>Anexo 2 aprobado</x:v>
      </x:c>
    </x:row>
    <x:row r="34">
      <x:c r="A34" s="14" t="str">
        <x:v>FDF-33</x:v>
      </x:c>
      <x:c r="B34" s="14" t="str">
        <x:v>5</x:v>
      </x:c>
      <x:c r="C34" s="14" t="str">
        <x:v>¿Qué condiciones de comunicación tiene para recibir materiales, orientaciones y entregar evidencias?</x:v>
      </x:c>
      <x:c r="D34" s="14" t="str">
        <x:v>Opción múltiple</x:v>
      </x:c>
      <x:c r="E34" s="14" t="str">
        <x:v>Canal operativo — 10 puntos; Canales limitados con apoyo — 5 puntos; Sin canales mínimos — 0 puntos</x:v>
      </x:c>
      <x:c r="F34" s="14" t="str">
        <x:v>Comunicación y seguimiento</x:v>
      </x:c>
      <x:c r="G34" s="14" t="str">
        <x:v>Sí</x:v>
      </x:c>
      <x:c r="H34" s="14" t="str">
        <x:v>Anexo 2 aprobado</x:v>
      </x:c>
    </x:row>
    <x:row r="35">
      <x:c r="A35" s="14" t="str">
        <x:v>FDF-34</x:v>
      </x:c>
      <x:c r="B35" s="14" t="str">
        <x:v>5</x:v>
      </x:c>
      <x:c r="C35" s="14" t="str">
        <x:v>Indique los canales por los cuales puede recibir información del proceso</x:v>
      </x:c>
      <x:c r="D35" s="14" t="str">
        <x:v>Casillas</x:v>
      </x:c>
      <x:c r="E35" s="14" t="str">
        <x:v>Correo electrónico; WhatsApp u otra mensajería móvil; Llamada telefónica; Entrega física coordinada; Memoria USB; Otro</x:v>
      </x:c>
      <x:c r="F35" s="14" t="str">
        <x:v>Evidencia complementaria</x:v>
      </x:c>
      <x:c r="G35" s="14" t="str">
        <x:v>Sí</x:v>
      </x:c>
      <x:c r="H35" s="14" t="str">
        <x:v>Anexo 2 aprobado</x:v>
      </x:c>
    </x:row>
    <x:row r="36">
      <x:c r="A36" s="14" t="str">
        <x:v>FDF-35</x:v>
      </x:c>
      <x:c r="B36" s="14" t="str">
        <x:v>6</x:v>
      </x:c>
      <x:c r="C36" s="14" t="str">
        <x:v>¿Su participación contribuiría a la representación de su provincia, municipio o institución dentro de la cohorte regional?</x:v>
      </x:c>
      <x:c r="D36" s="14" t="str">
        <x:v>Opción múltiple</x:v>
      </x:c>
      <x:c r="E36" s="14" t="str">
        <x:v>Contribuye claramente — 10 puntos; Contribuye parcialmente — 5 puntos; No aporta al equilibrio — 0 puntos</x:v>
      </x:c>
      <x:c r="F36" s="14" t="str">
        <x:v>Representación territorial e institucional</x:v>
      </x:c>
      <x:c r="G36" s="14" t="str">
        <x:v>Sí</x:v>
      </x:c>
      <x:c r="H36" s="14" t="str">
        <x:v>Anexo 2 aprobado</x:v>
      </x:c>
    </x:row>
    <x:row r="37">
      <x:c r="A37" s="14" t="str">
        <x:v>FDF-36</x:v>
      </x:c>
      <x:c r="B37" s="14" t="str">
        <x:v>6</x:v>
      </x:c>
      <x:c r="C37" s="14" t="str">
        <x:v>Género</x:v>
      </x:c>
      <x:c r="D37" s="14" t="str">
        <x:v>Opción múltiple</x:v>
      </x:c>
      <x:c r="E37" s="14" t="str">
        <x:v>Mujer — 10 puntos; Hombre — 10 puntos; No aporta información — 0 puntos</x:v>
      </x:c>
      <x:c r="F37" s="14" t="str">
        <x:v>ATENCIÓN: Anexo 1 Hombre=5; Anexo 2 Hombre=10</x:v>
      </x:c>
      <x:c r="G37" s="14" t="str">
        <x:v>Sí</x:v>
      </x:c>
      <x:c r="H37" s="14" t="str">
        <x:v>Anexo 2 aprobado</x:v>
      </x:c>
    </x:row>
    <x:row r="38">
      <x:c r="A38" s="14" t="str">
        <x:v>FDF-37</x:v>
      </x:c>
      <x:c r="B38" s="14" t="str">
        <x:v>6</x:v>
      </x:c>
      <x:c r="C38" s="14" t="str">
        <x:v>Rango de edad</x:v>
      </x:c>
      <x:c r="D38" s="14" t="str">
        <x:v>Opción múltiple</x:v>
      </x:c>
      <x:c r="E38" s="14" t="str">
        <x:v>18 a 35 años — 10 puntos; 36 años o más — 0 puntos; No aporta información — 0 puntos</x:v>
      </x:c>
      <x:c r="F38" s="14" t="str">
        <x:v>Representación de juventudes</x:v>
      </x:c>
      <x:c r="G38" s="14" t="str">
        <x:v>Sí</x:v>
      </x:c>
      <x:c r="H38" s="14" t="str">
        <x:v>Anexo 2 aprobado</x:v>
      </x:c>
    </x:row>
    <x:row r="39">
      <x:c r="A39" s="14" t="str">
        <x:v>FDF-38</x:v>
      </x:c>
      <x:c r="B39" s="14" t="str">
        <x:v>6</x:v>
      </x:c>
      <x:c r="C39" s="14" t="str">
        <x:v>¿Tiene experiencia o interés en igualdad de género, inclusión, liderazgo femenino, juventudes o participación equilibrada?</x:v>
      </x:c>
      <x:c r="D39" s="14" t="str">
        <x:v>Opción múltiple</x:v>
      </x:c>
      <x:c r="E39" s="14" t="str">
        <x:v>Experiencia/interés claro — 10 puntos; Interés general — 5 puntos; Sin experiencia/interés — 0 puntos</x:v>
      </x:c>
      <x:c r="F39" s="14" t="str">
        <x:v>Experiencia/interés género e inclusión</x:v>
      </x:c>
      <x:c r="G39" s="14" t="str">
        <x:v>Sí</x:v>
      </x:c>
      <x:c r="H39" s="14" t="str">
        <x:v>Anexo 2 aprobado</x:v>
      </x:c>
    </x:row>
    <x:row r="40">
      <x:c r="A40" s="14" t="str">
        <x:v>FDF-39</x:v>
      </x:c>
      <x:c r="B40" s="14" t="str">
        <x:v>6</x:v>
      </x:c>
      <x:c r="C40" s="14" t="str">
        <x:v>Describa brevemente su experiencia o interés en género, inclusión, juventudes o liderazgo femenino</x:v>
      </x:c>
      <x:c r="D40" s="14" t="str">
        <x:v>Párrafo</x:v>
      </x:c>
      <x:c r="E40" s="14" t="str"/>
      <x:c r="F40" s="14" t="str">
        <x:v>Evidencia cualitativa</x:v>
      </x:c>
      <x:c r="G40" s="14" t="str">
        <x:v>No</x:v>
      </x:c>
      <x:c r="H40" s="14" t="str">
        <x:v>Anexo 2 aprobado</x:v>
      </x:c>
    </x:row>
    <x:row r="41">
      <x:c r="A41" s="14" t="str">
        <x:v>FDF-40</x:v>
      </x:c>
      <x:c r="B41" s="14" t="str">
        <x:v>7</x:v>
      </x:c>
      <x:c r="C41" s="14" t="str">
        <x:v>¿Confirma que la información registrada es verídica y puede ser verificada por el equipo responsable de selección?</x:v>
      </x:c>
      <x:c r="D41" s="14" t="str">
        <x:v>Opción múltiple</x:v>
      </x:c>
      <x:c r="E41" s="14" t="str">
        <x:v>Sí; No</x:v>
      </x:c>
      <x:c r="F41" s="14" t="str">
        <x:v>Requisito de validación</x:v>
      </x:c>
      <x:c r="G41" s="14" t="str">
        <x:v>Sí</x:v>
      </x:c>
      <x:c r="H41" s="14" t="str">
        <x:v>Anexo 2 aprobado</x:v>
      </x:c>
    </x:row>
    <x:row r="42">
      <x:c r="A42" s="14" t="str">
        <x:v>FDF-41</x:v>
      </x:c>
      <x:c r="B42" s="14" t="str">
        <x:v>7</x:v>
      </x:c>
      <x:c r="C42" s="14" t="str">
        <x:v>¿Autoriza que su institución pueda ser contactada para validar la información registrada?</x:v>
      </x:c>
      <x:c r="D42" s="14" t="str">
        <x:v>Opción múltiple</x:v>
      </x:c>
      <x:c r="E42" s="14" t="str">
        <x:v>Sí; No</x:v>
      </x:c>
      <x:c r="F42" s="14" t="str">
        <x:v>Requisito de validación</x:v>
      </x:c>
      <x:c r="G42" s="14" t="str">
        <x:v>Sí</x:v>
      </x:c>
      <x:c r="H42" s="14" t="str">
        <x:v>Anexo 2 aprobado</x:v>
      </x:c>
    </x:row>
    <x:row r="43">
      <x:c r="A43" s="14" t="str">
        <x:v>FDF-42</x:v>
      </x:c>
      <x:c r="B43" s="14" t="str">
        <x:v>7</x:v>
      </x:c>
      <x:c r="C43" s="14" t="str">
        <x:v>Nombre y cargo de la persona referente institucional para validación, si aplica</x:v>
      </x:c>
      <x:c r="D43" s="14" t="str">
        <x:v>Respuesta corta</x:v>
      </x:c>
      <x:c r="E43" s="14" t="str"/>
      <x:c r="F43" s="14" t="str">
        <x:v>No puntúa</x:v>
      </x:c>
      <x:c r="G43" s="14" t="str">
        <x:v>No</x:v>
      </x:c>
      <x:c r="H43" s="14" t="str">
        <x:v>Anexo 2 aprobado</x:v>
      </x:c>
    </x:row>
    <x:row r="44">
      <x:c r="A44" s="14" t="str">
        <x:v>FDF-43</x:v>
      </x:c>
      <x:c r="B44" s="14" t="str">
        <x:v>7</x:v>
      </x:c>
      <x:c r="C44" s="14" t="str">
        <x:v>Teléfono o correo de la persona referente institucional para validación, si aplica</x:v>
      </x:c>
      <x:c r="D44" s="14" t="str">
        <x:v>Respuesta corta</x:v>
      </x:c>
      <x:c r="E44" s="14" t="str"/>
      <x:c r="F44" s="14" t="str">
        <x:v>No puntúa</x:v>
      </x:c>
      <x:c r="G44" s="14" t="str">
        <x:v>No</x:v>
      </x:c>
      <x:c r="H44" s="14" t="str">
        <x:v>Anexo 2 aprobado</x:v>
      </x:c>
    </x:row>
    <x:row r="45">
      <x:c r="A45" s="14" t="str">
        <x:v>FDF-44</x:v>
      </x:c>
      <x:c r="B45" s="14" t="str">
        <x:v>7</x:v>
      </x:c>
      <x:c r="C45" s="14" t="str">
        <x:v>Comentarios adicionales que considere relevantes para su postulación</x:v>
      </x:c>
      <x:c r="D45" s="14" t="str">
        <x:v>Párrafo</x:v>
      </x:c>
      <x:c r="E45" s="14" t="str"/>
      <x:c r="F45" s="14" t="str">
        <x:v>No puntúa</x:v>
      </x:c>
      <x:c r="G45" s="14" t="str">
        <x:v>No</x:v>
      </x:c>
      <x:c r="H45" s="14" t="str">
        <x:v>Anexo 2 aprobado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45" hidden="0" customWidth="1"/>
    <x:col min="3" max="3" width="45" hidden="0" customWidth="1"/>
    <x:col min="4" max="4" width="45" hidden="0" customWidth="1"/>
  </x:cols>
  <x:sheetData>
    <x:row r="1">
      <x:c r="A1" s="9" t="str">
        <x:v>Criterio</x:v>
      </x:c>
      <x:c r="B1" s="9" t="str">
        <x:v>Peso criterio (%)</x:v>
      </x:c>
      <x:c r="C1" s="9" t="str">
        <x:v>Atributo</x:v>
      </x:c>
      <x:c r="D1" s="9" t="str">
        <x:v>Peso atributo (%)</x:v>
      </x:c>
    </x:row>
    <x:row r="2">
      <x:c r="A2" t="str">
        <x:v>Vinculación institucional</x:v>
      </x:c>
      <x:c r="B2" t="n">
        <x:v>15</x:v>
      </x:c>
      <x:c r="C2" t="str">
        <x:v>Vinculación institucional activa</x:v>
      </x:c>
      <x:c r="D2" t="n">
        <x:v>40</x:v>
      </x:c>
    </x:row>
    <x:row r="3">
      <x:c r="A3" t="str">
        <x:v>Vinculación institucional</x:v>
      </x:c>
      <x:c r="B3" t="n">
        <x:v>15</x:v>
      </x:c>
      <x:c r="C3" t="str">
        <x:v>Pertinencia del rol institucional</x:v>
      </x:c>
      <x:c r="D3" t="n">
        <x:v>30</x:v>
      </x:c>
    </x:row>
    <x:row r="4">
      <x:c r="A4" t="str">
        <x:v>Vinculación institucional</x:v>
      </x:c>
      <x:c r="B4" t="n">
        <x:v>15</x:v>
      </x:c>
      <x:c r="C4" t="str">
        <x:v>Respaldo institucional</x:v>
      </x:c>
      <x:c r="D4" t="n">
        <x:v>30</x:v>
      </x:c>
    </x:row>
    <x:row r="5">
      <x:c r="A5" t="str">
        <x:v>Capacidades formativas y experiencia técnica</x:v>
      </x:c>
      <x:c r="B5" t="n">
        <x:v>55</x:v>
      </x:c>
      <x:c r="C5" t="str">
        <x:v>Experiencia en formación/docencia/facilitación</x:v>
      </x:c>
      <x:c r="D5" t="n">
        <x:v>35</x:v>
      </x:c>
    </x:row>
    <x:row r="6">
      <x:c r="A6" t="str">
        <x:v>Capacidades formativas y experiencia técnica</x:v>
      </x:c>
      <x:c r="B6" t="n">
        <x:v>55</x:v>
      </x:c>
      <x:c r="C6" t="str">
        <x:v>Acompañamiento empresarial/desarrollo territorial</x:v>
      </x:c>
      <x:c r="D6" t="n">
        <x:v>35</x:v>
      </x:c>
    </x:row>
    <x:row r="7">
      <x:c r="A7" t="str">
        <x:v>Capacidades formativas y experiencia técnica</x:v>
      </x:c>
      <x:c r="B7" t="n">
        <x:v>55</x:v>
      </x:c>
      <x:c r="C7" t="str">
        <x:v>Conocimiento ecosistema NAE</x:v>
      </x:c>
      <x:c r="D7" t="n">
        <x:v>20</x:v>
      </x:c>
    </x:row>
    <x:row r="8">
      <x:c r="A8" t="str">
        <x:v>Capacidades formativas y experiencia técnica</x:v>
      </x:c>
      <x:c r="B8" t="n">
        <x:v>55</x:v>
      </x:c>
      <x:c r="C8" t="str">
        <x:v>Metodologías/materiales formativos</x:v>
      </x:c>
      <x:c r="D8" t="n">
        <x:v>10</x:v>
      </x:c>
    </x:row>
    <x:row r="9">
      <x:c r="A9" t="str">
        <x:v>Potencial de réplica territorial</x:v>
      </x:c>
      <x:c r="B9" t="n">
        <x:v>25</x:v>
      </x:c>
      <x:c r="C9" t="str">
        <x:v>Convocatoria/articulación</x:v>
      </x:c>
      <x:c r="D9" t="n">
        <x:v>35</x:v>
      </x:c>
    </x:row>
    <x:row r="10">
      <x:c r="A10" t="str">
        <x:v>Potencial de réplica territorial</x:v>
      </x:c>
      <x:c r="B10" t="n">
        <x:v>25</x:v>
      </x:c>
      <x:c r="C10" t="str">
        <x:v>Compromiso multiplicación</x:v>
      </x:c>
      <x:c r="D10" t="n">
        <x:v>35</x:v>
      </x:c>
    </x:row>
    <x:row r="11">
      <x:c r="A11" t="str">
        <x:v>Potencial de réplica territorial</x:v>
      </x:c>
      <x:c r="B11" t="n">
        <x:v>25</x:v>
      </x:c>
      <x:c r="C11" t="str">
        <x:v>Disponibilidad</x:v>
      </x:c>
      <x:c r="D11" t="n">
        <x:v>20</x:v>
      </x:c>
    </x:row>
    <x:row r="12">
      <x:c r="A12" t="str">
        <x:v>Potencial de réplica territorial</x:v>
      </x:c>
      <x:c r="B12" t="n">
        <x:v>25</x:v>
      </x:c>
      <x:c r="C12" t="str">
        <x:v>Comunicación/seguimiento</x:v>
      </x:c>
      <x:c r="D12" t="n">
        <x:v>10</x:v>
      </x:c>
    </x:row>
    <x:row r="13">
      <x:c r="A13" t="str">
        <x:v>Inclusión, género o sostenibilidad</x:v>
      </x:c>
      <x:c r="B13" t="n">
        <x:v>5</x:v>
      </x:c>
      <x:c r="C13" t="str">
        <x:v>Juventudes</x:v>
      </x:c>
      <x:c r="D13" t="n">
        <x:v>40</x:v>
      </x:c>
    </x:row>
    <x:row r="14">
      <x:c r="A14" t="str">
        <x:v>Inclusión, género o sostenibilidad</x:v>
      </x:c>
      <x:c r="B14" t="n">
        <x:v>5</x:v>
      </x:c>
      <x:c r="C14" t="str">
        <x:v>Mujeres</x:v>
      </x:c>
      <x:c r="D14" t="n">
        <x:v>30</x:v>
      </x:c>
    </x:row>
    <x:row r="15">
      <x:c r="A15" t="str">
        <x:v>Inclusión, género o sostenibilidad</x:v>
      </x:c>
      <x:c r="B15" t="n">
        <x:v>5</x:v>
      </x:c>
      <x:c r="C15" t="str">
        <x:v>Experiencia/interés género e inclusión</x:v>
      </x:c>
      <x:c r="D15" t="n">
        <x:v>30</x:v>
      </x:c>
    </x:row>
  </x:sheetData>
  <x:pageMargins left="0.7" right="0.7" top="0.75" bottom="0.75" header="0.3" footer="0.3"/>
</x:worksheet>
</file>