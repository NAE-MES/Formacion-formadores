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rio-Acer26\Downloads\"/>
    </mc:Choice>
  </mc:AlternateContent>
  <xr:revisionPtr revIDLastSave="0" documentId="13_ncr:1_{3FDA7E5C-EC9D-404F-A8DD-C3AA50D18A7B}" xr6:coauthVersionLast="47" xr6:coauthVersionMax="47" xr10:uidLastSave="{00000000-0000-0000-0000-000000000000}"/>
  <bookViews>
    <workbookView xWindow="-110" yWindow="-110" windowWidth="19420" windowHeight="11500" firstSheet="1" activeTab="3" xr2:uid="{00000000-000D-0000-FFFF-FFFF00000000}"/>
  </bookViews>
  <sheets>
    <sheet name="Instruccciones Generales" sheetId="1" r:id="rId1"/>
    <sheet name="Ficha de la Empresa" sheetId="2" r:id="rId2"/>
    <sheet name="Capacidades Empresariales" sheetId="3" r:id="rId3"/>
    <sheet name="Resumen" sheetId="4" r:id="rId4"/>
  </sheets>
  <calcPr calcId="191029"/>
  <extLst>
    <ext uri="GoogleSheetsCustomDataVersion2">
      <go:sheetsCustomData xmlns:go="http://customooxmlschemas.google.com/" r:id="rId8" roundtripDataChecksum="kbTveLN0hF1wUe/cw+Y+6W+V1ohi3EY38i0NR6UXins="/>
    </ext>
  </extLst>
</workbook>
</file>

<file path=xl/calcChain.xml><?xml version="1.0" encoding="utf-8"?>
<calcChain xmlns="http://schemas.openxmlformats.org/spreadsheetml/2006/main">
  <c r="R8" i="4" l="1"/>
  <c r="D17" i="4"/>
  <c r="E17" i="4" s="1"/>
  <c r="D16" i="4"/>
  <c r="D46" i="4" s="1"/>
  <c r="D13" i="4"/>
  <c r="D43" i="4" s="1"/>
  <c r="D12" i="4"/>
  <c r="D42" i="4" s="1"/>
  <c r="D11" i="4"/>
  <c r="D41" i="4" s="1"/>
  <c r="C48" i="4"/>
  <c r="C47" i="4"/>
  <c r="C46" i="4"/>
  <c r="C45" i="4"/>
  <c r="C44" i="4"/>
  <c r="C43" i="4"/>
  <c r="C42" i="4"/>
  <c r="C41" i="4"/>
  <c r="D144" i="3"/>
  <c r="D18" i="4" s="1"/>
  <c r="D129" i="3"/>
  <c r="D118" i="3"/>
  <c r="D106" i="3"/>
  <c r="D15" i="4" s="1"/>
  <c r="D94" i="3"/>
  <c r="D14" i="4" s="1"/>
  <c r="D44" i="4" s="1"/>
  <c r="D80" i="3"/>
  <c r="D48" i="3"/>
  <c r="D19" i="3"/>
  <c r="E17" i="3"/>
  <c r="E18" i="3" s="1"/>
  <c r="E23" i="3" s="1"/>
  <c r="E24" i="3" s="1"/>
  <c r="E25" i="3" s="1"/>
  <c r="E26" i="3" s="1"/>
  <c r="E27" i="3" s="1"/>
  <c r="E28" i="3" s="1"/>
  <c r="E29" i="3" s="1"/>
  <c r="E30" i="3" s="1"/>
  <c r="E31" i="3" s="1"/>
  <c r="E32" i="3" s="1"/>
  <c r="E33" i="3" s="1"/>
  <c r="E34" i="3" s="1"/>
  <c r="E35" i="3" s="1"/>
  <c r="E36" i="3" s="1"/>
  <c r="E37" i="3" s="1"/>
  <c r="E38" i="3" s="1"/>
  <c r="E39" i="3" s="1"/>
  <c r="E40" i="3" s="1"/>
  <c r="E41" i="3" s="1"/>
  <c r="E42" i="3" s="1"/>
  <c r="E43" i="3" s="1"/>
  <c r="E44" i="3" s="1"/>
  <c r="E45" i="3" s="1"/>
  <c r="E46" i="3" s="1"/>
  <c r="E47" i="3" s="1"/>
  <c r="E52" i="3" s="1"/>
  <c r="E53" i="3" s="1"/>
  <c r="E54" i="3" s="1"/>
  <c r="E55" i="3" s="1"/>
  <c r="E56" i="3" s="1"/>
  <c r="E57" i="3" s="1"/>
  <c r="E58" i="3" s="1"/>
  <c r="E59" i="3" s="1"/>
  <c r="E60" i="3" s="1"/>
  <c r="E61" i="3" s="1"/>
  <c r="E62" i="3" s="1"/>
  <c r="E63" i="3" s="1"/>
  <c r="E64" i="3" s="1"/>
  <c r="E65" i="3" s="1"/>
  <c r="E66" i="3" s="1"/>
  <c r="E67" i="3" s="1"/>
  <c r="E68" i="3" s="1"/>
  <c r="E69" i="3" s="1"/>
  <c r="E70" i="3" s="1"/>
  <c r="E71" i="3" s="1"/>
  <c r="E72" i="3" s="1"/>
  <c r="E73" i="3" s="1"/>
  <c r="E74" i="3" s="1"/>
  <c r="E75" i="3" s="1"/>
  <c r="E76" i="3" s="1"/>
  <c r="E77" i="3" s="1"/>
  <c r="E78" i="3" s="1"/>
  <c r="E79" i="3" s="1"/>
  <c r="E84" i="3" s="1"/>
  <c r="E85" i="3" s="1"/>
  <c r="E86" i="3" s="1"/>
  <c r="E87" i="3" s="1"/>
  <c r="E88" i="3" s="1"/>
  <c r="E89" i="3" s="1"/>
  <c r="E90" i="3" s="1"/>
  <c r="E91" i="3" s="1"/>
  <c r="E92" i="3" s="1"/>
  <c r="E93" i="3" s="1"/>
  <c r="E98" i="3" s="1"/>
  <c r="E99" i="3" s="1"/>
  <c r="E100" i="3" s="1"/>
  <c r="E101" i="3" s="1"/>
  <c r="E102" i="3" s="1"/>
  <c r="E103" i="3" s="1"/>
  <c r="E104" i="3" s="1"/>
  <c r="E105" i="3" s="1"/>
  <c r="E110" i="3" s="1"/>
  <c r="E111" i="3" s="1"/>
  <c r="E112" i="3" s="1"/>
  <c r="E113" i="3" s="1"/>
  <c r="E114" i="3" s="1"/>
  <c r="E115" i="3" s="1"/>
  <c r="E116" i="3" s="1"/>
  <c r="E117" i="3" s="1"/>
  <c r="E122" i="3" s="1"/>
  <c r="E123" i="3" s="1"/>
  <c r="E124" i="3" s="1"/>
  <c r="E125" i="3" s="1"/>
  <c r="E126" i="3" s="1"/>
  <c r="E127" i="3" s="1"/>
  <c r="E128" i="3" s="1"/>
  <c r="E133" i="3" s="1"/>
  <c r="E134" i="3" s="1"/>
  <c r="E135" i="3" s="1"/>
  <c r="E136" i="3" s="1"/>
  <c r="E137" i="3" s="1"/>
  <c r="E138" i="3" s="1"/>
  <c r="E139" i="3" s="1"/>
  <c r="E140" i="3" s="1"/>
  <c r="E141" i="3" s="1"/>
  <c r="E142" i="3" s="1"/>
  <c r="E143" i="3" s="1"/>
  <c r="E16" i="3"/>
  <c r="E18" i="4" l="1"/>
  <c r="R16" i="4"/>
  <c r="R15" i="4"/>
  <c r="R14" i="4"/>
  <c r="E15" i="4"/>
  <c r="D45" i="4"/>
  <c r="R12" i="4"/>
  <c r="E11" i="4"/>
  <c r="E12" i="4"/>
  <c r="R13" i="4"/>
  <c r="E16" i="4"/>
  <c r="R11" i="4"/>
  <c r="R10" i="4"/>
  <c r="R9" i="4"/>
  <c r="D48" i="4"/>
  <c r="D47" i="4"/>
  <c r="E13" i="4"/>
  <c r="E14" i="4"/>
</calcChain>
</file>

<file path=xl/sharedStrings.xml><?xml version="1.0" encoding="utf-8"?>
<sst xmlns="http://schemas.openxmlformats.org/spreadsheetml/2006/main" count="329" uniqueCount="239">
  <si>
    <t xml:space="preserve">Metodología Creciendo con su Negocio
Diagnóstico Empresarial </t>
  </si>
  <si>
    <t>Nombre de la Empres:</t>
  </si>
  <si>
    <t>Nombre de la Empresa:</t>
  </si>
  <si>
    <t>Provincia:</t>
  </si>
  <si>
    <t>Municipio:</t>
  </si>
  <si>
    <t>Departamento:</t>
  </si>
  <si>
    <t>Dirección:</t>
  </si>
  <si>
    <t>DIAGNÓSTICO DE CAPACIDADES EMPRESARIALES</t>
  </si>
  <si>
    <t>DATOS GENERALES DE LA EMPRESA</t>
  </si>
  <si>
    <t>La presente herramienta tiene por objeto evaluar tanto las capacidades empresariales desarrolladas con las operaciones del negocio, como las capacidades emprendedoras de los miembros de la empresa.</t>
  </si>
  <si>
    <t>Para lograr esto se desarrollan tres cuestionarios separados: Ficha de la Empresa, Capacidades Empresariales y Capacidades emprendedoras.</t>
  </si>
  <si>
    <t>La información de este apartado le permitirá al consultor recopilar información específica de la empresa, aunque no directamente de las capacidades de los miembros, ni de la forma como realizan las operaciones actualmente. Se espera que esta información sea la base para el posterior seguimiento de Asistencia Técnica que la empresa pueda requerir.</t>
  </si>
  <si>
    <t xml:space="preserve">RESUMEN DE DIAGNÓSTICO EMPRESARIAL </t>
  </si>
  <si>
    <t>El consultor entrevistará a los miembros de la empresa, con el fin de recopilar la información general del mismo. En los casos que sea necesario, deberá comprobar físicamente la información recibida (área de producción, equipo disponible, ubicación del mismo, actas de las sesiones de la directiva y otros que considere necesario). De requerirse,  se pueden ampliar las filas para asegurarse de recabar toda la información pertinente de la empresa/asociación.</t>
  </si>
  <si>
    <t>DEFICIENTE</t>
  </si>
  <si>
    <t>FICHA DEL NEGOCIO:</t>
  </si>
  <si>
    <t>MEJORABLE</t>
  </si>
  <si>
    <t>ACEPTABLE</t>
  </si>
  <si>
    <t>La información de este apartado le permitirá al consultor recopilar información específica del negocio, aunque no directamente de las capacidades de los miembros, ni de la forma como realizan las operaciones actualmente. Se espera que esta información sea la base para el posterior seguimiento de la Asistencia Técnica.</t>
  </si>
  <si>
    <t>INFORMACIÓN GENERAL  DE LA EMPRESA/ASOCIACIÓN</t>
  </si>
  <si>
    <t>#</t>
  </si>
  <si>
    <t>ÁREA DE ANÁLISIS</t>
  </si>
  <si>
    <t>Nombre de la empresa:</t>
  </si>
  <si>
    <t>Evaluación</t>
  </si>
  <si>
    <t>Concepto</t>
  </si>
  <si>
    <t>Gracias a este tipo de diagnóstico se pueden detectar las áreas de gestión donde el negocio requiere enfocar los esfuerzos para aplicar las medidas más efectivas. Para cada una de las afirmaciones, califique a su empresa/asociación con una calificación de 0 a 10, donde 0 significa total desacuerdo con la afirmación y 10 total acuerdo. Si alguna de las preguntas no aplica, en la casilla de respuesta ingrese NA. En la hoja RESUMEN podrá visualizar un resumen del resultado obtenido por el negocio, tanto en forma tabular como gráfica.</t>
  </si>
  <si>
    <t>DIAGNÓSTICO EMPRESARIAL:</t>
  </si>
  <si>
    <t>Esta herramienta deberá aplicarse a la empresa/asociación que se ha incorporado al proceso de la Metodología "Creciendo con su Negocio", se busca evaluar la forma como funcionan las diferentes áreas de un negocio. Esta evaluación si bien es amplia, no tiene un nivel alto de profundidad, considerando el tiempo requerido para realizar el diagnóstico. Constituye una herramienta sencilla pero de gran utilidad para conocer de forma preliminar la situación actual de una empresa/organización y los problemas que impiden su crecimiento, sostenibilidad y desarrollo.</t>
  </si>
  <si>
    <t>Dirección de la empresa/asociación:</t>
  </si>
  <si>
    <t>SITUACIÓN LEGAL Y FISCAL</t>
  </si>
  <si>
    <t>Esta herramienta ayuda a detectar las áreas de gestión donde se requiere enfocar los esfuerzos para aplicar las medidas más efectivas para fortalecer a la empresa/asociación. Para cada una de las afirmaciones, califique a la empresa con una ponderación de 0 a 10, donde 0 significa total desacuerdo con la afirmación y 10 total acuerdo. Si alguna de las preguntas no aplica para su caso en la casilla de respuesta ingrese NA. En la hoja RESUMEN podrá visualizar un resumen del resultado obtenido por la empresa.</t>
  </si>
  <si>
    <t>SITUACIÓN LEGAL Y TRIBUTARIA</t>
  </si>
  <si>
    <t>LIDERAZGO Y CLIMA ORGANIZACIONAL</t>
  </si>
  <si>
    <t>Modalidad legal de la organización:</t>
  </si>
  <si>
    <t>Correlativo</t>
  </si>
  <si>
    <t>Comentarios</t>
  </si>
  <si>
    <r>
      <rPr>
        <b/>
        <sz val="12"/>
        <color theme="1"/>
        <rFont val="Aptos"/>
      </rPr>
      <t xml:space="preserve">Número Total de socios </t>
    </r>
    <r>
      <rPr>
        <sz val="12"/>
        <color theme="1"/>
        <rFont val="Aptos"/>
      </rPr>
      <t>(Si la organización los contenpla)</t>
    </r>
    <r>
      <rPr>
        <b/>
        <sz val="12"/>
        <color theme="1"/>
        <rFont val="Aptos"/>
      </rPr>
      <t>:</t>
    </r>
  </si>
  <si>
    <t xml:space="preserve">ORGANIZACIÓN </t>
  </si>
  <si>
    <t>En que medida conocen los requisitos (en todos los casos) para que la empresa/asociación funcione</t>
  </si>
  <si>
    <t>Número de socias mujeres:</t>
  </si>
  <si>
    <t>CONTABILIDAD Y FINANZAS</t>
  </si>
  <si>
    <t>Número de socios hombres:</t>
  </si>
  <si>
    <t>En que medida se cumplen los requisitos para que la empresa/asociación funcione</t>
  </si>
  <si>
    <t>PLAN ESTRATÉGICO</t>
  </si>
  <si>
    <t>Empresa liderada por:</t>
  </si>
  <si>
    <t>PRODUCCIÓN Y OPERACIONES</t>
  </si>
  <si>
    <t>Hombres:</t>
  </si>
  <si>
    <t>En qué medida se cumplen las obligaciones tributarias: impuesto sobre los ingresos personales, impuesto sobre utilidades, impuesto sobre las ventas/servicios, y demás</t>
  </si>
  <si>
    <t>Mujeres:</t>
  </si>
  <si>
    <t>ASEGURAMIENTO DE LA CALIDAD</t>
  </si>
  <si>
    <t>En que medida se cumple con las normas laborales.</t>
  </si>
  <si>
    <t>Empresa propiedad de:</t>
  </si>
  <si>
    <t>COMERCIALIZACIÓN</t>
  </si>
  <si>
    <t>Promedio</t>
  </si>
  <si>
    <t>Número de miembros en la Junta Directiva:</t>
  </si>
  <si>
    <t>Número de mujeres en la Junta Directiva:</t>
  </si>
  <si>
    <t>El trabajo es realmente estimulante, nos gusta.</t>
  </si>
  <si>
    <t>Número de hombres en la Junta Directiva:</t>
  </si>
  <si>
    <t>La gente parece estar orgullosa de la organización.</t>
  </si>
  <si>
    <t>Fecha de fundación:</t>
  </si>
  <si>
    <t>El personal ponen gran esfuerzo en lo que hacen.</t>
  </si>
  <si>
    <t>Monto en Ventas  promedio por año ($):</t>
  </si>
  <si>
    <t>El personal de jefatura se reúnen regularmente con su personal subordinado para discutir proyectos futuros.</t>
  </si>
  <si>
    <t>Tiempo de operación (años, meses):</t>
  </si>
  <si>
    <t>El personal de jefatura  promueve el cambio y la igualdad de género.</t>
  </si>
  <si>
    <t>Opera en local propio, alquilado, en usufructo, etc</t>
  </si>
  <si>
    <t>Otro:</t>
  </si>
  <si>
    <t>El personal de jefatura establece diálogos con el personal de la empresa/asociación.</t>
  </si>
  <si>
    <t>El personal de jefatura sabe delegar, convencen a la gente de cómo y porqué hacer las cosas.</t>
  </si>
  <si>
    <t>Fuente de fondos para la operación</t>
  </si>
  <si>
    <t>Capital Propio</t>
  </si>
  <si>
    <t>Préstamo</t>
  </si>
  <si>
    <t>Otros:</t>
  </si>
  <si>
    <t>Los trabajos se enfocan al logro de objetivos estratégicos.</t>
  </si>
  <si>
    <t>El personal de jefatura promueve el empoderamiento de las mujereres que conforman su equipo</t>
  </si>
  <si>
    <t>Actividad principal de la empresa:</t>
  </si>
  <si>
    <t>El personal de jefatura apoya a que se vivan las nuevas masculinidades en un ambiente de respeto</t>
  </si>
  <si>
    <t>El personal de jefatura promueve la innovación en el negocio o en los productos y servicios de la empresa, incorporando las necesidades particulares de mujeres y hombres</t>
  </si>
  <si>
    <t>El personal de jefatura promueve que las mujeres asuman responsabilidades que usualmente son consideradas masculinas (como trabajo con maquinaria pesada o temas de finanzas por ejemplo)</t>
  </si>
  <si>
    <t>El personal de jefatura promueve que las hombres asuman responsabilidades que usualmente son consideradas femeninas (como secretariado, atención al cliente o recursos humanos por ejemplo)</t>
  </si>
  <si>
    <t>El personal de jefatura propicia que las mujeres asuman roles de liderazgo</t>
  </si>
  <si>
    <t>No. de personas contratadas:</t>
  </si>
  <si>
    <t>El personal de jefatura son personas respetuosas de las diversidades</t>
  </si>
  <si>
    <t>No. de mujeres contratadas:</t>
  </si>
  <si>
    <t>No. de hombres contratados:</t>
  </si>
  <si>
    <t>El personal de jefatura motiva a que en la empresa se maneje una comunicación y publicidad respetuosas con la clientela y sociedad.</t>
  </si>
  <si>
    <t>Del No. Total de personal, ¿cuántos tienen necesidades de cuidado y de qué tipo?</t>
  </si>
  <si>
    <t>El personal de jefatura motiva a que en la empresa se incorporen en su cadena de provisión, empresas de propiedad de mujeres</t>
  </si>
  <si>
    <t>Niños/as menores de 5 años</t>
  </si>
  <si>
    <t>Niños/as entre 5 y 18 años</t>
  </si>
  <si>
    <t>Personas con discapacidad</t>
  </si>
  <si>
    <t>ÁREA</t>
  </si>
  <si>
    <t>Personas adultas mayores</t>
  </si>
  <si>
    <t>El personal de jefatura contribuye a un espacio laboral libre de violencia</t>
  </si>
  <si>
    <t>EVALUACIÓN</t>
  </si>
  <si>
    <t>Personas con enfermedades crónicas</t>
  </si>
  <si>
    <t>El personal de jefatura inspira confianza para que las personas informen sobre casos de violencia o acoso</t>
  </si>
  <si>
    <t>¿Estas personas cuentan con servicios de cuidado?</t>
  </si>
  <si>
    <t>El personal de jefatura denota la transparencia e integridad al analizar casos de violencia o acoso en la empresa.</t>
  </si>
  <si>
    <t>El personal de jefatura procura un ambiente de integración trabajo - familia</t>
  </si>
  <si>
    <t>Sí</t>
  </si>
  <si>
    <t>El personal de jefatura dedica parte importante de su tiempo personal a las labores de cuidado familiar y del hogar</t>
  </si>
  <si>
    <t>El personal de jefatura otorga permisos al personal que tiene a su cargo el cuidado de niños/as, adultos/as mayores, y/o personas con discapacidad</t>
  </si>
  <si>
    <t>No</t>
  </si>
  <si>
    <t>El personal de jefatura promueve que los hombres de su equipo asuman responsabildiades de cuidado de niños/as, personas adultas mayores y personas con discapacidad</t>
  </si>
  <si>
    <t>¿El negocio tiene acceso a internet y a tecnologías digitales?</t>
  </si>
  <si>
    <t>El personal de jefatura es respetuoso del tiempo y los horarios de su gente</t>
  </si>
  <si>
    <t>Celular inteligente</t>
  </si>
  <si>
    <t>Tablet</t>
  </si>
  <si>
    <t>Computadora</t>
  </si>
  <si>
    <t>Otro</t>
  </si>
  <si>
    <t>¿El negocio está formalizado?</t>
  </si>
  <si>
    <t>La empresa cuenta con un organigrama claro y hay un procedimiento para elaborarlo</t>
  </si>
  <si>
    <t>Están claramente definidos los procedimientos para elegir los puestos directivos de la empresa/asociación</t>
  </si>
  <si>
    <t>Página web / Redes Sociales:</t>
  </si>
  <si>
    <t>Las funciones y responsabilidades del personal están escritas y son divulgadas.</t>
  </si>
  <si>
    <t>Se cuenta con procedimientos para la selección, contratación y entrenamiento del personal que están libres de discriminación y garantizan igualdad de oportunidades.</t>
  </si>
  <si>
    <t>Nombre del contacto principal:</t>
  </si>
  <si>
    <t>Se cuenta con un sistema de compensación que contempla la remuneración justa en dinero y otros incentivos, que están libre de discriminación y evita las brechas salariales hombre/mujer al mismo cargo.</t>
  </si>
  <si>
    <t>Teléfono fijo:</t>
  </si>
  <si>
    <t>El personal y las personas directivas tienen las competencias requeridas para el puesto que desempeñan, en función del perfil de cargo</t>
  </si>
  <si>
    <t>Teléfono Celular:</t>
  </si>
  <si>
    <t>Se cuenta con un sistema de comunicación (interno y externo) que permite dar a conocer las instrucciones de trabajo en el negocio y que es respetuoso e inclusivo.</t>
  </si>
  <si>
    <t>Correo electrónico:</t>
  </si>
  <si>
    <t>Se cuenta con un departamento de recursos humanos que gerencia las necesidades del personal, entendiendo las necesidades particulares de mujeres y hombres.</t>
  </si>
  <si>
    <t>Las prácticas de la empresa para promover la integración de la vida profesional, vida personal/familiar responden y suplen las necesidades del personal y son analizadas de manera periódica</t>
  </si>
  <si>
    <t>Nombre de contacto 2:</t>
  </si>
  <si>
    <t>En la empresa se respetan los horarios laborales de la gente evitando llamarles en sus horas de descanso o los fines de semana</t>
  </si>
  <si>
    <t>En la empresa se tienen mecanismos de flexibilidad laboral, tanto para mujeres como para hombres</t>
  </si>
  <si>
    <t>Este apartado deberá completarlo el consultor, como un resumen de los hallazgos realizados en la empresa que está diagnósticando.</t>
  </si>
  <si>
    <t>Los hombres de la empresa son alentados para que participen en labores de cuidado de niñas/os, personas adultas mayores y/o personas con discapacidad</t>
  </si>
  <si>
    <t>Todos los hombres que son padres hacen uso de su licencia de paternidad y retornan a sus funciones concluido el periodo correspondiente</t>
  </si>
  <si>
    <t>Nombre de contacto 3:</t>
  </si>
  <si>
    <t>La empresa cuenta con procesos y procedimientos para prevenir y sancionar la discriminación, violencia y acoso, que son conocidos por el personal</t>
  </si>
  <si>
    <t>Hallazgos:</t>
  </si>
  <si>
    <t>El personal se siente seguro/a de que si usa los canales dentro de la organización para reportar abusos / acoso laboral / acoso sexual / violencias, no habrá represalias</t>
  </si>
  <si>
    <t>Las personas reportan casos de abuso / acoso laboral / acoso sexual / violencias porque confían en la transperencia e integridad de los mecanismos para su tratamiento</t>
  </si>
  <si>
    <t>Es bien conocido por el personal qué hacer en caso de vivir una situación de acoso laboral, acoso sexual y/o algún tipo de violencia en el entorno laboral</t>
  </si>
  <si>
    <t>CLIENTELA PRINCIPAL</t>
  </si>
  <si>
    <t>En el ambiente de trabajo se tiene cero tolerancia al acoso y la violencia (especialmente la basada en género)</t>
  </si>
  <si>
    <t>Nombre:</t>
  </si>
  <si>
    <t>A menudo, el comportamiento violento no se considera como algo normal dentro de la organización (por parte de altos directivos o jefes, por ejemplo)</t>
  </si>
  <si>
    <t>Contacto:</t>
  </si>
  <si>
    <t>Las mujeres que pertenecen a la empresa se sienten seguras de trabajar aquí</t>
  </si>
  <si>
    <t>Teléfono:</t>
  </si>
  <si>
    <t>La empresa cuenta con mecanismos para ayudar a superar experiencias de violencia o acoso laboral.</t>
  </si>
  <si>
    <t>Correo Electrónico:</t>
  </si>
  <si>
    <t>Género (Mujer, Hombre, Otro):</t>
  </si>
  <si>
    <t>La empresa motiva a que las mujeres asuman roles, puestos de liderazgo y toma de decisión</t>
  </si>
  <si>
    <t>La empresa hace saber a todo el personal que la igualdad de género es importante para el negocio</t>
  </si>
  <si>
    <t>Las piezas de publicidad y comunicación de la empresa muestran a mujeres y hombres haciendo labores no tradicionales (hombres limpiando y mujeres trabajando por ejemplo)</t>
  </si>
  <si>
    <t>Recomendaciones:</t>
  </si>
  <si>
    <t>Mujeres y hombres se capacitan de igual manera y en las temáticas que potencien su trayectoria profesional y desarrollo personal</t>
  </si>
  <si>
    <t>Se sensibiliza sobre la forma de vivir las nuevas masculinidades en un ambiente de igualdad y respeto</t>
  </si>
  <si>
    <t>Normalmente, evalúan y reconocen al personal según su desempeño e indistintamente de su sexo, evitando sesgos o cualquier tipo de discriminación</t>
  </si>
  <si>
    <t>Se cuida la salud y el bienestar del personal entendiendo el ciclo vital y las necesidades particulares de las mujeres y los hombres</t>
  </si>
  <si>
    <t>Se mantiene registros contables de las operaciones del negocio.</t>
  </si>
  <si>
    <t xml:space="preserve">BASADO EN LA PROBLEMÁTICA IDENTIFICADA, CONSTRUYA LA LÍNEA DE BASE DE LA EMPRESA/ASOCIACIÓN Y SU VALOR ESPERADO </t>
  </si>
  <si>
    <t>Se determinan los costos de productos/servicios del negocio</t>
  </si>
  <si>
    <t>Para el presente año elaboraron un presupuesto.</t>
  </si>
  <si>
    <t>PROBLEMÁTICA</t>
  </si>
  <si>
    <t>LINEA DE BASE</t>
  </si>
  <si>
    <t>INDICADOR</t>
  </si>
  <si>
    <t>VALOR</t>
  </si>
  <si>
    <t>Se tiene posibilidades de acceso a crédito para financiar las operaciones del negocio, aprovechando líneas de financiamiento sostenibles o de género.</t>
  </si>
  <si>
    <t>INICIAL</t>
  </si>
  <si>
    <t>Se otorga crédito a la clientela principal.</t>
  </si>
  <si>
    <t>ESPERADO</t>
  </si>
  <si>
    <t>FINAL</t>
  </si>
  <si>
    <t>Se recibe crédito de los proveedores y se tiene un buen récord con ellos, respetando procesos justos con su cadena de valor</t>
  </si>
  <si>
    <t>NOMBRE DE LOS PRINCIPALES PRODUCTOS/SERVICIOS Y VENTAS</t>
  </si>
  <si>
    <t>La gestión financiera permite asegurar que el negocio genera ganancias, con base en registros contables oportunos, precisos y transparentes</t>
  </si>
  <si>
    <t>Producto/Servicio</t>
  </si>
  <si>
    <t>Ventas mensuales $</t>
  </si>
  <si>
    <t>En caso de generar ganancias, esta se reparten con base en las disponibilidades del flujo de caja.</t>
  </si>
  <si>
    <r>
      <rPr>
        <sz val="11"/>
        <color theme="1"/>
        <rFont val="Aptos"/>
      </rPr>
      <t xml:space="preserve">Se separa el </t>
    </r>
    <r>
      <rPr>
        <sz val="11"/>
        <color rgb="FF000000"/>
        <rFont val="Aptos"/>
      </rPr>
      <t>presupuesto de la familia/accionistas y del negocio.</t>
    </r>
  </si>
  <si>
    <r>
      <rPr>
        <sz val="11"/>
        <color theme="1"/>
        <rFont val="Aptos"/>
      </rPr>
      <t>Se mantienen r</t>
    </r>
    <r>
      <rPr>
        <sz val="11"/>
        <color rgb="FF000000"/>
        <rFont val="Aptos"/>
      </rPr>
      <t>egistros separados de los bienes de propiedad de la familia/accionistas y del negocio</t>
    </r>
  </si>
  <si>
    <t>ADMINISTRACIÓN DEL NEGOCIO</t>
  </si>
  <si>
    <t>Nombre del Cargo</t>
  </si>
  <si>
    <t xml:space="preserve">Ejercido por </t>
  </si>
  <si>
    <t>Sexo (Hombre/Mujer)</t>
  </si>
  <si>
    <t>Tiempo de permanencia en el cargo</t>
  </si>
  <si>
    <t>Se cuenta con un Plan Estratégico, que permite guiar las actividades del negocio y tiene un enfoque de sostenibilidad y género</t>
  </si>
  <si>
    <t>El Plan Estratégico sirve de base para la toma de decisiones operativas.</t>
  </si>
  <si>
    <t>El Plan Estratégico define indicadores y metas claras (en temas económicos, sociales, ambientales y de gobernanza)</t>
  </si>
  <si>
    <t>Para el desarrollo del Plan Estratégico se tomó en cuenta las fortalezas, debilidades, oportunidades y amenazas como base para la elaboración de estrategias</t>
  </si>
  <si>
    <t>Se analiza el sector de mercado en el que opera el negocio, con segmentación clara según género, edad y etnia (por lo menos)</t>
  </si>
  <si>
    <t>Se cuenta con un Plan de Trabajo para el presente año, con objetivos y metas medibles y verificables, incluyendo aspectos de igualdad de género</t>
  </si>
  <si>
    <t>Evaluación de la participación por Género en la actividad empresarial</t>
  </si>
  <si>
    <t>Las actividades que se han desarrollado permiten el logro de los objetivos del Plan de Trabajo.</t>
  </si>
  <si>
    <t>Esta sección permite determinar la distribución de funciones por género, al interior del negocio. En la medida de lo posible esta sección deberá completar por último y se deberá separar a los hombres de las mujeres para completar los datos, con el fin de evitar sesgos innecesarios de un género al otro.</t>
  </si>
  <si>
    <t>El presupuesto se elabora teniendo en cuenta el Plan de Trabajo.</t>
  </si>
  <si>
    <t>Actividad</t>
  </si>
  <si>
    <t>Mujeres</t>
  </si>
  <si>
    <t>Hombres</t>
  </si>
  <si>
    <t>Participa</t>
  </si>
  <si>
    <t>No Participa</t>
  </si>
  <si>
    <t>Participación en la Junta directiva</t>
  </si>
  <si>
    <t>Administración de aspectos legales y fiscales</t>
  </si>
  <si>
    <t>Definición de la organización</t>
  </si>
  <si>
    <t>Registros contables y finanzas</t>
  </si>
  <si>
    <t>La operación del negocio se mantiene activa y creciente</t>
  </si>
  <si>
    <t>Control del plan de negocios</t>
  </si>
  <si>
    <t>Elaboración de los productos</t>
  </si>
  <si>
    <t>Los productos y servicios corresponden a las necesidades y expectativas detectadas en los/las consumidores/as según género, etnia y grupo etario.</t>
  </si>
  <si>
    <t>Aseguramiento de la calidad</t>
  </si>
  <si>
    <t>La cantidad de máquinas y equipos con que cuenta el negocio es suficiente para atender la demanda de los productos o servicios.</t>
  </si>
  <si>
    <t>Búsqueda de clientes y ventas</t>
  </si>
  <si>
    <t>Administración de aspectos ambientales</t>
  </si>
  <si>
    <t xml:space="preserve">Las instalaciones son suficientes y adecuadas para desarrollar las actividades del negocio y son un espacio seguro y libre de violencia para las personas que allí laboran, especialmente para las mujeres </t>
  </si>
  <si>
    <t>Se conoce donde comprar las materias primas.</t>
  </si>
  <si>
    <t>Las compras se hacen con base en un pronóstico de ventas y se propicia la participación de Empresas de Propiedad de Mujeres o mujeres (des ser posible).</t>
  </si>
  <si>
    <t>Han desarrollado controles escritos y periódicos sobre los procesos de producción.</t>
  </si>
  <si>
    <t>La capacidad instalada del negocio está siendo utilizada en su totalidad.</t>
  </si>
  <si>
    <t>Han desarrollado por escrito la forma como se controla la calidad de los productos/servicios del negocio</t>
  </si>
  <si>
    <t>Cuando se está produciendo o se está ejecutando un servicio, se controla que siempre se cumpla con los procedimientos de calidad escritos.</t>
  </si>
  <si>
    <t>Se analizan los resultados obtenidos en el proceso, para detectar variaciones y hacer las correcciones oportunas.</t>
  </si>
  <si>
    <t xml:space="preserve">Todas las operaciones que se realizan, se registran </t>
  </si>
  <si>
    <t>Existe una gestión de información de registros de operaciones, documentos u otra información importante</t>
  </si>
  <si>
    <t>La empresa ha establecido que la calidad es una de las prioridades del negocio.</t>
  </si>
  <si>
    <t>Los productos/ servicios del negocio se ajustan a normas técnicas.</t>
  </si>
  <si>
    <t>Se están realizando ventas y las mismas son crecientes.</t>
  </si>
  <si>
    <t>Se han identificado los segmentos de mercado que atiende el negocio, según género, etnia y grupo etario.</t>
  </si>
  <si>
    <t>Se conocen las características de los clientes del negocio, sus gustos y necesidades y por qué compran los productos/ servicios, según género, etnia y grupo etario.</t>
  </si>
  <si>
    <t>Se conocen los hábitos de compra y de pago de los/las usuarios/as y consumidores/as.</t>
  </si>
  <si>
    <t>Se conoce si la clientela está satisfecha con su producto/servicio, según género, etnia y grupo etario.</t>
  </si>
  <si>
    <t>Los precios de venta se establecen con base al mercado, procurando incorporar el enfoque de género.</t>
  </si>
  <si>
    <t>El personal de ventas están debidamente capacitados y son sensibles al género.</t>
  </si>
  <si>
    <t>La promoción (publicidad) de los productos es adecuada, según género, etnia y grupo etario y además, es respetuosa e inclusiva.</t>
  </si>
  <si>
    <t>El sistema de distribución es eficiente.</t>
  </si>
  <si>
    <t>Se conoce a la competencia, especialmente sus debilidades y fortalezas.</t>
  </si>
  <si>
    <t>Se cuenta con un plan de mercadeo, el cual es formulado, ejecutado y evaluado y tiene enfoque de género</t>
  </si>
  <si>
    <t>¿Cuáles son las 3 grandes dificultades que la empresa/asociación ha identificado a lo largo de su historia y que aún continuan?</t>
  </si>
  <si>
    <t xml:space="preserve">Defina 3 fortalezas y 3 debilidades de su empresa/asociación, como proveedora de una empresa </t>
  </si>
  <si>
    <t>FORTALEZAS</t>
  </si>
  <si>
    <t>DEBILIDADES</t>
  </si>
  <si>
    <t>Defina junto al/a empresario/a, las necesidades manifiestas en orden de prioridad</t>
  </si>
  <si>
    <t>NECESIDADES MANIFIESTAS</t>
  </si>
  <si>
    <t>La Colmena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</si>
</sst>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0"/>
      <color rgb="FF000000"/>
      <name val="Arial"/>
      <scheme val="minor"/>
    </font>
    <font>
      <sz val="14"/>
      <color theme="1"/>
      <name val="Aptos"/>
    </font>
    <font>
      <sz val="10"/>
      <color theme="1"/>
      <name val="Aptos"/>
    </font>
    <font>
      <sz val="11"/>
      <color theme="1"/>
      <name val="Aptos"/>
    </font>
    <font>
      <b/>
      <sz val="12"/>
      <color theme="1"/>
      <name val="Aptos"/>
    </font>
    <font>
      <b/>
      <sz val="14"/>
      <color theme="1"/>
      <name val="Aptos"/>
    </font>
    <font>
      <sz val="10"/>
      <name val="Arial"/>
    </font>
    <font>
      <sz val="12"/>
      <color theme="1"/>
      <name val="Aptos"/>
    </font>
    <font>
      <b/>
      <sz val="11"/>
      <color theme="1"/>
      <name val="Aptos"/>
    </font>
    <font>
      <b/>
      <sz val="16"/>
      <color rgb="FF0070C0"/>
      <name val="Aptos"/>
    </font>
    <font>
      <b/>
      <sz val="18"/>
      <color rgb="FF0070C0"/>
      <name val="Aptos"/>
    </font>
    <font>
      <b/>
      <sz val="14"/>
      <color rgb="FF0070C0"/>
      <name val="Aptos"/>
    </font>
    <font>
      <b/>
      <sz val="12"/>
      <color theme="0"/>
      <name val="Aptos"/>
    </font>
    <font>
      <b/>
      <sz val="14"/>
      <color theme="0"/>
      <name val="Aptos"/>
    </font>
    <font>
      <sz val="11"/>
      <color rgb="FF333333"/>
      <name val="Aptos"/>
    </font>
    <font>
      <b/>
      <sz val="11"/>
      <color theme="0"/>
      <name val="Aptos"/>
    </font>
    <font>
      <b/>
      <sz val="10"/>
      <color theme="0"/>
      <name val="Aptos"/>
    </font>
    <font>
      <b/>
      <sz val="16"/>
      <color rgb="FF17365D"/>
      <name val="Aptos"/>
    </font>
    <font>
      <b/>
      <sz val="12"/>
      <color rgb="FF000000"/>
      <name val="Aptos"/>
    </font>
    <font>
      <sz val="12"/>
      <color rgb="FF000000"/>
      <name val="Aptos"/>
    </font>
    <font>
      <b/>
      <sz val="12"/>
      <color rgb="FF0070C0"/>
      <name val="Aptos"/>
    </font>
    <font>
      <sz val="10"/>
      <color rgb="FF0070C0"/>
      <name val="Aptos"/>
    </font>
    <font>
      <sz val="11"/>
      <color rgb="FF000000"/>
      <name val="Aptos"/>
    </font>
    <font>
      <b/>
      <sz val="11"/>
      <color rgb="FF17365D"/>
      <name val="Aptos"/>
    </font>
  </fonts>
  <fills count="10">
    <fill>
      <patternFill patternType="none"/>
    </fill>
    <fill>
      <patternFill patternType="gray125"/>
    </fill>
    <fill>
      <patternFill patternType="solid">
        <fgColor theme="0"/>
        <bgColor theme="0"/>
      </patternFill>
    </fill>
    <fill>
      <patternFill patternType="solid">
        <fgColor rgb="FF0070C0"/>
        <bgColor rgb="FF0070C0"/>
      </patternFill>
    </fill>
    <fill>
      <patternFill patternType="solid">
        <fgColor rgb="FFC6D9F0"/>
        <bgColor rgb="FFC6D9F0"/>
      </patternFill>
    </fill>
    <fill>
      <patternFill patternType="solid">
        <fgColor rgb="FFB8CCE4"/>
        <bgColor rgb="FFB8CCE4"/>
      </patternFill>
    </fill>
    <fill>
      <patternFill patternType="solid">
        <fgColor theme="4"/>
        <bgColor theme="4"/>
      </patternFill>
    </fill>
    <fill>
      <patternFill patternType="solid">
        <fgColor rgb="FFD6E3BC"/>
        <bgColor rgb="FFD6E3BC"/>
      </patternFill>
    </fill>
    <fill>
      <patternFill patternType="solid">
        <fgColor rgb="FFE5B8B7"/>
        <bgColor rgb="FFE5B8B7"/>
      </patternFill>
    </fill>
    <fill>
      <patternFill patternType="solid">
        <fgColor rgb="FFCCC0D9"/>
        <bgColor rgb="FFCCC0D9"/>
      </patternFill>
    </fill>
  </fills>
  <borders count="63">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bottom/>
      <diagonal/>
    </border>
    <border>
      <left/>
      <right/>
      <top/>
      <bottom/>
      <diagonal/>
    </border>
    <border>
      <left/>
      <right style="thin">
        <color rgb="FF000000"/>
      </right>
      <top/>
      <bottom/>
      <diagonal/>
    </border>
    <border>
      <left style="medium">
        <color rgb="FF000000"/>
      </left>
      <right/>
      <top/>
      <bottom/>
      <diagonal/>
    </border>
    <border>
      <left/>
      <right/>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s>
  <cellStyleXfs count="1">
    <xf numFmtId="0" fontId="0" fillId="0" borderId="0"/>
  </cellStyleXfs>
  <cellXfs count="175">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7" fillId="2" borderId="1" xfId="0" applyFont="1" applyFill="1" applyBorder="1"/>
    <xf numFmtId="0" fontId="8" fillId="2" borderId="1" xfId="0" applyFont="1" applyFill="1" applyBorder="1" applyAlignment="1">
      <alignment vertical="center"/>
    </xf>
    <xf numFmtId="0" fontId="8" fillId="2" borderId="7" xfId="0" applyFont="1" applyFill="1" applyBorder="1" applyAlignment="1">
      <alignment vertical="center"/>
    </xf>
    <xf numFmtId="0" fontId="2" fillId="2" borderId="11" xfId="0" applyFont="1" applyFill="1" applyBorder="1"/>
    <xf numFmtId="0" fontId="8" fillId="2" borderId="12" xfId="0" applyFont="1" applyFill="1" applyBorder="1" applyAlignment="1">
      <alignment vertical="center"/>
    </xf>
    <xf numFmtId="0" fontId="7" fillId="2" borderId="1" xfId="0" applyFont="1" applyFill="1" applyBorder="1" applyAlignment="1">
      <alignment vertical="center"/>
    </xf>
    <xf numFmtId="0" fontId="8" fillId="2" borderId="18" xfId="0" applyFont="1" applyFill="1" applyBorder="1"/>
    <xf numFmtId="0" fontId="7" fillId="2" borderId="24" xfId="0" applyFont="1" applyFill="1" applyBorder="1" applyAlignment="1">
      <alignment vertical="center"/>
    </xf>
    <xf numFmtId="0" fontId="2" fillId="2" borderId="24" xfId="0" applyFont="1" applyFill="1" applyBorder="1"/>
    <xf numFmtId="0" fontId="2" fillId="2" borderId="25" xfId="0" applyFont="1" applyFill="1" applyBorder="1"/>
    <xf numFmtId="0" fontId="1" fillId="2" borderId="1" xfId="0" applyFont="1" applyFill="1" applyBorder="1" applyAlignment="1">
      <alignment horizontal="left" vertical="center" wrapText="1"/>
    </xf>
    <xf numFmtId="0" fontId="12" fillId="3" borderId="26" xfId="0" applyFont="1" applyFill="1" applyBorder="1" applyAlignment="1">
      <alignment horizontal="center"/>
    </xf>
    <xf numFmtId="0" fontId="5" fillId="2" borderId="1" xfId="0" applyFont="1" applyFill="1" applyBorder="1"/>
    <xf numFmtId="0" fontId="1" fillId="2" borderId="1" xfId="0" applyFont="1" applyFill="1" applyBorder="1" applyAlignment="1">
      <alignment vertical="center" wrapText="1"/>
    </xf>
    <xf numFmtId="0" fontId="14" fillId="2" borderId="1" xfId="0" applyFont="1" applyFill="1" applyBorder="1" applyAlignment="1">
      <alignment horizontal="left"/>
    </xf>
    <xf numFmtId="0" fontId="7" fillId="2" borderId="26" xfId="0" applyFont="1" applyFill="1" applyBorder="1" applyAlignment="1">
      <alignment horizontal="center"/>
    </xf>
    <xf numFmtId="0" fontId="4" fillId="2" borderId="30" xfId="0" applyFont="1" applyFill="1" applyBorder="1" applyAlignment="1">
      <alignment horizontal="left" vertical="center"/>
    </xf>
    <xf numFmtId="0" fontId="7" fillId="2" borderId="26" xfId="0" applyFont="1" applyFill="1" applyBorder="1"/>
    <xf numFmtId="164" fontId="7" fillId="2" borderId="26" xfId="0" applyNumberFormat="1" applyFont="1" applyFill="1" applyBorder="1" applyAlignment="1">
      <alignment horizontal="center"/>
    </xf>
    <xf numFmtId="0" fontId="3" fillId="2" borderId="1" xfId="0" applyFont="1" applyFill="1" applyBorder="1" applyAlignment="1">
      <alignment vertical="center" wrapText="1"/>
    </xf>
    <xf numFmtId="0" fontId="3" fillId="2" borderId="1" xfId="0" applyFont="1" applyFill="1" applyBorder="1" applyAlignment="1">
      <alignment vertical="center"/>
    </xf>
    <xf numFmtId="0" fontId="8" fillId="4" borderId="26" xfId="0" applyFont="1" applyFill="1" applyBorder="1" applyAlignment="1">
      <alignment horizontal="center" vertical="center"/>
    </xf>
    <xf numFmtId="0" fontId="8" fillId="4" borderId="36" xfId="0" applyFont="1" applyFill="1" applyBorder="1" applyAlignment="1">
      <alignment horizontal="center" vertical="center"/>
    </xf>
    <xf numFmtId="0" fontId="3" fillId="2" borderId="30" xfId="0" applyFont="1" applyFill="1" applyBorder="1" applyAlignment="1">
      <alignment horizontal="center" vertical="center" wrapText="1"/>
    </xf>
    <xf numFmtId="0" fontId="3" fillId="2" borderId="26" xfId="0" applyFont="1" applyFill="1" applyBorder="1" applyAlignment="1">
      <alignment vertical="center" wrapText="1"/>
    </xf>
    <xf numFmtId="0" fontId="3" fillId="2" borderId="26" xfId="0" applyFont="1" applyFill="1" applyBorder="1" applyAlignment="1">
      <alignment horizontal="center" vertical="center" wrapText="1"/>
    </xf>
    <xf numFmtId="0" fontId="3" fillId="2" borderId="26" xfId="0" applyFont="1" applyFill="1" applyBorder="1" applyAlignment="1">
      <alignment horizontal="center" vertical="center"/>
    </xf>
    <xf numFmtId="0" fontId="3" fillId="2" borderId="36" xfId="0" applyFont="1" applyFill="1" applyBorder="1" applyAlignment="1">
      <alignment vertical="center"/>
    </xf>
    <xf numFmtId="0" fontId="7" fillId="2" borderId="30" xfId="0" applyFont="1" applyFill="1" applyBorder="1" applyAlignment="1">
      <alignment horizontal="left" vertical="center"/>
    </xf>
    <xf numFmtId="0" fontId="3" fillId="2" borderId="37" xfId="0" applyFont="1" applyFill="1" applyBorder="1" applyAlignment="1">
      <alignment horizontal="center" vertical="center" wrapText="1"/>
    </xf>
    <xf numFmtId="0" fontId="3" fillId="2" borderId="38" xfId="0" applyFont="1" applyFill="1" applyBorder="1" applyAlignment="1">
      <alignment vertical="center" wrapText="1"/>
    </xf>
    <xf numFmtId="0" fontId="3" fillId="2" borderId="38" xfId="0" applyFont="1" applyFill="1" applyBorder="1" applyAlignment="1">
      <alignment horizontal="center" vertical="center" wrapText="1"/>
    </xf>
    <xf numFmtId="0" fontId="3" fillId="2" borderId="38" xfId="0" applyFont="1" applyFill="1" applyBorder="1" applyAlignment="1">
      <alignment horizontal="center" vertical="center"/>
    </xf>
    <xf numFmtId="0" fontId="3" fillId="2" borderId="39" xfId="0" applyFont="1" applyFill="1" applyBorder="1" applyAlignment="1">
      <alignment vertical="center"/>
    </xf>
    <xf numFmtId="0" fontId="3" fillId="2" borderId="1" xfId="0" applyFont="1" applyFill="1" applyBorder="1" applyAlignment="1">
      <alignment horizontal="center" vertical="center" wrapText="1"/>
    </xf>
    <xf numFmtId="0" fontId="8" fillId="2" borderId="1" xfId="0" applyFont="1" applyFill="1" applyBorder="1" applyAlignment="1">
      <alignment horizontal="right" vertical="center" wrapText="1"/>
    </xf>
    <xf numFmtId="164" fontId="8" fillId="2" borderId="1" xfId="0" applyNumberFormat="1" applyFont="1" applyFill="1" applyBorder="1" applyAlignment="1">
      <alignment horizontal="center" vertical="center" wrapText="1"/>
    </xf>
    <xf numFmtId="0" fontId="3" fillId="2" borderId="40" xfId="0" applyFont="1" applyFill="1" applyBorder="1" applyAlignment="1">
      <alignment horizontal="center" vertical="center" wrapText="1"/>
    </xf>
    <xf numFmtId="0" fontId="7" fillId="2" borderId="26" xfId="0" applyFont="1" applyFill="1" applyBorder="1" applyAlignment="1">
      <alignment horizontal="right"/>
    </xf>
    <xf numFmtId="0" fontId="4" fillId="2" borderId="30" xfId="0" applyFont="1" applyFill="1" applyBorder="1" applyAlignment="1">
      <alignment vertical="center" wrapText="1"/>
    </xf>
    <xf numFmtId="0" fontId="16" fillId="3" borderId="26" xfId="0" applyFont="1" applyFill="1" applyBorder="1" applyAlignment="1">
      <alignment horizontal="center" vertical="center"/>
    </xf>
    <xf numFmtId="0" fontId="7" fillId="2" borderId="36" xfId="0" applyFont="1" applyFill="1" applyBorder="1"/>
    <xf numFmtId="0" fontId="2" fillId="2" borderId="26" xfId="0" applyFont="1" applyFill="1" applyBorder="1"/>
    <xf numFmtId="164" fontId="2" fillId="2" borderId="26" xfId="0" applyNumberFormat="1" applyFont="1" applyFill="1" applyBorder="1" applyAlignment="1">
      <alignment horizontal="center"/>
    </xf>
    <xf numFmtId="0" fontId="4" fillId="2" borderId="30" xfId="0" applyFont="1" applyFill="1" applyBorder="1" applyAlignment="1">
      <alignment vertical="center"/>
    </xf>
    <xf numFmtId="0" fontId="7" fillId="2" borderId="26" xfId="0" applyFont="1" applyFill="1" applyBorder="1" applyAlignment="1">
      <alignment vertical="center" wrapText="1"/>
    </xf>
    <xf numFmtId="0" fontId="7" fillId="2" borderId="26" xfId="0" applyFont="1" applyFill="1" applyBorder="1" applyAlignment="1">
      <alignment wrapText="1"/>
    </xf>
    <xf numFmtId="0" fontId="8" fillId="2" borderId="1" xfId="0" applyFont="1" applyFill="1" applyBorder="1" applyAlignment="1">
      <alignment horizontal="center" vertical="center"/>
    </xf>
    <xf numFmtId="164" fontId="3" fillId="2" borderId="1" xfId="0" applyNumberFormat="1" applyFont="1" applyFill="1" applyBorder="1" applyAlignment="1">
      <alignment vertical="center"/>
    </xf>
    <xf numFmtId="0" fontId="9" fillId="2" borderId="1" xfId="0" applyFont="1" applyFill="1" applyBorder="1"/>
    <xf numFmtId="0" fontId="17" fillId="2" borderId="1" xfId="0" applyFont="1" applyFill="1" applyBorder="1"/>
    <xf numFmtId="0" fontId="2" fillId="5" borderId="1" xfId="0" applyFont="1" applyFill="1" applyBorder="1"/>
    <xf numFmtId="0" fontId="7" fillId="2" borderId="37" xfId="0" applyFont="1" applyFill="1" applyBorder="1" applyAlignment="1">
      <alignment horizontal="left" vertical="center"/>
    </xf>
    <xf numFmtId="0" fontId="7" fillId="5" borderId="26" xfId="0" applyFont="1" applyFill="1" applyBorder="1" applyAlignment="1">
      <alignment horizontal="center" vertical="center"/>
    </xf>
    <xf numFmtId="0" fontId="7" fillId="2" borderId="1" xfId="0" applyFont="1" applyFill="1" applyBorder="1" applyAlignment="1">
      <alignment horizontal="left" vertical="center"/>
    </xf>
    <xf numFmtId="0" fontId="18" fillId="2" borderId="30" xfId="0" applyFont="1" applyFill="1" applyBorder="1" applyAlignment="1">
      <alignment horizontal="left" vertical="center"/>
    </xf>
    <xf numFmtId="0" fontId="19" fillId="2" borderId="30" xfId="0" applyFont="1" applyFill="1" applyBorder="1" applyAlignment="1">
      <alignment horizontal="left" vertical="center"/>
    </xf>
    <xf numFmtId="0" fontId="3" fillId="2" borderId="1" xfId="0" applyFont="1" applyFill="1" applyBorder="1" applyAlignment="1">
      <alignment horizontal="right" vertical="center" wrapText="1"/>
    </xf>
    <xf numFmtId="164" fontId="3" fillId="2" borderId="1" xfId="0" applyNumberFormat="1" applyFont="1" applyFill="1" applyBorder="1" applyAlignment="1">
      <alignment horizontal="center" vertical="center" wrapText="1"/>
    </xf>
    <xf numFmtId="0" fontId="21" fillId="2" borderId="1" xfId="0" applyFont="1" applyFill="1" applyBorder="1"/>
    <xf numFmtId="0" fontId="22" fillId="2" borderId="26" xfId="0" applyFont="1" applyFill="1" applyBorder="1" applyAlignment="1">
      <alignment vertical="center" wrapText="1"/>
    </xf>
    <xf numFmtId="0" fontId="19" fillId="2" borderId="37" xfId="0" applyFont="1" applyFill="1" applyBorder="1" applyAlignment="1">
      <alignment horizontal="left" vertical="center"/>
    </xf>
    <xf numFmtId="0" fontId="2" fillId="5" borderId="26" xfId="0" applyFont="1" applyFill="1" applyBorder="1" applyAlignment="1">
      <alignment horizontal="center"/>
    </xf>
    <xf numFmtId="0" fontId="7" fillId="2" borderId="1" xfId="0" applyFont="1" applyFill="1" applyBorder="1" applyAlignment="1">
      <alignment horizontal="center" vertical="center"/>
    </xf>
    <xf numFmtId="0" fontId="3" fillId="2" borderId="1" xfId="0" applyFont="1" applyFill="1" applyBorder="1" applyAlignment="1">
      <alignment horizontal="left" vertical="center"/>
    </xf>
    <xf numFmtId="0" fontId="4" fillId="2" borderId="26" xfId="0" applyFont="1" applyFill="1" applyBorder="1" applyAlignment="1">
      <alignment horizontal="center" vertical="center" wrapText="1"/>
    </xf>
    <xf numFmtId="0" fontId="4" fillId="2" borderId="36" xfId="0" applyFont="1" applyFill="1" applyBorder="1" applyAlignment="1">
      <alignment horizontal="center" vertical="center" wrapText="1"/>
    </xf>
    <xf numFmtId="0" fontId="7" fillId="2" borderId="38" xfId="0" applyFont="1" applyFill="1" applyBorder="1"/>
    <xf numFmtId="0" fontId="7" fillId="2" borderId="39" xfId="0" applyFont="1" applyFill="1" applyBorder="1"/>
    <xf numFmtId="0" fontId="12" fillId="6" borderId="26" xfId="0" applyFont="1" applyFill="1" applyBorder="1" applyAlignment="1">
      <alignment horizontal="center" vertical="center"/>
    </xf>
    <xf numFmtId="0" fontId="12" fillId="6" borderId="36" xfId="0" applyFont="1" applyFill="1" applyBorder="1" applyAlignment="1">
      <alignment horizontal="center" vertical="center"/>
    </xf>
    <xf numFmtId="0" fontId="4" fillId="2" borderId="26" xfId="0" applyFont="1" applyFill="1" applyBorder="1" applyAlignment="1">
      <alignment horizontal="center" vertical="center"/>
    </xf>
    <xf numFmtId="0" fontId="4" fillId="2" borderId="36" xfId="0" applyFont="1" applyFill="1" applyBorder="1" applyAlignment="1">
      <alignment horizontal="center" vertical="center"/>
    </xf>
    <xf numFmtId="0" fontId="7" fillId="2" borderId="26" xfId="0" applyFont="1" applyFill="1" applyBorder="1" applyAlignment="1">
      <alignment vertical="center"/>
    </xf>
    <xf numFmtId="0" fontId="7" fillId="2" borderId="36" xfId="0" applyFont="1" applyFill="1" applyBorder="1" applyAlignment="1">
      <alignment vertical="center"/>
    </xf>
    <xf numFmtId="0" fontId="7" fillId="2" borderId="38" xfId="0" applyFont="1" applyFill="1" applyBorder="1" applyAlignment="1">
      <alignment vertical="center"/>
    </xf>
    <xf numFmtId="0" fontId="7" fillId="2" borderId="39" xfId="0" applyFont="1" applyFill="1" applyBorder="1" applyAlignment="1">
      <alignment vertical="center"/>
    </xf>
    <xf numFmtId="0" fontId="3" fillId="2" borderId="58" xfId="0" applyFont="1" applyFill="1" applyBorder="1" applyAlignment="1">
      <alignment horizontal="center" vertical="center" wrapText="1"/>
    </xf>
    <xf numFmtId="0" fontId="3" fillId="2" borderId="59" xfId="0" applyFont="1" applyFill="1" applyBorder="1" applyAlignment="1">
      <alignment horizontal="center" vertical="center" wrapText="1"/>
    </xf>
    <xf numFmtId="0" fontId="3" fillId="4" borderId="1" xfId="0" applyFont="1" applyFill="1" applyBorder="1" applyAlignment="1">
      <alignment vertical="center"/>
    </xf>
    <xf numFmtId="0" fontId="23" fillId="2" borderId="1" xfId="0" applyFont="1" applyFill="1" applyBorder="1" applyAlignment="1">
      <alignment vertical="center" wrapText="1"/>
    </xf>
    <xf numFmtId="0" fontId="3" fillId="5" borderId="60" xfId="0" applyFont="1" applyFill="1" applyBorder="1" applyAlignment="1">
      <alignment vertical="center"/>
    </xf>
    <xf numFmtId="0" fontId="3" fillId="5" borderId="61" xfId="0" applyFont="1" applyFill="1" applyBorder="1" applyAlignment="1">
      <alignment vertical="center"/>
    </xf>
    <xf numFmtId="0" fontId="3" fillId="5" borderId="62" xfId="0" applyFont="1" applyFill="1" applyBorder="1" applyAlignment="1">
      <alignment vertical="center"/>
    </xf>
    <xf numFmtId="0" fontId="3" fillId="7" borderId="60" xfId="0" applyFont="1" applyFill="1" applyBorder="1" applyAlignment="1">
      <alignment vertical="center"/>
    </xf>
    <xf numFmtId="0" fontId="3" fillId="7" borderId="61" xfId="0" applyFont="1" applyFill="1" applyBorder="1" applyAlignment="1">
      <alignment vertical="center"/>
    </xf>
    <xf numFmtId="0" fontId="3" fillId="7" borderId="62" xfId="0" applyFont="1" applyFill="1" applyBorder="1" applyAlignment="1">
      <alignment vertical="center"/>
    </xf>
    <xf numFmtId="0" fontId="3" fillId="8" borderId="60" xfId="0" applyFont="1" applyFill="1" applyBorder="1" applyAlignment="1">
      <alignment vertical="center"/>
    </xf>
    <xf numFmtId="0" fontId="3" fillId="8" borderId="61" xfId="0" applyFont="1" applyFill="1" applyBorder="1" applyAlignment="1">
      <alignment vertical="center"/>
    </xf>
    <xf numFmtId="0" fontId="3" fillId="8" borderId="62" xfId="0" applyFont="1" applyFill="1" applyBorder="1" applyAlignment="1">
      <alignment vertical="center"/>
    </xf>
    <xf numFmtId="0" fontId="8" fillId="9" borderId="60" xfId="0" applyFont="1" applyFill="1" applyBorder="1" applyAlignment="1">
      <alignment horizontal="left" vertical="center"/>
    </xf>
    <xf numFmtId="0" fontId="8" fillId="9" borderId="61" xfId="0" applyFont="1" applyFill="1" applyBorder="1" applyAlignment="1">
      <alignment horizontal="left" vertical="center"/>
    </xf>
    <xf numFmtId="164" fontId="2" fillId="2" borderId="1" xfId="0" applyNumberFormat="1" applyFont="1" applyFill="1" applyBorder="1"/>
    <xf numFmtId="0" fontId="2" fillId="2" borderId="44" xfId="0" applyFont="1" applyFill="1" applyBorder="1" applyAlignment="1">
      <alignment horizontal="center"/>
    </xf>
    <xf numFmtId="0" fontId="6" fillId="0" borderId="49" xfId="0" applyFont="1" applyBorder="1"/>
    <xf numFmtId="0" fontId="6" fillId="0" borderId="45" xfId="0" applyFont="1" applyBorder="1"/>
    <xf numFmtId="0" fontId="1" fillId="2" borderId="31" xfId="0" applyFont="1" applyFill="1" applyBorder="1" applyAlignment="1">
      <alignment horizontal="center"/>
    </xf>
    <xf numFmtId="0" fontId="6" fillId="0" borderId="32" xfId="0" applyFont="1" applyBorder="1"/>
    <xf numFmtId="0" fontId="6" fillId="0" borderId="35" xfId="0" applyFont="1" applyBorder="1"/>
    <xf numFmtId="0" fontId="20" fillId="2" borderId="14" xfId="0" applyFont="1" applyFill="1" applyBorder="1" applyAlignment="1">
      <alignment horizontal="left" vertical="center" wrapText="1"/>
    </xf>
    <xf numFmtId="0" fontId="6" fillId="0" borderId="16" xfId="0" applyFont="1" applyBorder="1"/>
    <xf numFmtId="0" fontId="6" fillId="0" borderId="15" xfId="0" applyFont="1" applyBorder="1"/>
    <xf numFmtId="0" fontId="2" fillId="5" borderId="44" xfId="0" applyFont="1" applyFill="1" applyBorder="1" applyAlignment="1">
      <alignment horizontal="center" vertical="center"/>
    </xf>
    <xf numFmtId="0" fontId="2" fillId="5" borderId="31" xfId="0" applyFont="1" applyFill="1" applyBorder="1" applyAlignment="1">
      <alignment horizontal="center"/>
    </xf>
    <xf numFmtId="0" fontId="11" fillId="2" borderId="14" xfId="0" applyFont="1" applyFill="1" applyBorder="1" applyAlignment="1">
      <alignment horizontal="left" vertical="center" wrapText="1"/>
    </xf>
    <xf numFmtId="0" fontId="8" fillId="2" borderId="21" xfId="0" applyFont="1" applyFill="1" applyBorder="1" applyAlignment="1">
      <alignment horizontal="center"/>
    </xf>
    <xf numFmtId="0" fontId="6" fillId="0" borderId="23" xfId="0" applyFont="1" applyBorder="1"/>
    <xf numFmtId="0" fontId="11" fillId="2" borderId="14" xfId="0" applyFont="1" applyFill="1" applyBorder="1" applyAlignment="1">
      <alignment horizontal="center" wrapText="1"/>
    </xf>
    <xf numFmtId="0" fontId="5" fillId="2" borderId="2" xfId="0" applyFont="1" applyFill="1" applyBorder="1" applyAlignment="1">
      <alignment horizontal="center" vertical="center" wrapText="1"/>
    </xf>
    <xf numFmtId="0" fontId="6" fillId="0" borderId="3" xfId="0" applyFont="1" applyBorder="1"/>
    <xf numFmtId="0" fontId="6" fillId="0" borderId="4" xfId="0" applyFont="1" applyBorder="1"/>
    <xf numFmtId="0" fontId="8" fillId="2" borderId="5" xfId="0" applyFont="1" applyFill="1" applyBorder="1" applyAlignment="1">
      <alignment horizontal="center" vertical="center"/>
    </xf>
    <xf numFmtId="0" fontId="6" fillId="0" borderId="6" xfId="0" applyFont="1" applyBorder="1"/>
    <xf numFmtId="0" fontId="8" fillId="2" borderId="13" xfId="0" applyFont="1" applyFill="1" applyBorder="1" applyAlignment="1">
      <alignment horizontal="center" vertical="center"/>
    </xf>
    <xf numFmtId="0" fontId="1" fillId="2" borderId="14" xfId="0" applyFont="1" applyFill="1" applyBorder="1" applyAlignment="1">
      <alignment horizontal="left" vertical="center" wrapText="1"/>
    </xf>
    <xf numFmtId="0" fontId="4" fillId="2" borderId="2" xfId="0" applyFont="1" applyFill="1" applyBorder="1" applyAlignment="1">
      <alignment horizontal="center" vertical="center" wrapText="1"/>
    </xf>
    <xf numFmtId="0" fontId="7" fillId="2" borderId="8" xfId="0" applyFont="1" applyFill="1" applyBorder="1" applyAlignment="1">
      <alignment horizontal="center" vertical="center"/>
    </xf>
    <xf numFmtId="0" fontId="6" fillId="0" borderId="9" xfId="0" applyFont="1" applyBorder="1"/>
    <xf numFmtId="0" fontId="6" fillId="0" borderId="10" xfId="0" applyFont="1" applyBorder="1"/>
    <xf numFmtId="0" fontId="7" fillId="2" borderId="14" xfId="0" applyFont="1" applyFill="1" applyBorder="1" applyAlignment="1">
      <alignment horizontal="center" vertical="center"/>
    </xf>
    <xf numFmtId="0" fontId="6" fillId="0" borderId="17" xfId="0" applyFont="1" applyBorder="1"/>
    <xf numFmtId="0" fontId="7" fillId="2" borderId="19" xfId="0" applyFont="1" applyFill="1" applyBorder="1" applyAlignment="1">
      <alignment horizontal="center" vertical="center"/>
    </xf>
    <xf numFmtId="0" fontId="6" fillId="0" borderId="20" xfId="0" applyFont="1" applyBorder="1"/>
    <xf numFmtId="0" fontId="6" fillId="0" borderId="22" xfId="0" applyFont="1" applyBorder="1"/>
    <xf numFmtId="0" fontId="7" fillId="2" borderId="31" xfId="0" applyFont="1" applyFill="1" applyBorder="1"/>
    <xf numFmtId="0" fontId="6" fillId="0" borderId="33" xfId="0" applyFont="1" applyBorder="1"/>
    <xf numFmtId="0" fontId="7" fillId="2" borderId="46" xfId="0" applyFont="1" applyFill="1" applyBorder="1"/>
    <xf numFmtId="0" fontId="6" fillId="0" borderId="47" xfId="0" applyFont="1" applyBorder="1"/>
    <xf numFmtId="0" fontId="6" fillId="0" borderId="48" xfId="0" applyFont="1" applyBorder="1"/>
    <xf numFmtId="0" fontId="13" fillId="3" borderId="5" xfId="0" applyFont="1" applyFill="1" applyBorder="1" applyAlignment="1">
      <alignment horizontal="center"/>
    </xf>
    <xf numFmtId="0" fontId="18" fillId="2" borderId="34" xfId="0" applyFont="1" applyFill="1" applyBorder="1" applyAlignment="1">
      <alignment horizontal="center" vertical="center"/>
    </xf>
    <xf numFmtId="0" fontId="4" fillId="2" borderId="31" xfId="0" applyFont="1" applyFill="1" applyBorder="1" applyAlignment="1">
      <alignment horizontal="center"/>
    </xf>
    <xf numFmtId="0" fontId="7" fillId="2" borderId="34" xfId="0" applyFont="1" applyFill="1" applyBorder="1" applyAlignment="1">
      <alignment horizontal="center" vertical="center"/>
    </xf>
    <xf numFmtId="0" fontId="7" fillId="2" borderId="50" xfId="0" applyFont="1" applyFill="1" applyBorder="1" applyAlignment="1">
      <alignment horizontal="center" vertical="center"/>
    </xf>
    <xf numFmtId="0" fontId="6" fillId="0" borderId="51" xfId="0" applyFont="1" applyBorder="1"/>
    <xf numFmtId="0" fontId="13" fillId="3" borderId="5"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13" fillId="3" borderId="52" xfId="0" applyFont="1" applyFill="1" applyBorder="1" applyAlignment="1">
      <alignment horizontal="center" vertical="center"/>
    </xf>
    <xf numFmtId="0" fontId="6" fillId="0" borderId="53" xfId="0" applyFont="1" applyBorder="1"/>
    <xf numFmtId="0" fontId="6" fillId="0" borderId="54" xfId="0" applyFont="1" applyBorder="1"/>
    <xf numFmtId="0" fontId="6" fillId="0" borderId="55" xfId="0" applyFont="1" applyBorder="1"/>
    <xf numFmtId="0" fontId="6" fillId="0" borderId="56" xfId="0" applyFont="1" applyBorder="1"/>
    <xf numFmtId="0" fontId="6" fillId="0" borderId="57" xfId="0" applyFont="1" applyBorder="1"/>
    <xf numFmtId="0" fontId="12" fillId="3" borderId="31" xfId="0" applyFont="1" applyFill="1" applyBorder="1" applyAlignment="1">
      <alignment horizontal="center" vertical="center"/>
    </xf>
    <xf numFmtId="0" fontId="7" fillId="2" borderId="31" xfId="0" applyFont="1" applyFill="1" applyBorder="1" applyAlignment="1">
      <alignment horizontal="center" vertical="center"/>
    </xf>
    <xf numFmtId="0" fontId="7" fillId="2" borderId="46" xfId="0" applyFont="1" applyFill="1" applyBorder="1" applyAlignment="1">
      <alignment horizontal="center" vertical="center"/>
    </xf>
    <xf numFmtId="0" fontId="7" fillId="2" borderId="34" xfId="0" applyFont="1" applyFill="1" applyBorder="1" applyAlignment="1">
      <alignment horizontal="center"/>
    </xf>
    <xf numFmtId="0" fontId="4" fillId="2" borderId="46" xfId="0" applyFont="1" applyFill="1" applyBorder="1" applyAlignment="1">
      <alignment horizontal="center"/>
    </xf>
    <xf numFmtId="0" fontId="4" fillId="2" borderId="34" xfId="0" applyFont="1" applyFill="1" applyBorder="1" applyAlignment="1">
      <alignment horizontal="center" vertical="center" wrapText="1"/>
    </xf>
    <xf numFmtId="0" fontId="4" fillId="2" borderId="31" xfId="0" applyFont="1" applyFill="1" applyBorder="1" applyAlignment="1">
      <alignment horizontal="center" vertical="center" wrapText="1"/>
    </xf>
    <xf numFmtId="0" fontId="7" fillId="2" borderId="50" xfId="0" applyFont="1" applyFill="1" applyBorder="1" applyAlignment="1">
      <alignment horizontal="center"/>
    </xf>
    <xf numFmtId="0" fontId="13" fillId="3" borderId="27" xfId="0" applyFont="1" applyFill="1" applyBorder="1" applyAlignment="1">
      <alignment horizontal="center"/>
    </xf>
    <xf numFmtId="0" fontId="6" fillId="0" borderId="28" xfId="0" applyFont="1" applyBorder="1"/>
    <xf numFmtId="0" fontId="6" fillId="0" borderId="29" xfId="0" applyFont="1" applyBorder="1"/>
    <xf numFmtId="0" fontId="7" fillId="2" borderId="31" xfId="0" applyFont="1" applyFill="1" applyBorder="1" applyAlignment="1">
      <alignment horizontal="center"/>
    </xf>
    <xf numFmtId="0" fontId="7" fillId="2" borderId="44" xfId="0" applyFont="1" applyFill="1" applyBorder="1" applyAlignment="1">
      <alignment vertical="center" wrapText="1"/>
    </xf>
    <xf numFmtId="0" fontId="7" fillId="2" borderId="44" xfId="0" applyFont="1" applyFill="1" applyBorder="1" applyAlignment="1">
      <alignment wrapText="1"/>
    </xf>
    <xf numFmtId="0" fontId="10" fillId="2" borderId="14"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7" fillId="2" borderId="14" xfId="0" applyFont="1" applyFill="1" applyBorder="1" applyAlignment="1">
      <alignment horizontal="left" vertical="center" wrapText="1"/>
    </xf>
    <xf numFmtId="0" fontId="4" fillId="2" borderId="41" xfId="0" applyFont="1" applyFill="1" applyBorder="1" applyAlignment="1">
      <alignment horizontal="left" vertical="center"/>
    </xf>
    <xf numFmtId="0" fontId="6" fillId="0" borderId="42" xfId="0" applyFont="1" applyBorder="1"/>
    <xf numFmtId="0" fontId="7" fillId="2" borderId="31" xfId="0" applyFont="1" applyFill="1" applyBorder="1" applyAlignment="1">
      <alignment horizontal="left"/>
    </xf>
    <xf numFmtId="0" fontId="4" fillId="2" borderId="41" xfId="0" applyFont="1" applyFill="1" applyBorder="1" applyAlignment="1">
      <alignment horizontal="left" vertical="center" wrapText="1"/>
    </xf>
    <xf numFmtId="0" fontId="6" fillId="0" borderId="43" xfId="0" applyFont="1" applyBorder="1"/>
    <xf numFmtId="0" fontId="3" fillId="2" borderId="34" xfId="0" applyFont="1" applyFill="1" applyBorder="1" applyAlignment="1">
      <alignment horizontal="center" vertical="center"/>
    </xf>
    <xf numFmtId="0" fontId="15" fillId="3" borderId="5" xfId="0" applyFont="1" applyFill="1" applyBorder="1" applyAlignment="1">
      <alignment horizontal="center" vertical="center"/>
    </xf>
    <xf numFmtId="0" fontId="15" fillId="3" borderId="27" xfId="0" applyFont="1" applyFill="1" applyBorder="1" applyAlignment="1">
      <alignment horizontal="center" vertical="center"/>
    </xf>
    <xf numFmtId="0" fontId="3" fillId="2" borderId="14" xfId="0" applyFont="1" applyFill="1" applyBorder="1" applyAlignment="1">
      <alignment horizontal="center" vertical="center"/>
    </xf>
    <xf numFmtId="0" fontId="9" fillId="2" borderId="14" xfId="0" applyFont="1" applyFill="1" applyBorder="1" applyAlignment="1">
      <alignment horizontal="center" vertical="center" wrapText="1"/>
    </xf>
    <xf numFmtId="0" fontId="3" fillId="2" borderId="1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Resumen!$R$8</c:f>
              <c:strCache>
                <c:ptCount val="1"/>
                <c:pt idx="0">
                  <c:v>La Colmena</c:v>
                </c:pt>
              </c:strCache>
            </c:strRef>
          </c:tx>
          <c:spPr>
            <a:ln w="19050" cap="rnd">
              <a:solidFill>
                <a:schemeClr val="accent1"/>
              </a:solidFill>
              <a:round/>
            </a:ln>
            <a:effectLst/>
          </c:spPr>
          <c:marker>
            <c:symbol val="none"/>
          </c:marker>
          <c:cat>
            <c:strRef>
              <c:f>Resumen!$Q$9:$Q$16</c:f>
              <c:strCache>
                <c:ptCount val="8"/>
                <c:pt idx="0">
                  <c:v>SITUACIÓN LEGAL Y FISCAL</c:v>
                </c:pt>
                <c:pt idx="1">
                  <c:v>LIDERAZGO Y CLIMA ORGANIZACIONAL</c:v>
                </c:pt>
                <c:pt idx="2">
                  <c:v>ORGANIZACIÓN </c:v>
                </c:pt>
                <c:pt idx="3">
                  <c:v>CONTABILIDAD Y FINANZAS</c:v>
                </c:pt>
                <c:pt idx="4">
                  <c:v>PLAN ESTRATÉGICO</c:v>
                </c:pt>
                <c:pt idx="5">
                  <c:v>PRODUCCIÓN Y OPERACIONES</c:v>
                </c:pt>
                <c:pt idx="6">
                  <c:v>ASEGURAMIENTO DE LA CALIDAD</c:v>
                </c:pt>
                <c:pt idx="7">
                  <c:v>COMERCIALIZACIÓN</c:v>
                </c:pt>
              </c:strCache>
            </c:strRef>
          </c:cat>
          <c:val>
            <c:numRef>
              <c:f>Resumen!$R$9:$R$16</c:f>
              <c:numCache>
                <c:formatCode>0.0</c:formatCode>
                <c:ptCount val="8"/>
                <c:pt idx="0">
                  <c:v>6.25</c:v>
                </c:pt>
                <c:pt idx="1">
                  <c:v>4</c:v>
                </c:pt>
                <c:pt idx="2">
                  <c:v>9</c:v>
                </c:pt>
                <c:pt idx="3">
                  <c:v>7</c:v>
                </c:pt>
                <c:pt idx="4">
                  <c:v>6.5</c:v>
                </c:pt>
                <c:pt idx="5">
                  <c:v>7</c:v>
                </c:pt>
                <c:pt idx="6">
                  <c:v>3</c:v>
                </c:pt>
                <c:pt idx="7">
                  <c:v>9</c:v>
                </c:pt>
              </c:numCache>
            </c:numRef>
          </c:val>
          <c:extLst>
            <c:ext xmlns:c16="http://schemas.microsoft.com/office/drawing/2014/chart" uri="{C3380CC4-5D6E-409C-BE32-E72D297353CC}">
              <c16:uniqueId val="{00000000-B02E-4024-BD1C-549A48595A47}"/>
            </c:ext>
          </c:extLst>
        </c:ser>
        <c:ser>
          <c:idx val="1"/>
          <c:order val="1"/>
          <c:tx>
            <c:strRef>
              <c:f>Resumen!$S$8</c:f>
              <c:strCache>
                <c:ptCount val="1"/>
                <c:pt idx="0">
                  <c:v>DEFICIENTE</c:v>
                </c:pt>
              </c:strCache>
            </c:strRef>
          </c:tx>
          <c:spPr>
            <a:ln w="12700" cap="rnd">
              <a:solidFill>
                <a:srgbClr val="FF0000"/>
              </a:solidFill>
              <a:prstDash val="lgDash"/>
              <a:round/>
            </a:ln>
            <a:effectLst/>
          </c:spPr>
          <c:marker>
            <c:symbol val="none"/>
          </c:marker>
          <c:cat>
            <c:strRef>
              <c:f>Resumen!$Q$9:$Q$16</c:f>
              <c:strCache>
                <c:ptCount val="8"/>
                <c:pt idx="0">
                  <c:v>SITUACIÓN LEGAL Y FISCAL</c:v>
                </c:pt>
                <c:pt idx="1">
                  <c:v>LIDERAZGO Y CLIMA ORGANIZACIONAL</c:v>
                </c:pt>
                <c:pt idx="2">
                  <c:v>ORGANIZACIÓN </c:v>
                </c:pt>
                <c:pt idx="3">
                  <c:v>CONTABILIDAD Y FINANZAS</c:v>
                </c:pt>
                <c:pt idx="4">
                  <c:v>PLAN ESTRATÉGICO</c:v>
                </c:pt>
                <c:pt idx="5">
                  <c:v>PRODUCCIÓN Y OPERACIONES</c:v>
                </c:pt>
                <c:pt idx="6">
                  <c:v>ASEGURAMIENTO DE LA CALIDAD</c:v>
                </c:pt>
                <c:pt idx="7">
                  <c:v>COMERCIALIZACIÓN</c:v>
                </c:pt>
              </c:strCache>
            </c:strRef>
          </c:cat>
          <c:val>
            <c:numRef>
              <c:f>Resumen!$S$9:$S$16</c:f>
              <c:numCache>
                <c:formatCode>0.0</c:formatCode>
                <c:ptCount val="8"/>
                <c:pt idx="0">
                  <c:v>4</c:v>
                </c:pt>
                <c:pt idx="1">
                  <c:v>4</c:v>
                </c:pt>
                <c:pt idx="2">
                  <c:v>4</c:v>
                </c:pt>
                <c:pt idx="3">
                  <c:v>4</c:v>
                </c:pt>
                <c:pt idx="4">
                  <c:v>4</c:v>
                </c:pt>
                <c:pt idx="5">
                  <c:v>4</c:v>
                </c:pt>
                <c:pt idx="6">
                  <c:v>4</c:v>
                </c:pt>
                <c:pt idx="7">
                  <c:v>4</c:v>
                </c:pt>
              </c:numCache>
            </c:numRef>
          </c:val>
          <c:extLst>
            <c:ext xmlns:c16="http://schemas.microsoft.com/office/drawing/2014/chart" uri="{C3380CC4-5D6E-409C-BE32-E72D297353CC}">
              <c16:uniqueId val="{00000001-B02E-4024-BD1C-549A48595A47}"/>
            </c:ext>
          </c:extLst>
        </c:ser>
        <c:ser>
          <c:idx val="2"/>
          <c:order val="2"/>
          <c:tx>
            <c:strRef>
              <c:f>Resumen!$T$8</c:f>
              <c:strCache>
                <c:ptCount val="1"/>
                <c:pt idx="0">
                  <c:v>MEJORABLE</c:v>
                </c:pt>
              </c:strCache>
            </c:strRef>
          </c:tx>
          <c:spPr>
            <a:ln w="12700" cap="rnd">
              <a:solidFill>
                <a:srgbClr val="FFC000"/>
              </a:solidFill>
              <a:prstDash val="lgDash"/>
              <a:round/>
            </a:ln>
            <a:effectLst/>
          </c:spPr>
          <c:marker>
            <c:symbol val="none"/>
          </c:marker>
          <c:cat>
            <c:strRef>
              <c:f>Resumen!$Q$9:$Q$16</c:f>
              <c:strCache>
                <c:ptCount val="8"/>
                <c:pt idx="0">
                  <c:v>SITUACIÓN LEGAL Y FISCAL</c:v>
                </c:pt>
                <c:pt idx="1">
                  <c:v>LIDERAZGO Y CLIMA ORGANIZACIONAL</c:v>
                </c:pt>
                <c:pt idx="2">
                  <c:v>ORGANIZACIÓN </c:v>
                </c:pt>
                <c:pt idx="3">
                  <c:v>CONTABILIDAD Y FINANZAS</c:v>
                </c:pt>
                <c:pt idx="4">
                  <c:v>PLAN ESTRATÉGICO</c:v>
                </c:pt>
                <c:pt idx="5">
                  <c:v>PRODUCCIÓN Y OPERACIONES</c:v>
                </c:pt>
                <c:pt idx="6">
                  <c:v>ASEGURAMIENTO DE LA CALIDAD</c:v>
                </c:pt>
                <c:pt idx="7">
                  <c:v>COMERCIALIZACIÓN</c:v>
                </c:pt>
              </c:strCache>
            </c:strRef>
          </c:cat>
          <c:val>
            <c:numRef>
              <c:f>Resumen!$T$9:$T$16</c:f>
              <c:numCache>
                <c:formatCode>General</c:formatCode>
                <c:ptCount val="8"/>
                <c:pt idx="0">
                  <c:v>7</c:v>
                </c:pt>
                <c:pt idx="1">
                  <c:v>7</c:v>
                </c:pt>
                <c:pt idx="2">
                  <c:v>7</c:v>
                </c:pt>
                <c:pt idx="3">
                  <c:v>7</c:v>
                </c:pt>
                <c:pt idx="4">
                  <c:v>7</c:v>
                </c:pt>
                <c:pt idx="5">
                  <c:v>7</c:v>
                </c:pt>
                <c:pt idx="6">
                  <c:v>7</c:v>
                </c:pt>
                <c:pt idx="7">
                  <c:v>7</c:v>
                </c:pt>
              </c:numCache>
            </c:numRef>
          </c:val>
          <c:extLst>
            <c:ext xmlns:c16="http://schemas.microsoft.com/office/drawing/2014/chart" uri="{C3380CC4-5D6E-409C-BE32-E72D297353CC}">
              <c16:uniqueId val="{00000002-B02E-4024-BD1C-549A48595A47}"/>
            </c:ext>
          </c:extLst>
        </c:ser>
        <c:ser>
          <c:idx val="3"/>
          <c:order val="3"/>
          <c:tx>
            <c:strRef>
              <c:f>Resumen!$U$8</c:f>
              <c:strCache>
                <c:ptCount val="1"/>
                <c:pt idx="0">
                  <c:v>ACEPTABLE</c:v>
                </c:pt>
              </c:strCache>
            </c:strRef>
          </c:tx>
          <c:spPr>
            <a:ln w="12700" cap="rnd">
              <a:solidFill>
                <a:srgbClr val="00B050"/>
              </a:solidFill>
              <a:prstDash val="lgDash"/>
              <a:round/>
            </a:ln>
            <a:effectLst/>
          </c:spPr>
          <c:marker>
            <c:symbol val="none"/>
          </c:marker>
          <c:cat>
            <c:strRef>
              <c:f>Resumen!$Q$9:$Q$16</c:f>
              <c:strCache>
                <c:ptCount val="8"/>
                <c:pt idx="0">
                  <c:v>SITUACIÓN LEGAL Y FISCAL</c:v>
                </c:pt>
                <c:pt idx="1">
                  <c:v>LIDERAZGO Y CLIMA ORGANIZACIONAL</c:v>
                </c:pt>
                <c:pt idx="2">
                  <c:v>ORGANIZACIÓN </c:v>
                </c:pt>
                <c:pt idx="3">
                  <c:v>CONTABILIDAD Y FINANZAS</c:v>
                </c:pt>
                <c:pt idx="4">
                  <c:v>PLAN ESTRATÉGICO</c:v>
                </c:pt>
                <c:pt idx="5">
                  <c:v>PRODUCCIÓN Y OPERACIONES</c:v>
                </c:pt>
                <c:pt idx="6">
                  <c:v>ASEGURAMIENTO DE LA CALIDAD</c:v>
                </c:pt>
                <c:pt idx="7">
                  <c:v>COMERCIALIZACIÓN</c:v>
                </c:pt>
              </c:strCache>
            </c:strRef>
          </c:cat>
          <c:val>
            <c:numRef>
              <c:f>Resumen!$U$9:$U$16</c:f>
              <c:numCache>
                <c:formatCode>General</c:formatCode>
                <c:ptCount val="8"/>
                <c:pt idx="0">
                  <c:v>8</c:v>
                </c:pt>
                <c:pt idx="1">
                  <c:v>8</c:v>
                </c:pt>
                <c:pt idx="2">
                  <c:v>8</c:v>
                </c:pt>
                <c:pt idx="3">
                  <c:v>8</c:v>
                </c:pt>
                <c:pt idx="4">
                  <c:v>8</c:v>
                </c:pt>
                <c:pt idx="5">
                  <c:v>8</c:v>
                </c:pt>
                <c:pt idx="6">
                  <c:v>8</c:v>
                </c:pt>
                <c:pt idx="7">
                  <c:v>8</c:v>
                </c:pt>
              </c:numCache>
            </c:numRef>
          </c:val>
          <c:extLst>
            <c:ext xmlns:c16="http://schemas.microsoft.com/office/drawing/2014/chart" uri="{C3380CC4-5D6E-409C-BE32-E72D297353CC}">
              <c16:uniqueId val="{00000003-B02E-4024-BD1C-549A48595A47}"/>
            </c:ext>
          </c:extLst>
        </c:ser>
        <c:dLbls>
          <c:showLegendKey val="0"/>
          <c:showVal val="0"/>
          <c:showCatName val="0"/>
          <c:showSerName val="0"/>
          <c:showPercent val="0"/>
          <c:showBubbleSize val="0"/>
        </c:dLbls>
        <c:axId val="434741600"/>
        <c:axId val="430176208"/>
      </c:radarChart>
      <c:catAx>
        <c:axId val="43474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176208"/>
        <c:crosses val="autoZero"/>
        <c:auto val="1"/>
        <c:lblAlgn val="ctr"/>
        <c:lblOffset val="100"/>
        <c:noMultiLvlLbl val="0"/>
      </c:catAx>
      <c:valAx>
        <c:axId val="4301762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741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9525</xdr:colOff>
      <xdr:row>0</xdr:row>
      <xdr:rowOff>352425</xdr:rowOff>
    </xdr:from>
    <xdr:ext cx="1647825" cy="9334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723900</xdr:colOff>
      <xdr:row>0</xdr:row>
      <xdr:rowOff>0</xdr:rowOff>
    </xdr:from>
    <xdr:ext cx="1152525" cy="1657350"/>
    <xdr:pic>
      <xdr:nvPicPr>
        <xdr:cNvPr id="3" name="image2.png" title="Imagen">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9525</xdr:colOff>
      <xdr:row>1</xdr:row>
      <xdr:rowOff>200025</xdr:rowOff>
    </xdr:from>
    <xdr:ext cx="1657350" cy="9239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114300</xdr:colOff>
      <xdr:row>0</xdr:row>
      <xdr:rowOff>0</xdr:rowOff>
    </xdr:from>
    <xdr:ext cx="1104900" cy="1628775"/>
    <xdr:pic>
      <xdr:nvPicPr>
        <xdr:cNvPr id="3" name="image4.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647700</xdr:colOff>
      <xdr:row>2</xdr:row>
      <xdr:rowOff>47625</xdr:rowOff>
    </xdr:from>
    <xdr:ext cx="1847850" cy="885825"/>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952500</xdr:colOff>
      <xdr:row>0</xdr:row>
      <xdr:rowOff>0</xdr:rowOff>
    </xdr:from>
    <xdr:ext cx="1162050" cy="1552575"/>
    <xdr:pic>
      <xdr:nvPicPr>
        <xdr:cNvPr id="3" name="image3.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180975</xdr:colOff>
      <xdr:row>0</xdr:row>
      <xdr:rowOff>400050</xdr:rowOff>
    </xdr:from>
    <xdr:ext cx="1704975" cy="952500"/>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628650</xdr:colOff>
      <xdr:row>0</xdr:row>
      <xdr:rowOff>0</xdr:rowOff>
    </xdr:from>
    <xdr:ext cx="1057275" cy="1666875"/>
    <xdr:pic>
      <xdr:nvPicPr>
        <xdr:cNvPr id="3" name="image2.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0</xdr:col>
      <xdr:colOff>784224</xdr:colOff>
      <xdr:row>18</xdr:row>
      <xdr:rowOff>57150</xdr:rowOff>
    </xdr:from>
    <xdr:to>
      <xdr:col>5</xdr:col>
      <xdr:colOff>355599</xdr:colOff>
      <xdr:row>38</xdr:row>
      <xdr:rowOff>101600</xdr:rowOff>
    </xdr:to>
    <xdr:graphicFrame macro="">
      <xdr:nvGraphicFramePr>
        <xdr:cNvPr id="5" name="Gráfico 4">
          <a:extLst>
            <a:ext uri="{FF2B5EF4-FFF2-40B4-BE49-F238E27FC236}">
              <a16:creationId xmlns:a16="http://schemas.microsoft.com/office/drawing/2014/main" id="{E09FA2AF-2F91-88CC-3352-9D44E0AD95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48DD4"/>
    <pageSetUpPr fitToPage="1"/>
  </sheetPr>
  <dimension ref="A1:Z1000"/>
  <sheetViews>
    <sheetView topLeftCell="A10" workbookViewId="0">
      <selection activeCell="B8" sqref="B8:D8"/>
    </sheetView>
  </sheetViews>
  <sheetFormatPr baseColWidth="10" defaultColWidth="12.6328125" defaultRowHeight="15" customHeight="1" x14ac:dyDescent="0.25"/>
  <cols>
    <col min="1" max="1" width="11.453125" customWidth="1"/>
    <col min="2" max="4" width="38.7265625" customWidth="1"/>
    <col min="5" max="5" width="15.08984375" customWidth="1"/>
    <col min="6" max="6" width="14.7265625" customWidth="1"/>
    <col min="7" max="9" width="11.453125" customWidth="1"/>
    <col min="10" max="26" width="9.08984375" customWidth="1"/>
  </cols>
  <sheetData>
    <row r="1" spans="1:26" ht="126" customHeight="1" x14ac:dyDescent="0.45">
      <c r="A1" s="1"/>
      <c r="B1" s="119" t="s">
        <v>0</v>
      </c>
      <c r="C1" s="113"/>
      <c r="D1" s="113"/>
      <c r="E1" s="113"/>
      <c r="F1" s="113"/>
      <c r="G1" s="113"/>
      <c r="H1" s="113"/>
      <c r="I1" s="114"/>
      <c r="J1" s="1"/>
      <c r="K1" s="1"/>
      <c r="L1" s="1"/>
      <c r="M1" s="1"/>
      <c r="N1" s="1"/>
      <c r="O1" s="1"/>
      <c r="P1" s="1"/>
      <c r="Q1" s="1"/>
      <c r="R1" s="1"/>
      <c r="S1" s="1"/>
      <c r="T1" s="1"/>
      <c r="U1" s="1"/>
      <c r="V1" s="1"/>
      <c r="W1" s="1"/>
      <c r="X1" s="1"/>
      <c r="Y1" s="1"/>
      <c r="Z1" s="1"/>
    </row>
    <row r="2" spans="1:26" ht="23.25" customHeight="1" x14ac:dyDescent="0.45">
      <c r="A2" s="1"/>
      <c r="B2" s="6" t="s">
        <v>2</v>
      </c>
      <c r="C2" s="120"/>
      <c r="D2" s="121"/>
      <c r="E2" s="121"/>
      <c r="F2" s="121"/>
      <c r="G2" s="121"/>
      <c r="H2" s="121"/>
      <c r="I2" s="122"/>
      <c r="J2" s="1"/>
      <c r="K2" s="1"/>
      <c r="L2" s="1"/>
      <c r="M2" s="1"/>
      <c r="N2" s="1"/>
      <c r="O2" s="1"/>
      <c r="P2" s="1"/>
      <c r="Q2" s="1"/>
      <c r="R2" s="1"/>
      <c r="S2" s="1"/>
      <c r="T2" s="1"/>
      <c r="U2" s="1"/>
      <c r="V2" s="1"/>
      <c r="W2" s="1"/>
      <c r="X2" s="1"/>
      <c r="Y2" s="1"/>
      <c r="Z2" s="1"/>
    </row>
    <row r="3" spans="1:26" ht="23.25" customHeight="1" x14ac:dyDescent="0.45">
      <c r="A3" s="1"/>
      <c r="B3" s="8" t="s">
        <v>3</v>
      </c>
      <c r="C3" s="123"/>
      <c r="D3" s="104"/>
      <c r="E3" s="104"/>
      <c r="F3" s="104"/>
      <c r="G3" s="104"/>
      <c r="H3" s="104"/>
      <c r="I3" s="124"/>
      <c r="J3" s="1"/>
      <c r="K3" s="1"/>
      <c r="L3" s="1"/>
      <c r="M3" s="1"/>
      <c r="N3" s="1"/>
      <c r="O3" s="1"/>
      <c r="P3" s="1"/>
      <c r="Q3" s="1"/>
      <c r="R3" s="1"/>
      <c r="S3" s="1"/>
      <c r="T3" s="1"/>
      <c r="U3" s="1"/>
      <c r="V3" s="1"/>
      <c r="W3" s="1"/>
      <c r="X3" s="1"/>
      <c r="Y3" s="1"/>
      <c r="Z3" s="1"/>
    </row>
    <row r="4" spans="1:26" ht="23.25" customHeight="1" x14ac:dyDescent="0.45">
      <c r="A4" s="1"/>
      <c r="B4" s="8" t="s">
        <v>4</v>
      </c>
      <c r="C4" s="123"/>
      <c r="D4" s="104"/>
      <c r="E4" s="104"/>
      <c r="F4" s="104"/>
      <c r="G4" s="104"/>
      <c r="H4" s="104"/>
      <c r="I4" s="124"/>
      <c r="J4" s="1"/>
      <c r="K4" s="1"/>
      <c r="L4" s="1"/>
      <c r="M4" s="1"/>
      <c r="N4" s="1"/>
      <c r="O4" s="1"/>
      <c r="P4" s="1"/>
      <c r="Q4" s="1"/>
      <c r="R4" s="1"/>
      <c r="S4" s="1"/>
      <c r="T4" s="1"/>
      <c r="U4" s="1"/>
      <c r="V4" s="1"/>
      <c r="W4" s="1"/>
      <c r="X4" s="1"/>
      <c r="Y4" s="1"/>
      <c r="Z4" s="1"/>
    </row>
    <row r="5" spans="1:26" ht="23.25" customHeight="1" x14ac:dyDescent="0.45">
      <c r="A5" s="1"/>
      <c r="B5" s="8" t="s">
        <v>6</v>
      </c>
      <c r="C5" s="123"/>
      <c r="D5" s="104"/>
      <c r="E5" s="104"/>
      <c r="F5" s="104"/>
      <c r="G5" s="104"/>
      <c r="H5" s="104"/>
      <c r="I5" s="124"/>
      <c r="J5" s="1"/>
      <c r="K5" s="1"/>
      <c r="L5" s="1"/>
      <c r="M5" s="1"/>
      <c r="N5" s="1"/>
      <c r="O5" s="1"/>
      <c r="P5" s="1"/>
      <c r="Q5" s="1"/>
      <c r="R5" s="1"/>
      <c r="S5" s="1"/>
      <c r="T5" s="1"/>
      <c r="U5" s="1"/>
      <c r="V5" s="1"/>
      <c r="W5" s="1"/>
      <c r="X5" s="1"/>
      <c r="Y5" s="1"/>
      <c r="Z5" s="1"/>
    </row>
    <row r="6" spans="1:26" ht="23.25" customHeight="1" x14ac:dyDescent="0.45">
      <c r="A6" s="1"/>
      <c r="B6" s="10"/>
      <c r="C6" s="125"/>
      <c r="D6" s="126"/>
      <c r="E6" s="126"/>
      <c r="F6" s="126"/>
      <c r="G6" s="126"/>
      <c r="H6" s="126"/>
      <c r="I6" s="127"/>
      <c r="J6" s="1"/>
      <c r="K6" s="1"/>
      <c r="L6" s="1"/>
      <c r="M6" s="1"/>
      <c r="N6" s="1"/>
      <c r="O6" s="1"/>
      <c r="P6" s="1"/>
      <c r="Q6" s="1"/>
      <c r="R6" s="1"/>
      <c r="S6" s="1"/>
      <c r="T6" s="1"/>
      <c r="U6" s="1"/>
      <c r="V6" s="1"/>
      <c r="W6" s="1"/>
      <c r="X6" s="1"/>
      <c r="Y6" s="1"/>
      <c r="Z6" s="1"/>
    </row>
    <row r="7" spans="1:26" ht="29.25" customHeight="1" x14ac:dyDescent="0.45">
      <c r="A7" s="1"/>
      <c r="B7" s="1"/>
      <c r="C7" s="1"/>
      <c r="D7" s="1"/>
      <c r="E7" s="1"/>
      <c r="F7" s="1"/>
      <c r="G7" s="1"/>
      <c r="H7" s="1"/>
      <c r="I7" s="1"/>
      <c r="J7" s="1"/>
      <c r="K7" s="1"/>
      <c r="L7" s="1"/>
      <c r="M7" s="1"/>
      <c r="N7" s="1"/>
      <c r="O7" s="1"/>
      <c r="P7" s="1"/>
      <c r="Q7" s="1"/>
      <c r="R7" s="1"/>
      <c r="S7" s="1"/>
      <c r="T7" s="1"/>
      <c r="U7" s="1"/>
      <c r="V7" s="1"/>
      <c r="W7" s="1"/>
      <c r="X7" s="1"/>
      <c r="Y7" s="1"/>
      <c r="Z7" s="1"/>
    </row>
    <row r="8" spans="1:26" ht="58" customHeight="1" x14ac:dyDescent="0.45">
      <c r="A8" s="1"/>
      <c r="B8" s="118" t="s">
        <v>9</v>
      </c>
      <c r="C8" s="104"/>
      <c r="D8" s="105"/>
      <c r="E8" s="1"/>
      <c r="F8" s="1"/>
      <c r="G8" s="1"/>
      <c r="H8" s="1"/>
      <c r="I8" s="1"/>
      <c r="J8" s="1"/>
      <c r="K8" s="1"/>
      <c r="L8" s="1"/>
      <c r="M8" s="1"/>
      <c r="N8" s="1"/>
      <c r="O8" s="1"/>
      <c r="P8" s="1"/>
      <c r="Q8" s="1"/>
      <c r="R8" s="1"/>
      <c r="S8" s="1"/>
      <c r="T8" s="1"/>
      <c r="U8" s="1"/>
      <c r="V8" s="1"/>
      <c r="W8" s="1"/>
      <c r="X8" s="1"/>
      <c r="Y8" s="1"/>
      <c r="Z8" s="1"/>
    </row>
    <row r="9" spans="1:26" ht="36" customHeight="1" x14ac:dyDescent="0.45">
      <c r="A9" s="1"/>
      <c r="B9" s="118" t="s">
        <v>10</v>
      </c>
      <c r="C9" s="104"/>
      <c r="D9" s="105"/>
      <c r="E9" s="1"/>
      <c r="F9" s="1"/>
      <c r="G9" s="1"/>
      <c r="H9" s="1"/>
      <c r="I9" s="1"/>
      <c r="J9" s="1"/>
      <c r="K9" s="1"/>
      <c r="L9" s="1"/>
      <c r="M9" s="1"/>
      <c r="N9" s="1"/>
      <c r="O9" s="1"/>
      <c r="P9" s="1"/>
      <c r="Q9" s="1"/>
      <c r="R9" s="1"/>
      <c r="S9" s="1"/>
      <c r="T9" s="1"/>
      <c r="U9" s="1"/>
      <c r="V9" s="1"/>
      <c r="W9" s="1"/>
      <c r="X9" s="1"/>
      <c r="Y9" s="1"/>
      <c r="Z9" s="1"/>
    </row>
    <row r="10" spans="1:26" ht="15" customHeight="1" x14ac:dyDescent="0.45">
      <c r="A10" s="1"/>
      <c r="B10" s="14"/>
      <c r="C10" s="14"/>
      <c r="D10" s="14"/>
      <c r="E10" s="1"/>
      <c r="F10" s="1"/>
      <c r="G10" s="1"/>
      <c r="H10" s="1"/>
      <c r="I10" s="1"/>
      <c r="J10" s="1"/>
      <c r="K10" s="1"/>
      <c r="L10" s="1"/>
      <c r="M10" s="1"/>
      <c r="N10" s="1"/>
      <c r="O10" s="1"/>
      <c r="P10" s="1"/>
      <c r="Q10" s="1"/>
      <c r="R10" s="1"/>
      <c r="S10" s="1"/>
      <c r="T10" s="1"/>
      <c r="U10" s="1"/>
      <c r="V10" s="1"/>
      <c r="W10" s="1"/>
      <c r="X10" s="1"/>
      <c r="Y10" s="1"/>
      <c r="Z10" s="1"/>
    </row>
    <row r="11" spans="1:26" ht="18" customHeight="1" x14ac:dyDescent="0.45">
      <c r="A11" s="1"/>
      <c r="B11" s="16" t="s">
        <v>15</v>
      </c>
      <c r="C11" s="16"/>
      <c r="D11" s="16"/>
      <c r="E11" s="1"/>
      <c r="F11" s="1"/>
      <c r="G11" s="1"/>
      <c r="H11" s="1"/>
      <c r="I11" s="1"/>
      <c r="J11" s="1"/>
      <c r="K11" s="1"/>
      <c r="L11" s="1"/>
      <c r="M11" s="1"/>
      <c r="N11" s="1"/>
      <c r="O11" s="1"/>
      <c r="P11" s="1"/>
      <c r="Q11" s="1"/>
      <c r="R11" s="1"/>
      <c r="S11" s="1"/>
      <c r="T11" s="1"/>
      <c r="U11" s="1"/>
      <c r="V11" s="1"/>
      <c r="W11" s="1"/>
      <c r="X11" s="1"/>
      <c r="Y11" s="1"/>
      <c r="Z11" s="1"/>
    </row>
    <row r="12" spans="1:26" ht="79.5" customHeight="1" x14ac:dyDescent="0.45">
      <c r="A12" s="1"/>
      <c r="B12" s="118" t="s">
        <v>18</v>
      </c>
      <c r="C12" s="104"/>
      <c r="D12" s="105"/>
      <c r="E12" s="17"/>
      <c r="F12" s="1"/>
      <c r="G12" s="1"/>
      <c r="H12" s="1"/>
      <c r="I12" s="1"/>
      <c r="J12" s="1"/>
      <c r="K12" s="1"/>
      <c r="L12" s="1"/>
      <c r="M12" s="1"/>
      <c r="N12" s="1"/>
      <c r="O12" s="1"/>
      <c r="P12" s="1"/>
      <c r="Q12" s="1"/>
      <c r="R12" s="1"/>
      <c r="S12" s="1"/>
      <c r="T12" s="1"/>
      <c r="U12" s="1"/>
      <c r="V12" s="1"/>
      <c r="W12" s="1"/>
      <c r="X12" s="1"/>
      <c r="Y12" s="1"/>
      <c r="Z12" s="1"/>
    </row>
    <row r="13" spans="1:26" ht="18" customHeight="1" x14ac:dyDescent="0.4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8" customHeight="1" x14ac:dyDescent="0.45">
      <c r="A14" s="1"/>
      <c r="B14" s="16" t="s">
        <v>26</v>
      </c>
      <c r="C14" s="1"/>
      <c r="D14" s="1"/>
      <c r="E14" s="1"/>
      <c r="F14" s="1"/>
      <c r="G14" s="1"/>
      <c r="H14" s="1"/>
      <c r="I14" s="1"/>
      <c r="J14" s="1"/>
      <c r="K14" s="1"/>
      <c r="L14" s="1"/>
      <c r="M14" s="1"/>
      <c r="N14" s="1"/>
      <c r="O14" s="1"/>
      <c r="P14" s="1"/>
      <c r="Q14" s="1"/>
      <c r="R14" s="1"/>
      <c r="S14" s="1"/>
      <c r="T14" s="1"/>
      <c r="U14" s="1"/>
      <c r="V14" s="1"/>
      <c r="W14" s="1"/>
      <c r="X14" s="1"/>
      <c r="Y14" s="1"/>
      <c r="Z14" s="1"/>
    </row>
    <row r="15" spans="1:26" ht="122.25" customHeight="1" x14ac:dyDescent="0.45">
      <c r="A15" s="1"/>
      <c r="B15" s="118" t="s">
        <v>27</v>
      </c>
      <c r="C15" s="104"/>
      <c r="D15" s="105"/>
      <c r="E15" s="1"/>
      <c r="F15" s="1"/>
      <c r="G15" s="1"/>
      <c r="H15" s="1"/>
      <c r="I15" s="1"/>
      <c r="J15" s="1"/>
      <c r="K15" s="1"/>
      <c r="L15" s="1"/>
      <c r="M15" s="1"/>
      <c r="N15" s="1"/>
      <c r="O15" s="1"/>
      <c r="P15" s="1"/>
      <c r="Q15" s="1"/>
      <c r="R15" s="1"/>
      <c r="S15" s="1"/>
      <c r="T15" s="1"/>
      <c r="U15" s="1"/>
      <c r="V15" s="1"/>
      <c r="W15" s="1"/>
      <c r="X15" s="1"/>
      <c r="Y15" s="1"/>
      <c r="Z15" s="1"/>
    </row>
    <row r="16" spans="1:26" ht="117" customHeight="1" x14ac:dyDescent="0.45">
      <c r="A16" s="1"/>
      <c r="B16" s="118" t="s">
        <v>30</v>
      </c>
      <c r="C16" s="104"/>
      <c r="D16" s="105"/>
      <c r="E16" s="1"/>
      <c r="F16" s="1"/>
      <c r="G16" s="1"/>
      <c r="H16" s="1"/>
      <c r="I16" s="1"/>
      <c r="J16" s="1"/>
      <c r="K16" s="1"/>
      <c r="L16" s="1"/>
      <c r="M16" s="1"/>
      <c r="N16" s="1"/>
      <c r="O16" s="1"/>
      <c r="P16" s="1"/>
      <c r="Q16" s="1"/>
      <c r="R16" s="1"/>
      <c r="S16" s="1"/>
      <c r="T16" s="1"/>
      <c r="U16" s="1"/>
      <c r="V16" s="1"/>
      <c r="W16" s="1"/>
      <c r="X16" s="1"/>
      <c r="Y16" s="1"/>
      <c r="Z16" s="1"/>
    </row>
    <row r="17" spans="1:26" ht="18" customHeight="1" x14ac:dyDescent="0.4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8" customHeight="1" x14ac:dyDescent="0.4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45.75" customHeight="1" x14ac:dyDescent="0.4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74.25" customHeight="1" x14ac:dyDescent="0.45">
      <c r="A20" s="1"/>
      <c r="B20" s="17"/>
      <c r="C20" s="17"/>
      <c r="D20" s="17"/>
      <c r="E20" s="17"/>
      <c r="F20" s="17"/>
      <c r="G20" s="17"/>
      <c r="H20" s="1"/>
      <c r="I20" s="1"/>
      <c r="J20" s="1"/>
      <c r="K20" s="1"/>
      <c r="L20" s="1"/>
      <c r="M20" s="1"/>
      <c r="N20" s="1"/>
      <c r="O20" s="1"/>
      <c r="P20" s="1"/>
      <c r="Q20" s="1"/>
      <c r="R20" s="1"/>
      <c r="S20" s="1"/>
      <c r="T20" s="1"/>
      <c r="U20" s="1"/>
      <c r="V20" s="1"/>
      <c r="W20" s="1"/>
      <c r="X20" s="1"/>
      <c r="Y20" s="1"/>
      <c r="Z20" s="1"/>
    </row>
    <row r="21" spans="1:26" ht="18" customHeight="1" x14ac:dyDescent="0.4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8" customHeight="1" x14ac:dyDescent="0.4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8" customHeight="1" x14ac:dyDescent="0.4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8" customHeight="1" x14ac:dyDescent="0.4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8" customHeight="1" x14ac:dyDescent="0.4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8" customHeight="1" x14ac:dyDescent="0.4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8" customHeight="1" x14ac:dyDescent="0.4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8" customHeight="1" x14ac:dyDescent="0.4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8" customHeight="1" x14ac:dyDescent="0.4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8" customHeight="1" x14ac:dyDescent="0.4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8" customHeight="1" x14ac:dyDescent="0.4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8" customHeight="1" x14ac:dyDescent="0.4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8" customHeight="1" x14ac:dyDescent="0.4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8" customHeight="1" x14ac:dyDescent="0.4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 customHeight="1" x14ac:dyDescent="0.4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 customHeight="1" x14ac:dyDescent="0.4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 customHeight="1" x14ac:dyDescent="0.4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 customHeight="1" x14ac:dyDescent="0.4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 customHeight="1" x14ac:dyDescent="0.4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 customHeight="1" x14ac:dyDescent="0.4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 customHeight="1" x14ac:dyDescent="0.4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 customHeight="1" x14ac:dyDescent="0.4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 customHeight="1" x14ac:dyDescent="0.4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 customHeight="1" x14ac:dyDescent="0.4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 customHeight="1" x14ac:dyDescent="0.4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 customHeight="1" x14ac:dyDescent="0.4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 customHeight="1" x14ac:dyDescent="0.4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 customHeight="1" x14ac:dyDescent="0.4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 customHeight="1" x14ac:dyDescent="0.4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 customHeight="1" x14ac:dyDescent="0.4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 customHeight="1" x14ac:dyDescent="0.4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 customHeight="1" x14ac:dyDescent="0.4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 customHeight="1" x14ac:dyDescent="0.4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 customHeight="1" x14ac:dyDescent="0.4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 customHeight="1" x14ac:dyDescent="0.4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 customHeight="1" x14ac:dyDescent="0.4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 customHeight="1" x14ac:dyDescent="0.4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 customHeight="1" x14ac:dyDescent="0.4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 customHeight="1" x14ac:dyDescent="0.4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 customHeight="1" x14ac:dyDescent="0.4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 customHeight="1" x14ac:dyDescent="0.4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 customHeight="1" x14ac:dyDescent="0.4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 customHeight="1" x14ac:dyDescent="0.4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 customHeight="1" x14ac:dyDescent="0.4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 customHeight="1" x14ac:dyDescent="0.4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 customHeight="1" x14ac:dyDescent="0.4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 customHeight="1" x14ac:dyDescent="0.4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 customHeight="1" x14ac:dyDescent="0.4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 customHeight="1" x14ac:dyDescent="0.4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 customHeight="1" x14ac:dyDescent="0.4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 customHeight="1" x14ac:dyDescent="0.4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 customHeight="1" x14ac:dyDescent="0.4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 customHeight="1" x14ac:dyDescent="0.4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 customHeight="1" x14ac:dyDescent="0.4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 customHeight="1" x14ac:dyDescent="0.4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 customHeight="1" x14ac:dyDescent="0.4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 customHeight="1" x14ac:dyDescent="0.4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 customHeight="1" x14ac:dyDescent="0.4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 customHeight="1" x14ac:dyDescent="0.4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 customHeight="1" x14ac:dyDescent="0.4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 customHeight="1" x14ac:dyDescent="0.4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 customHeight="1" x14ac:dyDescent="0.4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 customHeight="1" x14ac:dyDescent="0.4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 customHeight="1" x14ac:dyDescent="0.4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 customHeight="1" x14ac:dyDescent="0.4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 customHeight="1" x14ac:dyDescent="0.4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 customHeight="1" x14ac:dyDescent="0.4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 customHeight="1" x14ac:dyDescent="0.4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 customHeight="1" x14ac:dyDescent="0.4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 customHeight="1" x14ac:dyDescent="0.4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 customHeight="1" x14ac:dyDescent="0.4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 customHeight="1" x14ac:dyDescent="0.4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 customHeight="1" x14ac:dyDescent="0.4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 customHeight="1" x14ac:dyDescent="0.4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 customHeight="1" x14ac:dyDescent="0.4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 customHeight="1" x14ac:dyDescent="0.4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 customHeight="1" x14ac:dyDescent="0.4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 customHeight="1" x14ac:dyDescent="0.4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 customHeight="1" x14ac:dyDescent="0.4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 customHeight="1" x14ac:dyDescent="0.4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 customHeight="1" x14ac:dyDescent="0.4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 customHeight="1" x14ac:dyDescent="0.4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 customHeight="1" x14ac:dyDescent="0.4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 customHeight="1" x14ac:dyDescent="0.4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 customHeight="1" x14ac:dyDescent="0.4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 customHeight="1" x14ac:dyDescent="0.4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 customHeight="1" x14ac:dyDescent="0.4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 customHeight="1" x14ac:dyDescent="0.4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 customHeight="1" x14ac:dyDescent="0.4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x14ac:dyDescent="0.4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 customHeight="1" x14ac:dyDescent="0.4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 customHeight="1" x14ac:dyDescent="0.4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 customHeight="1" x14ac:dyDescent="0.4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 customHeight="1" x14ac:dyDescent="0.4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 customHeight="1" x14ac:dyDescent="0.4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 customHeight="1" x14ac:dyDescent="0.4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 customHeight="1" x14ac:dyDescent="0.4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 customHeight="1" x14ac:dyDescent="0.4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 customHeight="1" x14ac:dyDescent="0.4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 customHeight="1" x14ac:dyDescent="0.4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 customHeight="1" x14ac:dyDescent="0.4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 customHeight="1" x14ac:dyDescent="0.4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 customHeight="1" x14ac:dyDescent="0.4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 customHeight="1" x14ac:dyDescent="0.4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 customHeight="1" x14ac:dyDescent="0.4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 customHeight="1" x14ac:dyDescent="0.4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 customHeight="1" x14ac:dyDescent="0.4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 customHeight="1" x14ac:dyDescent="0.4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 customHeight="1" x14ac:dyDescent="0.4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 customHeight="1" x14ac:dyDescent="0.4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 customHeight="1" x14ac:dyDescent="0.4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 customHeight="1" x14ac:dyDescent="0.4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 customHeight="1" x14ac:dyDescent="0.4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 customHeight="1" x14ac:dyDescent="0.4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 customHeight="1" x14ac:dyDescent="0.4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 customHeight="1" x14ac:dyDescent="0.4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 customHeight="1" x14ac:dyDescent="0.4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 customHeight="1" x14ac:dyDescent="0.4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 customHeight="1" x14ac:dyDescent="0.4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 customHeight="1" x14ac:dyDescent="0.4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 customHeight="1" x14ac:dyDescent="0.4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 customHeight="1" x14ac:dyDescent="0.4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 customHeight="1" x14ac:dyDescent="0.4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 customHeight="1" x14ac:dyDescent="0.4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 customHeight="1" x14ac:dyDescent="0.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 customHeight="1" x14ac:dyDescent="0.4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 customHeight="1" x14ac:dyDescent="0.4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 customHeight="1" x14ac:dyDescent="0.4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 customHeight="1" x14ac:dyDescent="0.4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 customHeight="1" x14ac:dyDescent="0.4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 customHeight="1" x14ac:dyDescent="0.4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 customHeight="1" x14ac:dyDescent="0.4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 customHeight="1" x14ac:dyDescent="0.4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 customHeight="1" x14ac:dyDescent="0.4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 customHeight="1" x14ac:dyDescent="0.4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 customHeight="1" x14ac:dyDescent="0.4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 customHeight="1" x14ac:dyDescent="0.4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 customHeight="1" x14ac:dyDescent="0.4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 customHeight="1" x14ac:dyDescent="0.4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 customHeight="1" x14ac:dyDescent="0.4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 customHeight="1" x14ac:dyDescent="0.4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 customHeight="1" x14ac:dyDescent="0.4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 customHeight="1" x14ac:dyDescent="0.4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 customHeight="1" x14ac:dyDescent="0.4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 customHeight="1" x14ac:dyDescent="0.4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 customHeight="1" x14ac:dyDescent="0.4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 customHeight="1" x14ac:dyDescent="0.4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 customHeight="1" x14ac:dyDescent="0.4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 customHeight="1" x14ac:dyDescent="0.4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 customHeight="1" x14ac:dyDescent="0.4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 customHeight="1" x14ac:dyDescent="0.4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 customHeight="1" x14ac:dyDescent="0.4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 customHeight="1" x14ac:dyDescent="0.4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 customHeight="1" x14ac:dyDescent="0.4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 customHeight="1" x14ac:dyDescent="0.4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 customHeight="1" x14ac:dyDescent="0.4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 customHeight="1" x14ac:dyDescent="0.4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 customHeight="1" x14ac:dyDescent="0.4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 customHeight="1" x14ac:dyDescent="0.4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 customHeight="1" x14ac:dyDescent="0.4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 customHeight="1" x14ac:dyDescent="0.4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 customHeight="1" x14ac:dyDescent="0.4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 customHeight="1" x14ac:dyDescent="0.4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 customHeight="1" x14ac:dyDescent="0.4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 customHeight="1" x14ac:dyDescent="0.4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 customHeight="1" x14ac:dyDescent="0.4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 customHeight="1" x14ac:dyDescent="0.4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 customHeight="1" x14ac:dyDescent="0.4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 customHeight="1" x14ac:dyDescent="0.4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 customHeight="1" x14ac:dyDescent="0.4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 customHeight="1" x14ac:dyDescent="0.4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 customHeight="1" x14ac:dyDescent="0.4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 customHeight="1" x14ac:dyDescent="0.4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 customHeight="1" x14ac:dyDescent="0.4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 customHeight="1" x14ac:dyDescent="0.4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 customHeight="1" x14ac:dyDescent="0.4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 customHeight="1" x14ac:dyDescent="0.4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 customHeight="1" x14ac:dyDescent="0.4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 customHeight="1" x14ac:dyDescent="0.4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 customHeight="1" x14ac:dyDescent="0.4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 customHeight="1" x14ac:dyDescent="0.4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 customHeight="1" x14ac:dyDescent="0.4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 customHeight="1" x14ac:dyDescent="0.4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 customHeight="1" x14ac:dyDescent="0.4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 customHeight="1" x14ac:dyDescent="0.4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 customHeight="1" x14ac:dyDescent="0.4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 customHeight="1" x14ac:dyDescent="0.4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 customHeight="1" x14ac:dyDescent="0.4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 customHeight="1" x14ac:dyDescent="0.4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 customHeight="1" x14ac:dyDescent="0.4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 customHeight="1" x14ac:dyDescent="0.4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 customHeight="1" x14ac:dyDescent="0.4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 customHeight="1" x14ac:dyDescent="0.4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 customHeight="1" x14ac:dyDescent="0.4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 customHeight="1" x14ac:dyDescent="0.4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 customHeight="1" x14ac:dyDescent="0.4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 customHeight="1" x14ac:dyDescent="0.4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 customHeight="1" x14ac:dyDescent="0.4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 customHeight="1" x14ac:dyDescent="0.4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 customHeight="1" x14ac:dyDescent="0.4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 customHeight="1" x14ac:dyDescent="0.4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 customHeight="1" x14ac:dyDescent="0.4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 customHeight="1" x14ac:dyDescent="0.4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 customHeight="1" x14ac:dyDescent="0.4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 customHeight="1" x14ac:dyDescent="0.4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 customHeight="1" x14ac:dyDescent="0.4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 customHeight="1" x14ac:dyDescent="0.4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 customHeight="1" x14ac:dyDescent="0.4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 customHeight="1" x14ac:dyDescent="0.4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 customHeight="1" x14ac:dyDescent="0.4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 customHeight="1" x14ac:dyDescent="0.4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 customHeight="1" x14ac:dyDescent="0.4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 customHeight="1" x14ac:dyDescent="0.4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 customHeight="1" x14ac:dyDescent="0.4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 customHeight="1" x14ac:dyDescent="0.4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 customHeight="1" x14ac:dyDescent="0.4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 customHeight="1" x14ac:dyDescent="0.4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 customHeight="1" x14ac:dyDescent="0.4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 customHeight="1" x14ac:dyDescent="0.4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 customHeight="1" x14ac:dyDescent="0.4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 customHeight="1" x14ac:dyDescent="0.4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 customHeight="1" x14ac:dyDescent="0.4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 customHeight="1" x14ac:dyDescent="0.4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 customHeight="1" x14ac:dyDescent="0.4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 customHeight="1" x14ac:dyDescent="0.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 customHeight="1" x14ac:dyDescent="0.4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 customHeight="1" x14ac:dyDescent="0.4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 customHeight="1" x14ac:dyDescent="0.4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 customHeight="1" x14ac:dyDescent="0.4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 customHeight="1" x14ac:dyDescent="0.4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 customHeight="1" x14ac:dyDescent="0.4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 customHeight="1" x14ac:dyDescent="0.4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 customHeight="1" x14ac:dyDescent="0.4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 customHeight="1" x14ac:dyDescent="0.4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 customHeight="1" x14ac:dyDescent="0.4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 customHeight="1" x14ac:dyDescent="0.4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 customHeight="1" x14ac:dyDescent="0.4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 customHeight="1" x14ac:dyDescent="0.4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 customHeight="1" x14ac:dyDescent="0.4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 customHeight="1" x14ac:dyDescent="0.4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 customHeight="1" x14ac:dyDescent="0.4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 customHeight="1" x14ac:dyDescent="0.4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 customHeight="1" x14ac:dyDescent="0.4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 customHeight="1" x14ac:dyDescent="0.4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 customHeight="1" x14ac:dyDescent="0.4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 customHeight="1" x14ac:dyDescent="0.4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 customHeight="1" x14ac:dyDescent="0.4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 customHeight="1" x14ac:dyDescent="0.4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 customHeight="1" x14ac:dyDescent="0.4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 customHeight="1" x14ac:dyDescent="0.4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 customHeight="1" x14ac:dyDescent="0.4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 customHeight="1" x14ac:dyDescent="0.4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 customHeight="1" x14ac:dyDescent="0.4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 customHeight="1" x14ac:dyDescent="0.4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 customHeight="1" x14ac:dyDescent="0.4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 customHeight="1" x14ac:dyDescent="0.4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 customHeight="1" x14ac:dyDescent="0.4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 customHeight="1" x14ac:dyDescent="0.4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 customHeight="1" x14ac:dyDescent="0.4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 customHeight="1" x14ac:dyDescent="0.4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 customHeight="1" x14ac:dyDescent="0.4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 customHeight="1" x14ac:dyDescent="0.4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 customHeight="1" x14ac:dyDescent="0.4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 customHeight="1" x14ac:dyDescent="0.4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 customHeight="1" x14ac:dyDescent="0.4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 customHeight="1" x14ac:dyDescent="0.4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 customHeight="1" x14ac:dyDescent="0.4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 customHeight="1" x14ac:dyDescent="0.4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 customHeight="1" x14ac:dyDescent="0.4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 customHeight="1" x14ac:dyDescent="0.4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 customHeight="1" x14ac:dyDescent="0.4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 customHeight="1" x14ac:dyDescent="0.4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 customHeight="1" x14ac:dyDescent="0.4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 customHeight="1" x14ac:dyDescent="0.4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 customHeight="1" x14ac:dyDescent="0.4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 customHeight="1" x14ac:dyDescent="0.4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 customHeight="1" x14ac:dyDescent="0.4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 customHeight="1" x14ac:dyDescent="0.4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 customHeight="1" x14ac:dyDescent="0.4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 customHeight="1" x14ac:dyDescent="0.4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 customHeight="1" x14ac:dyDescent="0.4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 customHeight="1" x14ac:dyDescent="0.4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 customHeight="1" x14ac:dyDescent="0.4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 customHeight="1" x14ac:dyDescent="0.4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 customHeight="1" x14ac:dyDescent="0.4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 customHeight="1" x14ac:dyDescent="0.4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 customHeight="1" x14ac:dyDescent="0.4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 customHeight="1" x14ac:dyDescent="0.4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 customHeight="1" x14ac:dyDescent="0.4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 customHeight="1" x14ac:dyDescent="0.4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 customHeight="1" x14ac:dyDescent="0.4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 customHeight="1" x14ac:dyDescent="0.4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 customHeight="1" x14ac:dyDescent="0.4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 customHeight="1" x14ac:dyDescent="0.4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 customHeight="1" x14ac:dyDescent="0.4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 customHeight="1" x14ac:dyDescent="0.4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 customHeight="1" x14ac:dyDescent="0.4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 customHeight="1" x14ac:dyDescent="0.4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 customHeight="1" x14ac:dyDescent="0.4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 customHeight="1" x14ac:dyDescent="0.4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 customHeight="1" x14ac:dyDescent="0.4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 customHeight="1" x14ac:dyDescent="0.4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 customHeight="1" x14ac:dyDescent="0.4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 customHeight="1" x14ac:dyDescent="0.4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 customHeight="1" x14ac:dyDescent="0.4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 customHeight="1" x14ac:dyDescent="0.4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 customHeight="1" x14ac:dyDescent="0.4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 customHeight="1" x14ac:dyDescent="0.4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 customHeight="1" x14ac:dyDescent="0.4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 customHeight="1" x14ac:dyDescent="0.4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 customHeight="1" x14ac:dyDescent="0.4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 customHeight="1" x14ac:dyDescent="0.4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 customHeight="1" x14ac:dyDescent="0.4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 customHeight="1" x14ac:dyDescent="0.4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 customHeight="1" x14ac:dyDescent="0.4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 customHeight="1" x14ac:dyDescent="0.4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 customHeight="1" x14ac:dyDescent="0.4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 customHeight="1" x14ac:dyDescent="0.4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 customHeight="1" x14ac:dyDescent="0.4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 customHeight="1" x14ac:dyDescent="0.4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 customHeight="1" x14ac:dyDescent="0.4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 customHeight="1" x14ac:dyDescent="0.4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 customHeight="1" x14ac:dyDescent="0.4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 customHeight="1" x14ac:dyDescent="0.4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 customHeight="1" x14ac:dyDescent="0.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 customHeight="1" x14ac:dyDescent="0.4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 customHeight="1" x14ac:dyDescent="0.4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 customHeight="1" x14ac:dyDescent="0.4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 customHeight="1" x14ac:dyDescent="0.4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 customHeight="1" x14ac:dyDescent="0.4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 customHeight="1" x14ac:dyDescent="0.4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 customHeight="1" x14ac:dyDescent="0.4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 customHeight="1" x14ac:dyDescent="0.4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 customHeight="1" x14ac:dyDescent="0.4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 customHeight="1" x14ac:dyDescent="0.4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 customHeight="1" x14ac:dyDescent="0.4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 customHeight="1" x14ac:dyDescent="0.4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 customHeight="1" x14ac:dyDescent="0.4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 customHeight="1" x14ac:dyDescent="0.4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 customHeight="1" x14ac:dyDescent="0.4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 customHeight="1" x14ac:dyDescent="0.4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 customHeight="1" x14ac:dyDescent="0.4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 customHeight="1" x14ac:dyDescent="0.4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 customHeight="1" x14ac:dyDescent="0.4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 customHeight="1" x14ac:dyDescent="0.4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 customHeight="1" x14ac:dyDescent="0.4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 customHeight="1" x14ac:dyDescent="0.4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 customHeight="1" x14ac:dyDescent="0.4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 customHeight="1" x14ac:dyDescent="0.4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 customHeight="1" x14ac:dyDescent="0.4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 customHeight="1" x14ac:dyDescent="0.4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 customHeight="1" x14ac:dyDescent="0.4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 customHeight="1" x14ac:dyDescent="0.4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 customHeight="1" x14ac:dyDescent="0.4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 customHeight="1" x14ac:dyDescent="0.4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 customHeight="1" x14ac:dyDescent="0.4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 customHeight="1" x14ac:dyDescent="0.4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 customHeight="1" x14ac:dyDescent="0.4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 customHeight="1" x14ac:dyDescent="0.4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 customHeight="1" x14ac:dyDescent="0.4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 customHeight="1" x14ac:dyDescent="0.4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 customHeight="1" x14ac:dyDescent="0.4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 customHeight="1" x14ac:dyDescent="0.4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 customHeight="1" x14ac:dyDescent="0.4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 customHeight="1" x14ac:dyDescent="0.4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 customHeight="1" x14ac:dyDescent="0.4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 customHeight="1" x14ac:dyDescent="0.4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 customHeight="1" x14ac:dyDescent="0.4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 customHeight="1" x14ac:dyDescent="0.4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 customHeight="1" x14ac:dyDescent="0.4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 customHeight="1" x14ac:dyDescent="0.4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 customHeight="1" x14ac:dyDescent="0.4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 customHeight="1" x14ac:dyDescent="0.4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 customHeight="1" x14ac:dyDescent="0.4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 customHeight="1" x14ac:dyDescent="0.4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 customHeight="1" x14ac:dyDescent="0.4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 customHeight="1" x14ac:dyDescent="0.4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 customHeight="1" x14ac:dyDescent="0.4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 customHeight="1" x14ac:dyDescent="0.4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 customHeight="1" x14ac:dyDescent="0.4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 customHeight="1" x14ac:dyDescent="0.4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 customHeight="1" x14ac:dyDescent="0.4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 customHeight="1" x14ac:dyDescent="0.4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 customHeight="1" x14ac:dyDescent="0.4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 customHeight="1" x14ac:dyDescent="0.4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 customHeight="1" x14ac:dyDescent="0.4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 customHeight="1" x14ac:dyDescent="0.4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 customHeight="1" x14ac:dyDescent="0.4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 customHeight="1" x14ac:dyDescent="0.4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 customHeight="1" x14ac:dyDescent="0.4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 customHeight="1" x14ac:dyDescent="0.4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 customHeight="1" x14ac:dyDescent="0.4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 customHeight="1" x14ac:dyDescent="0.4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 customHeight="1" x14ac:dyDescent="0.4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 customHeight="1" x14ac:dyDescent="0.4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 customHeight="1" x14ac:dyDescent="0.4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 customHeight="1" x14ac:dyDescent="0.4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 customHeight="1" x14ac:dyDescent="0.4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 customHeight="1" x14ac:dyDescent="0.4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 customHeight="1" x14ac:dyDescent="0.4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 customHeight="1" x14ac:dyDescent="0.4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 customHeight="1" x14ac:dyDescent="0.4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 customHeight="1" x14ac:dyDescent="0.4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 customHeight="1" x14ac:dyDescent="0.4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 customHeight="1" x14ac:dyDescent="0.4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 customHeight="1" x14ac:dyDescent="0.4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 customHeight="1" x14ac:dyDescent="0.4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 customHeight="1" x14ac:dyDescent="0.4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 customHeight="1" x14ac:dyDescent="0.4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 customHeight="1" x14ac:dyDescent="0.4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 customHeight="1" x14ac:dyDescent="0.4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 customHeight="1" x14ac:dyDescent="0.4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 customHeight="1" x14ac:dyDescent="0.4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 customHeight="1" x14ac:dyDescent="0.4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 customHeight="1" x14ac:dyDescent="0.4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 customHeight="1" x14ac:dyDescent="0.4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 customHeight="1" x14ac:dyDescent="0.4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 customHeight="1" x14ac:dyDescent="0.4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 customHeight="1" x14ac:dyDescent="0.4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 customHeight="1" x14ac:dyDescent="0.4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 customHeight="1" x14ac:dyDescent="0.4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 customHeight="1" x14ac:dyDescent="0.4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 customHeight="1" x14ac:dyDescent="0.4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 customHeight="1" x14ac:dyDescent="0.4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 customHeight="1" x14ac:dyDescent="0.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 customHeight="1" x14ac:dyDescent="0.4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 customHeight="1" x14ac:dyDescent="0.4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 customHeight="1" x14ac:dyDescent="0.4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 customHeight="1" x14ac:dyDescent="0.4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 customHeight="1" x14ac:dyDescent="0.4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 customHeight="1" x14ac:dyDescent="0.4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 customHeight="1" x14ac:dyDescent="0.4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 customHeight="1" x14ac:dyDescent="0.4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 customHeight="1" x14ac:dyDescent="0.4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 customHeight="1" x14ac:dyDescent="0.4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 customHeight="1" x14ac:dyDescent="0.4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 customHeight="1" x14ac:dyDescent="0.4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 customHeight="1" x14ac:dyDescent="0.4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 customHeight="1" x14ac:dyDescent="0.4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 customHeight="1" x14ac:dyDescent="0.4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 customHeight="1" x14ac:dyDescent="0.4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 customHeight="1" x14ac:dyDescent="0.4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 customHeight="1" x14ac:dyDescent="0.4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 customHeight="1" x14ac:dyDescent="0.4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 customHeight="1" x14ac:dyDescent="0.4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 customHeight="1" x14ac:dyDescent="0.4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 customHeight="1" x14ac:dyDescent="0.4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 customHeight="1" x14ac:dyDescent="0.4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 customHeight="1" x14ac:dyDescent="0.4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 customHeight="1" x14ac:dyDescent="0.4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 customHeight="1" x14ac:dyDescent="0.4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 customHeight="1" x14ac:dyDescent="0.4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 customHeight="1" x14ac:dyDescent="0.4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 customHeight="1" x14ac:dyDescent="0.4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 customHeight="1" x14ac:dyDescent="0.4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 customHeight="1" x14ac:dyDescent="0.4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 customHeight="1" x14ac:dyDescent="0.4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 customHeight="1" x14ac:dyDescent="0.4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 customHeight="1" x14ac:dyDescent="0.4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 customHeight="1" x14ac:dyDescent="0.4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 customHeight="1" x14ac:dyDescent="0.4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 customHeight="1" x14ac:dyDescent="0.4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 customHeight="1" x14ac:dyDescent="0.4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 customHeight="1" x14ac:dyDescent="0.4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 customHeight="1" x14ac:dyDescent="0.4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 customHeight="1" x14ac:dyDescent="0.4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 customHeight="1" x14ac:dyDescent="0.4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 customHeight="1" x14ac:dyDescent="0.4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 customHeight="1" x14ac:dyDescent="0.4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 customHeight="1" x14ac:dyDescent="0.4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 customHeight="1" x14ac:dyDescent="0.4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 customHeight="1" x14ac:dyDescent="0.4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 customHeight="1" x14ac:dyDescent="0.4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 customHeight="1" x14ac:dyDescent="0.4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 customHeight="1" x14ac:dyDescent="0.4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 customHeight="1" x14ac:dyDescent="0.4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 customHeight="1" x14ac:dyDescent="0.4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 customHeight="1" x14ac:dyDescent="0.4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 customHeight="1" x14ac:dyDescent="0.4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 customHeight="1" x14ac:dyDescent="0.4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 customHeight="1" x14ac:dyDescent="0.4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 customHeight="1" x14ac:dyDescent="0.4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 customHeight="1" x14ac:dyDescent="0.4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 customHeight="1" x14ac:dyDescent="0.4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 customHeight="1" x14ac:dyDescent="0.4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 customHeight="1" x14ac:dyDescent="0.4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 customHeight="1" x14ac:dyDescent="0.4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 customHeight="1" x14ac:dyDescent="0.4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 customHeight="1" x14ac:dyDescent="0.4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 customHeight="1" x14ac:dyDescent="0.4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 customHeight="1" x14ac:dyDescent="0.4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 customHeight="1" x14ac:dyDescent="0.4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 customHeight="1" x14ac:dyDescent="0.4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 customHeight="1" x14ac:dyDescent="0.4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 customHeight="1" x14ac:dyDescent="0.4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 customHeight="1" x14ac:dyDescent="0.4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 customHeight="1" x14ac:dyDescent="0.4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 customHeight="1" x14ac:dyDescent="0.4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 customHeight="1" x14ac:dyDescent="0.4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 customHeight="1" x14ac:dyDescent="0.4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 customHeight="1" x14ac:dyDescent="0.4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 customHeight="1" x14ac:dyDescent="0.4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 customHeight="1" x14ac:dyDescent="0.4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 customHeight="1" x14ac:dyDescent="0.4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 customHeight="1" x14ac:dyDescent="0.4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 customHeight="1" x14ac:dyDescent="0.4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 customHeight="1" x14ac:dyDescent="0.4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 customHeight="1" x14ac:dyDescent="0.4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 customHeight="1" x14ac:dyDescent="0.4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 customHeight="1" x14ac:dyDescent="0.4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 customHeight="1" x14ac:dyDescent="0.4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 customHeight="1" x14ac:dyDescent="0.4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 customHeight="1" x14ac:dyDescent="0.4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 customHeight="1" x14ac:dyDescent="0.4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 customHeight="1" x14ac:dyDescent="0.4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 customHeight="1" x14ac:dyDescent="0.4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 customHeight="1" x14ac:dyDescent="0.4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 customHeight="1" x14ac:dyDescent="0.4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 customHeight="1" x14ac:dyDescent="0.4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 customHeight="1" x14ac:dyDescent="0.4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 customHeight="1" x14ac:dyDescent="0.4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 customHeight="1" x14ac:dyDescent="0.4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 customHeight="1" x14ac:dyDescent="0.4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 customHeight="1" x14ac:dyDescent="0.4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 customHeight="1" x14ac:dyDescent="0.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 customHeight="1" x14ac:dyDescent="0.4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 customHeight="1" x14ac:dyDescent="0.4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 customHeight="1" x14ac:dyDescent="0.4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 customHeight="1" x14ac:dyDescent="0.4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 customHeight="1" x14ac:dyDescent="0.4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 customHeight="1" x14ac:dyDescent="0.4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 customHeight="1" x14ac:dyDescent="0.4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 customHeight="1" x14ac:dyDescent="0.4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 customHeight="1" x14ac:dyDescent="0.4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 customHeight="1" x14ac:dyDescent="0.4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 customHeight="1" x14ac:dyDescent="0.4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 customHeight="1" x14ac:dyDescent="0.4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 customHeight="1" x14ac:dyDescent="0.4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 customHeight="1" x14ac:dyDescent="0.4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 customHeight="1" x14ac:dyDescent="0.4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 customHeight="1" x14ac:dyDescent="0.4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 customHeight="1" x14ac:dyDescent="0.4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 customHeight="1" x14ac:dyDescent="0.4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 customHeight="1" x14ac:dyDescent="0.4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 customHeight="1" x14ac:dyDescent="0.4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 customHeight="1" x14ac:dyDescent="0.4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 customHeight="1" x14ac:dyDescent="0.4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 customHeight="1" x14ac:dyDescent="0.4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 customHeight="1" x14ac:dyDescent="0.4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 customHeight="1" x14ac:dyDescent="0.4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 customHeight="1" x14ac:dyDescent="0.4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 customHeight="1" x14ac:dyDescent="0.4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 customHeight="1" x14ac:dyDescent="0.4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 customHeight="1" x14ac:dyDescent="0.4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 customHeight="1" x14ac:dyDescent="0.4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 customHeight="1" x14ac:dyDescent="0.4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 customHeight="1" x14ac:dyDescent="0.4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 customHeight="1" x14ac:dyDescent="0.4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 customHeight="1" x14ac:dyDescent="0.4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 customHeight="1" x14ac:dyDescent="0.4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 customHeight="1" x14ac:dyDescent="0.4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 customHeight="1" x14ac:dyDescent="0.4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 customHeight="1" x14ac:dyDescent="0.4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 customHeight="1" x14ac:dyDescent="0.4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 customHeight="1" x14ac:dyDescent="0.4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 customHeight="1" x14ac:dyDescent="0.4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 customHeight="1" x14ac:dyDescent="0.4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 customHeight="1" x14ac:dyDescent="0.4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 customHeight="1" x14ac:dyDescent="0.4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 customHeight="1" x14ac:dyDescent="0.4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 customHeight="1" x14ac:dyDescent="0.4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 customHeight="1" x14ac:dyDescent="0.4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 customHeight="1" x14ac:dyDescent="0.4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 customHeight="1" x14ac:dyDescent="0.4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 customHeight="1" x14ac:dyDescent="0.4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 customHeight="1" x14ac:dyDescent="0.4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 customHeight="1" x14ac:dyDescent="0.4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 customHeight="1" x14ac:dyDescent="0.4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 customHeight="1" x14ac:dyDescent="0.4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 customHeight="1" x14ac:dyDescent="0.4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 customHeight="1" x14ac:dyDescent="0.4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 customHeight="1" x14ac:dyDescent="0.4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 customHeight="1" x14ac:dyDescent="0.4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 customHeight="1" x14ac:dyDescent="0.4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 customHeight="1" x14ac:dyDescent="0.4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 customHeight="1" x14ac:dyDescent="0.4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 customHeight="1" x14ac:dyDescent="0.4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 customHeight="1" x14ac:dyDescent="0.4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 customHeight="1" x14ac:dyDescent="0.4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 customHeight="1" x14ac:dyDescent="0.4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 customHeight="1" x14ac:dyDescent="0.4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 customHeight="1" x14ac:dyDescent="0.4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 customHeight="1" x14ac:dyDescent="0.4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 customHeight="1" x14ac:dyDescent="0.4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 customHeight="1" x14ac:dyDescent="0.4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 customHeight="1" x14ac:dyDescent="0.4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 customHeight="1" x14ac:dyDescent="0.4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 customHeight="1" x14ac:dyDescent="0.4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 customHeight="1" x14ac:dyDescent="0.4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 customHeight="1" x14ac:dyDescent="0.4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 customHeight="1" x14ac:dyDescent="0.4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 customHeight="1" x14ac:dyDescent="0.4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 customHeight="1" x14ac:dyDescent="0.4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 customHeight="1" x14ac:dyDescent="0.4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 customHeight="1" x14ac:dyDescent="0.4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 customHeight="1" x14ac:dyDescent="0.4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 customHeight="1" x14ac:dyDescent="0.4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 customHeight="1" x14ac:dyDescent="0.4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 customHeight="1" x14ac:dyDescent="0.4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 customHeight="1" x14ac:dyDescent="0.4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 customHeight="1" x14ac:dyDescent="0.4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 customHeight="1" x14ac:dyDescent="0.4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 customHeight="1" x14ac:dyDescent="0.4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 customHeight="1" x14ac:dyDescent="0.4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 customHeight="1" x14ac:dyDescent="0.4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 customHeight="1" x14ac:dyDescent="0.4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 customHeight="1" x14ac:dyDescent="0.4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 customHeight="1" x14ac:dyDescent="0.4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 customHeight="1" x14ac:dyDescent="0.4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 customHeight="1" x14ac:dyDescent="0.4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 customHeight="1" x14ac:dyDescent="0.4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 customHeight="1" x14ac:dyDescent="0.4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 customHeight="1" x14ac:dyDescent="0.4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 customHeight="1" x14ac:dyDescent="0.4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 customHeight="1" x14ac:dyDescent="0.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 customHeight="1" x14ac:dyDescent="0.4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 customHeight="1" x14ac:dyDescent="0.4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 customHeight="1" x14ac:dyDescent="0.4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 customHeight="1" x14ac:dyDescent="0.4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 customHeight="1" x14ac:dyDescent="0.4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 customHeight="1" x14ac:dyDescent="0.4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 customHeight="1" x14ac:dyDescent="0.4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 customHeight="1" x14ac:dyDescent="0.4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 customHeight="1" x14ac:dyDescent="0.4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 customHeight="1" x14ac:dyDescent="0.4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 customHeight="1" x14ac:dyDescent="0.4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 customHeight="1" x14ac:dyDescent="0.4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 customHeight="1" x14ac:dyDescent="0.4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 customHeight="1" x14ac:dyDescent="0.4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 customHeight="1" x14ac:dyDescent="0.4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 customHeight="1" x14ac:dyDescent="0.4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 customHeight="1" x14ac:dyDescent="0.4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 customHeight="1" x14ac:dyDescent="0.4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 customHeight="1" x14ac:dyDescent="0.4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 customHeight="1" x14ac:dyDescent="0.4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 customHeight="1" x14ac:dyDescent="0.4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 customHeight="1" x14ac:dyDescent="0.4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 customHeight="1" x14ac:dyDescent="0.4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 customHeight="1" x14ac:dyDescent="0.4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 customHeight="1" x14ac:dyDescent="0.4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 customHeight="1" x14ac:dyDescent="0.4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 customHeight="1" x14ac:dyDescent="0.4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 customHeight="1" x14ac:dyDescent="0.4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 customHeight="1" x14ac:dyDescent="0.4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 customHeight="1" x14ac:dyDescent="0.4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 customHeight="1" x14ac:dyDescent="0.4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 customHeight="1" x14ac:dyDescent="0.4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 customHeight="1" x14ac:dyDescent="0.4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 customHeight="1" x14ac:dyDescent="0.4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 customHeight="1" x14ac:dyDescent="0.4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 customHeight="1" x14ac:dyDescent="0.4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 customHeight="1" x14ac:dyDescent="0.4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 customHeight="1" x14ac:dyDescent="0.4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 customHeight="1" x14ac:dyDescent="0.4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 customHeight="1" x14ac:dyDescent="0.4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 customHeight="1" x14ac:dyDescent="0.4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 customHeight="1" x14ac:dyDescent="0.4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 customHeight="1" x14ac:dyDescent="0.4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 customHeight="1" x14ac:dyDescent="0.4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 customHeight="1" x14ac:dyDescent="0.4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 customHeight="1" x14ac:dyDescent="0.4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 customHeight="1" x14ac:dyDescent="0.4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 customHeight="1" x14ac:dyDescent="0.4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 customHeight="1" x14ac:dyDescent="0.4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 customHeight="1" x14ac:dyDescent="0.4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 customHeight="1" x14ac:dyDescent="0.4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 customHeight="1" x14ac:dyDescent="0.4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 customHeight="1" x14ac:dyDescent="0.4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 customHeight="1" x14ac:dyDescent="0.4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 customHeight="1" x14ac:dyDescent="0.4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 customHeight="1" x14ac:dyDescent="0.4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 customHeight="1" x14ac:dyDescent="0.4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 customHeight="1" x14ac:dyDescent="0.4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 customHeight="1" x14ac:dyDescent="0.4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 customHeight="1" x14ac:dyDescent="0.4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 customHeight="1" x14ac:dyDescent="0.4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 customHeight="1" x14ac:dyDescent="0.4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 customHeight="1" x14ac:dyDescent="0.4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 customHeight="1" x14ac:dyDescent="0.4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 customHeight="1" x14ac:dyDescent="0.4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 customHeight="1" x14ac:dyDescent="0.4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 customHeight="1" x14ac:dyDescent="0.4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 customHeight="1" x14ac:dyDescent="0.4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 customHeight="1" x14ac:dyDescent="0.4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 customHeight="1" x14ac:dyDescent="0.4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 customHeight="1" x14ac:dyDescent="0.4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 customHeight="1" x14ac:dyDescent="0.4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 customHeight="1" x14ac:dyDescent="0.4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 customHeight="1" x14ac:dyDescent="0.4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 customHeight="1" x14ac:dyDescent="0.4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 customHeight="1" x14ac:dyDescent="0.4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 customHeight="1" x14ac:dyDescent="0.4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 customHeight="1" x14ac:dyDescent="0.4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 customHeight="1" x14ac:dyDescent="0.4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 customHeight="1" x14ac:dyDescent="0.4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 customHeight="1" x14ac:dyDescent="0.4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 customHeight="1" x14ac:dyDescent="0.4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 customHeight="1" x14ac:dyDescent="0.4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 customHeight="1" x14ac:dyDescent="0.4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 customHeight="1" x14ac:dyDescent="0.4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 customHeight="1" x14ac:dyDescent="0.4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 customHeight="1" x14ac:dyDescent="0.4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 customHeight="1" x14ac:dyDescent="0.4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 customHeight="1" x14ac:dyDescent="0.4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 customHeight="1" x14ac:dyDescent="0.4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 customHeight="1" x14ac:dyDescent="0.4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 customHeight="1" x14ac:dyDescent="0.4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 customHeight="1" x14ac:dyDescent="0.4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 customHeight="1" x14ac:dyDescent="0.4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 customHeight="1" x14ac:dyDescent="0.4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 customHeight="1" x14ac:dyDescent="0.4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 customHeight="1" x14ac:dyDescent="0.4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 customHeight="1" x14ac:dyDescent="0.4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 customHeight="1" x14ac:dyDescent="0.4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 customHeight="1" x14ac:dyDescent="0.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 customHeight="1" x14ac:dyDescent="0.4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 customHeight="1" x14ac:dyDescent="0.4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 customHeight="1" x14ac:dyDescent="0.4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 customHeight="1" x14ac:dyDescent="0.4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 customHeight="1" x14ac:dyDescent="0.4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 customHeight="1" x14ac:dyDescent="0.4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 customHeight="1" x14ac:dyDescent="0.4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 customHeight="1" x14ac:dyDescent="0.4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 customHeight="1" x14ac:dyDescent="0.4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 customHeight="1" x14ac:dyDescent="0.4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 customHeight="1" x14ac:dyDescent="0.4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 customHeight="1" x14ac:dyDescent="0.4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 customHeight="1" x14ac:dyDescent="0.4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 customHeight="1" x14ac:dyDescent="0.4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 customHeight="1" x14ac:dyDescent="0.4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 customHeight="1" x14ac:dyDescent="0.4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 customHeight="1" x14ac:dyDescent="0.4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 customHeight="1" x14ac:dyDescent="0.4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 customHeight="1" x14ac:dyDescent="0.4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 customHeight="1" x14ac:dyDescent="0.4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 customHeight="1" x14ac:dyDescent="0.4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 customHeight="1" x14ac:dyDescent="0.4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 customHeight="1" x14ac:dyDescent="0.4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 customHeight="1" x14ac:dyDescent="0.4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 customHeight="1" x14ac:dyDescent="0.4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 customHeight="1" x14ac:dyDescent="0.4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 customHeight="1" x14ac:dyDescent="0.4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 customHeight="1" x14ac:dyDescent="0.4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 customHeight="1" x14ac:dyDescent="0.4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 customHeight="1" x14ac:dyDescent="0.4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 customHeight="1" x14ac:dyDescent="0.4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 customHeight="1" x14ac:dyDescent="0.4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 customHeight="1" x14ac:dyDescent="0.4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 customHeight="1" x14ac:dyDescent="0.4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 customHeight="1" x14ac:dyDescent="0.4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 customHeight="1" x14ac:dyDescent="0.4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 customHeight="1" x14ac:dyDescent="0.4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 customHeight="1" x14ac:dyDescent="0.4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 customHeight="1" x14ac:dyDescent="0.4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 customHeight="1" x14ac:dyDescent="0.4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 customHeight="1" x14ac:dyDescent="0.4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 customHeight="1" x14ac:dyDescent="0.4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 customHeight="1" x14ac:dyDescent="0.4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 customHeight="1" x14ac:dyDescent="0.4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 customHeight="1" x14ac:dyDescent="0.4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 customHeight="1" x14ac:dyDescent="0.4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 customHeight="1" x14ac:dyDescent="0.4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 customHeight="1" x14ac:dyDescent="0.4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 customHeight="1" x14ac:dyDescent="0.4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 customHeight="1" x14ac:dyDescent="0.4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 customHeight="1" x14ac:dyDescent="0.4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 customHeight="1" x14ac:dyDescent="0.4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 customHeight="1" x14ac:dyDescent="0.4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 customHeight="1" x14ac:dyDescent="0.4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 customHeight="1" x14ac:dyDescent="0.4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 customHeight="1" x14ac:dyDescent="0.4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 customHeight="1" x14ac:dyDescent="0.4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 customHeight="1" x14ac:dyDescent="0.4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 customHeight="1" x14ac:dyDescent="0.4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 customHeight="1" x14ac:dyDescent="0.4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 customHeight="1" x14ac:dyDescent="0.4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 customHeight="1" x14ac:dyDescent="0.4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 customHeight="1" x14ac:dyDescent="0.4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 customHeight="1" x14ac:dyDescent="0.4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 customHeight="1" x14ac:dyDescent="0.4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 customHeight="1" x14ac:dyDescent="0.4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 customHeight="1" x14ac:dyDescent="0.4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 customHeight="1" x14ac:dyDescent="0.4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 customHeight="1" x14ac:dyDescent="0.4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 customHeight="1" x14ac:dyDescent="0.4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 customHeight="1" x14ac:dyDescent="0.4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 customHeight="1" x14ac:dyDescent="0.4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 customHeight="1" x14ac:dyDescent="0.4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 customHeight="1" x14ac:dyDescent="0.4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 customHeight="1" x14ac:dyDescent="0.4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 customHeight="1" x14ac:dyDescent="0.4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 customHeight="1" x14ac:dyDescent="0.4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 customHeight="1" x14ac:dyDescent="0.4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 customHeight="1" x14ac:dyDescent="0.4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 customHeight="1" x14ac:dyDescent="0.4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 customHeight="1" x14ac:dyDescent="0.4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 customHeight="1" x14ac:dyDescent="0.4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 customHeight="1" x14ac:dyDescent="0.4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 customHeight="1" x14ac:dyDescent="0.4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 customHeight="1" x14ac:dyDescent="0.4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 customHeight="1" x14ac:dyDescent="0.4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 customHeight="1" x14ac:dyDescent="0.4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 customHeight="1" x14ac:dyDescent="0.4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 customHeight="1" x14ac:dyDescent="0.4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 customHeight="1" x14ac:dyDescent="0.4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 customHeight="1" x14ac:dyDescent="0.4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 customHeight="1" x14ac:dyDescent="0.4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 customHeight="1" x14ac:dyDescent="0.4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 customHeight="1" x14ac:dyDescent="0.4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 customHeight="1" x14ac:dyDescent="0.4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 customHeight="1" x14ac:dyDescent="0.4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 customHeight="1" x14ac:dyDescent="0.4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 customHeight="1" x14ac:dyDescent="0.4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 customHeight="1" x14ac:dyDescent="0.4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 customHeight="1" x14ac:dyDescent="0.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 customHeight="1" x14ac:dyDescent="0.4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 customHeight="1" x14ac:dyDescent="0.4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 customHeight="1" x14ac:dyDescent="0.4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 customHeight="1" x14ac:dyDescent="0.4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 customHeight="1" x14ac:dyDescent="0.4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 customHeight="1" x14ac:dyDescent="0.4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 customHeight="1" x14ac:dyDescent="0.4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 customHeight="1" x14ac:dyDescent="0.4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 customHeight="1" x14ac:dyDescent="0.4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 customHeight="1" x14ac:dyDescent="0.4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 customHeight="1" x14ac:dyDescent="0.4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 customHeight="1" x14ac:dyDescent="0.4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 customHeight="1" x14ac:dyDescent="0.4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 customHeight="1" x14ac:dyDescent="0.4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 customHeight="1" x14ac:dyDescent="0.4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 customHeight="1" x14ac:dyDescent="0.4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 customHeight="1" x14ac:dyDescent="0.4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 customHeight="1" x14ac:dyDescent="0.4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 customHeight="1" x14ac:dyDescent="0.4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 customHeight="1" x14ac:dyDescent="0.4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 customHeight="1" x14ac:dyDescent="0.4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 customHeight="1" x14ac:dyDescent="0.4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 customHeight="1" x14ac:dyDescent="0.4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 customHeight="1" x14ac:dyDescent="0.4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 customHeight="1" x14ac:dyDescent="0.4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 customHeight="1" x14ac:dyDescent="0.4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 customHeight="1" x14ac:dyDescent="0.4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 customHeight="1" x14ac:dyDescent="0.4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 customHeight="1" x14ac:dyDescent="0.4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 customHeight="1" x14ac:dyDescent="0.4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 customHeight="1" x14ac:dyDescent="0.4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 customHeight="1" x14ac:dyDescent="0.4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 customHeight="1" x14ac:dyDescent="0.4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 customHeight="1" x14ac:dyDescent="0.4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 customHeight="1" x14ac:dyDescent="0.4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 customHeight="1" x14ac:dyDescent="0.4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 customHeight="1" x14ac:dyDescent="0.4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 customHeight="1" x14ac:dyDescent="0.4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 customHeight="1" x14ac:dyDescent="0.4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 customHeight="1" x14ac:dyDescent="0.4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 customHeight="1" x14ac:dyDescent="0.4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 customHeight="1" x14ac:dyDescent="0.4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 customHeight="1" x14ac:dyDescent="0.4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 customHeight="1" x14ac:dyDescent="0.4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 customHeight="1" x14ac:dyDescent="0.4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 customHeight="1" x14ac:dyDescent="0.4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 customHeight="1" x14ac:dyDescent="0.4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 customHeight="1" x14ac:dyDescent="0.4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 customHeight="1" x14ac:dyDescent="0.4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 customHeight="1" x14ac:dyDescent="0.4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 customHeight="1" x14ac:dyDescent="0.4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 customHeight="1" x14ac:dyDescent="0.4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 customHeight="1" x14ac:dyDescent="0.4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 customHeight="1" x14ac:dyDescent="0.4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 customHeight="1" x14ac:dyDescent="0.4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 customHeight="1" x14ac:dyDescent="0.4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 customHeight="1" x14ac:dyDescent="0.4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 customHeight="1" x14ac:dyDescent="0.4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 customHeight="1" x14ac:dyDescent="0.4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 customHeight="1" x14ac:dyDescent="0.4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 customHeight="1" x14ac:dyDescent="0.4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 customHeight="1" x14ac:dyDescent="0.4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 customHeight="1" x14ac:dyDescent="0.4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 customHeight="1" x14ac:dyDescent="0.4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 customHeight="1" x14ac:dyDescent="0.4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 customHeight="1" x14ac:dyDescent="0.4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 customHeight="1" x14ac:dyDescent="0.4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 customHeight="1" x14ac:dyDescent="0.4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 customHeight="1" x14ac:dyDescent="0.4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 customHeight="1" x14ac:dyDescent="0.4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 customHeight="1" x14ac:dyDescent="0.4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 customHeight="1" x14ac:dyDescent="0.4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 customHeight="1" x14ac:dyDescent="0.4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 customHeight="1" x14ac:dyDescent="0.4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 customHeight="1" x14ac:dyDescent="0.4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 customHeight="1" x14ac:dyDescent="0.4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 customHeight="1" x14ac:dyDescent="0.4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 customHeight="1" x14ac:dyDescent="0.4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 customHeight="1" x14ac:dyDescent="0.4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 customHeight="1" x14ac:dyDescent="0.4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 customHeight="1" x14ac:dyDescent="0.4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 customHeight="1" x14ac:dyDescent="0.4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 customHeight="1" x14ac:dyDescent="0.4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 customHeight="1" x14ac:dyDescent="0.4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 customHeight="1" x14ac:dyDescent="0.4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 customHeight="1" x14ac:dyDescent="0.4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 customHeight="1" x14ac:dyDescent="0.4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 customHeight="1" x14ac:dyDescent="0.4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 customHeight="1" x14ac:dyDescent="0.4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 customHeight="1" x14ac:dyDescent="0.4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 customHeight="1" x14ac:dyDescent="0.4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 customHeight="1" x14ac:dyDescent="0.4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 customHeight="1" x14ac:dyDescent="0.4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 customHeight="1" x14ac:dyDescent="0.4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 customHeight="1" x14ac:dyDescent="0.4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 customHeight="1" x14ac:dyDescent="0.4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 customHeight="1" x14ac:dyDescent="0.4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 customHeight="1" x14ac:dyDescent="0.4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 customHeight="1" x14ac:dyDescent="0.4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 customHeight="1" x14ac:dyDescent="0.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 customHeight="1" x14ac:dyDescent="0.4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 customHeight="1" x14ac:dyDescent="0.4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 customHeight="1" x14ac:dyDescent="0.4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 customHeight="1" x14ac:dyDescent="0.4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 customHeight="1" x14ac:dyDescent="0.4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 customHeight="1" x14ac:dyDescent="0.4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 customHeight="1" x14ac:dyDescent="0.4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 customHeight="1" x14ac:dyDescent="0.4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 customHeight="1" x14ac:dyDescent="0.4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 customHeight="1" x14ac:dyDescent="0.4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 customHeight="1" x14ac:dyDescent="0.4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 customHeight="1" x14ac:dyDescent="0.4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 customHeight="1" x14ac:dyDescent="0.4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 customHeight="1" x14ac:dyDescent="0.4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 customHeight="1" x14ac:dyDescent="0.4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 customHeight="1" x14ac:dyDescent="0.4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 customHeight="1" x14ac:dyDescent="0.4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 customHeight="1" x14ac:dyDescent="0.4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 customHeight="1" x14ac:dyDescent="0.4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 customHeight="1" x14ac:dyDescent="0.4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 customHeight="1" x14ac:dyDescent="0.4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 customHeight="1" x14ac:dyDescent="0.4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 customHeight="1" x14ac:dyDescent="0.4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 customHeight="1" x14ac:dyDescent="0.4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 customHeight="1" x14ac:dyDescent="0.4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 customHeight="1" x14ac:dyDescent="0.4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 customHeight="1" x14ac:dyDescent="0.4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 customHeight="1" x14ac:dyDescent="0.4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 customHeight="1" x14ac:dyDescent="0.4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 customHeight="1" x14ac:dyDescent="0.4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 customHeight="1" x14ac:dyDescent="0.4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 customHeight="1" x14ac:dyDescent="0.4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 customHeight="1" x14ac:dyDescent="0.4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 customHeight="1" x14ac:dyDescent="0.4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 customHeight="1" x14ac:dyDescent="0.4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 customHeight="1" x14ac:dyDescent="0.4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 customHeight="1" x14ac:dyDescent="0.4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 customHeight="1" x14ac:dyDescent="0.4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 customHeight="1" x14ac:dyDescent="0.4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 customHeight="1" x14ac:dyDescent="0.4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 customHeight="1" x14ac:dyDescent="0.4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 customHeight="1" x14ac:dyDescent="0.4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 customHeight="1" x14ac:dyDescent="0.4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 customHeight="1" x14ac:dyDescent="0.4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 customHeight="1" x14ac:dyDescent="0.4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 customHeight="1" x14ac:dyDescent="0.4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 customHeight="1" x14ac:dyDescent="0.4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 customHeight="1" x14ac:dyDescent="0.4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 customHeight="1" x14ac:dyDescent="0.4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 customHeight="1" x14ac:dyDescent="0.4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 customHeight="1" x14ac:dyDescent="0.4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 customHeight="1" x14ac:dyDescent="0.4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 customHeight="1" x14ac:dyDescent="0.4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 customHeight="1" x14ac:dyDescent="0.4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 customHeight="1" x14ac:dyDescent="0.4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B9:D9"/>
    <mergeCell ref="B12:D12"/>
    <mergeCell ref="B15:D15"/>
    <mergeCell ref="B16:D16"/>
    <mergeCell ref="B1:I1"/>
    <mergeCell ref="C2:I2"/>
    <mergeCell ref="C3:I3"/>
    <mergeCell ref="C4:I4"/>
    <mergeCell ref="C5:I5"/>
    <mergeCell ref="C6:I6"/>
    <mergeCell ref="B8:D8"/>
  </mergeCells>
  <pageMargins left="0.70866141732283472" right="0.70866141732283472" top="0.74803149606299213" bottom="0.74803149606299213" header="0" footer="0"/>
  <pageSetup fitToHeight="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BD4B4"/>
    <pageSetUpPr fitToPage="1"/>
  </sheetPr>
  <dimension ref="A1:Z1000"/>
  <sheetViews>
    <sheetView topLeftCell="C1" workbookViewId="0">
      <selection activeCell="C11" sqref="C11:M11"/>
    </sheetView>
  </sheetViews>
  <sheetFormatPr baseColWidth="10" defaultColWidth="12.6328125" defaultRowHeight="15" customHeight="1" x14ac:dyDescent="0.25"/>
  <cols>
    <col min="1" max="1" width="6" customWidth="1"/>
    <col min="2" max="2" width="56.26953125" customWidth="1"/>
    <col min="3" max="3" width="25.08984375" customWidth="1"/>
    <col min="4" max="4" width="25.453125" customWidth="1"/>
    <col min="5" max="5" width="19" customWidth="1"/>
    <col min="6" max="6" width="23.08984375" customWidth="1"/>
    <col min="7" max="7" width="20.7265625" customWidth="1"/>
    <col min="8" max="8" width="21.26953125" customWidth="1"/>
    <col min="9" max="9" width="11.453125" customWidth="1"/>
    <col min="10" max="10" width="18.08984375" customWidth="1"/>
    <col min="11" max="11" width="14" customWidth="1"/>
    <col min="12" max="12" width="16.7265625" customWidth="1"/>
    <col min="13" max="13" width="14.08984375" customWidth="1"/>
    <col min="14" max="26" width="9.08984375" customWidth="1"/>
  </cols>
  <sheetData>
    <row r="1" spans="1:26" ht="15.75" customHeight="1" x14ac:dyDescent="0.4">
      <c r="A1" s="4"/>
      <c r="B1" s="4"/>
      <c r="C1" s="4"/>
      <c r="D1" s="4"/>
      <c r="E1" s="4"/>
      <c r="F1" s="4"/>
      <c r="G1" s="4"/>
      <c r="H1" s="4"/>
      <c r="I1" s="4"/>
      <c r="J1" s="4"/>
      <c r="K1" s="4"/>
      <c r="L1" s="4"/>
      <c r="M1" s="4"/>
      <c r="N1" s="4"/>
      <c r="O1" s="4"/>
      <c r="P1" s="4"/>
      <c r="Q1" s="4"/>
      <c r="R1" s="4"/>
      <c r="S1" s="4"/>
      <c r="T1" s="4"/>
      <c r="U1" s="4"/>
      <c r="V1" s="4"/>
      <c r="W1" s="4"/>
      <c r="X1" s="4"/>
      <c r="Y1" s="4"/>
      <c r="Z1" s="4"/>
    </row>
    <row r="2" spans="1:26" ht="15.75" customHeight="1" x14ac:dyDescent="0.4">
      <c r="A2" s="4"/>
      <c r="B2" s="4"/>
      <c r="C2" s="4"/>
      <c r="D2" s="4"/>
      <c r="E2" s="4"/>
      <c r="F2" s="4"/>
      <c r="G2" s="4"/>
      <c r="H2" s="4"/>
      <c r="I2" s="4"/>
      <c r="J2" s="4"/>
      <c r="K2" s="4"/>
      <c r="L2" s="4"/>
      <c r="M2" s="4"/>
      <c r="N2" s="4"/>
      <c r="O2" s="4"/>
      <c r="P2" s="4"/>
      <c r="Q2" s="4"/>
      <c r="R2" s="4"/>
      <c r="S2" s="4"/>
      <c r="T2" s="4"/>
      <c r="U2" s="4"/>
      <c r="V2" s="4"/>
      <c r="W2" s="4"/>
      <c r="X2" s="4"/>
      <c r="Y2" s="4"/>
      <c r="Z2" s="4"/>
    </row>
    <row r="3" spans="1:26" ht="15.75" customHeight="1" x14ac:dyDescent="0.4">
      <c r="A3" s="4"/>
      <c r="B3" s="4"/>
      <c r="C3" s="4"/>
      <c r="D3" s="4"/>
      <c r="E3" s="4"/>
      <c r="F3" s="4"/>
      <c r="G3" s="4"/>
      <c r="H3" s="4"/>
      <c r="I3" s="4"/>
      <c r="J3" s="4"/>
      <c r="K3" s="4"/>
      <c r="L3" s="4"/>
      <c r="M3" s="4"/>
      <c r="N3" s="4"/>
      <c r="O3" s="4"/>
      <c r="P3" s="4"/>
      <c r="Q3" s="4"/>
      <c r="R3" s="4"/>
      <c r="S3" s="4"/>
      <c r="T3" s="4"/>
      <c r="U3" s="4"/>
      <c r="V3" s="4"/>
      <c r="W3" s="4"/>
      <c r="X3" s="4"/>
      <c r="Y3" s="4"/>
      <c r="Z3" s="4"/>
    </row>
    <row r="4" spans="1:26" ht="15.75" customHeight="1" x14ac:dyDescent="0.4">
      <c r="A4" s="4"/>
      <c r="B4" s="4"/>
      <c r="C4" s="4"/>
      <c r="D4" s="4"/>
      <c r="E4" s="4"/>
      <c r="F4" s="4"/>
      <c r="G4" s="4"/>
      <c r="H4" s="4"/>
      <c r="I4" s="4"/>
      <c r="J4" s="4"/>
      <c r="K4" s="4"/>
      <c r="L4" s="4"/>
      <c r="M4" s="4"/>
      <c r="N4" s="4"/>
      <c r="O4" s="4"/>
      <c r="P4" s="4"/>
      <c r="Q4" s="4"/>
      <c r="R4" s="4"/>
      <c r="S4" s="4"/>
      <c r="T4" s="4"/>
      <c r="U4" s="4"/>
      <c r="V4" s="4"/>
      <c r="W4" s="4"/>
      <c r="X4" s="4"/>
      <c r="Y4" s="4"/>
      <c r="Z4" s="4"/>
    </row>
    <row r="5" spans="1:26" ht="15.75" customHeight="1" x14ac:dyDescent="0.4">
      <c r="A5" s="4"/>
      <c r="B5" s="4"/>
      <c r="C5" s="4"/>
      <c r="D5" s="4"/>
      <c r="E5" s="4"/>
      <c r="F5" s="4"/>
      <c r="G5" s="4"/>
      <c r="H5" s="4"/>
      <c r="I5" s="4"/>
      <c r="J5" s="4"/>
      <c r="K5" s="4"/>
      <c r="L5" s="4"/>
      <c r="M5" s="4"/>
      <c r="N5" s="4"/>
      <c r="O5" s="4"/>
      <c r="P5" s="4"/>
      <c r="Q5" s="4"/>
      <c r="R5" s="4"/>
      <c r="S5" s="4"/>
      <c r="T5" s="4"/>
      <c r="U5" s="4"/>
      <c r="V5" s="4"/>
      <c r="W5" s="4"/>
      <c r="X5" s="4"/>
      <c r="Y5" s="4"/>
      <c r="Z5" s="4"/>
    </row>
    <row r="6" spans="1:26" ht="15.75" customHeight="1" x14ac:dyDescent="0.4">
      <c r="A6" s="4"/>
      <c r="B6" s="4"/>
      <c r="C6" s="4"/>
      <c r="D6" s="4"/>
      <c r="E6" s="4"/>
      <c r="F6" s="4"/>
      <c r="G6" s="4"/>
      <c r="H6" s="4"/>
      <c r="I6" s="4"/>
      <c r="J6" s="4"/>
      <c r="K6" s="4"/>
      <c r="L6" s="4"/>
      <c r="M6" s="4"/>
      <c r="N6" s="4"/>
      <c r="O6" s="4"/>
      <c r="P6" s="4"/>
      <c r="Q6" s="4"/>
      <c r="R6" s="4"/>
      <c r="S6" s="4"/>
      <c r="T6" s="4"/>
      <c r="U6" s="4"/>
      <c r="V6" s="4"/>
      <c r="W6" s="4"/>
      <c r="X6" s="4"/>
      <c r="Y6" s="4"/>
      <c r="Z6" s="4"/>
    </row>
    <row r="7" spans="1:26" ht="52.5" customHeight="1" x14ac:dyDescent="0.4">
      <c r="A7" s="4"/>
      <c r="B7" s="161" t="s">
        <v>8</v>
      </c>
      <c r="C7" s="104"/>
      <c r="D7" s="104"/>
      <c r="E7" s="104"/>
      <c r="F7" s="104"/>
      <c r="G7" s="104"/>
      <c r="H7" s="104"/>
      <c r="I7" s="104"/>
      <c r="J7" s="104"/>
      <c r="K7" s="104"/>
      <c r="L7" s="104"/>
      <c r="M7" s="105"/>
      <c r="N7" s="4"/>
      <c r="O7" s="4"/>
      <c r="P7" s="4"/>
      <c r="Q7" s="4"/>
      <c r="R7" s="4"/>
      <c r="S7" s="4"/>
      <c r="T7" s="4"/>
      <c r="U7" s="4"/>
      <c r="V7" s="4"/>
      <c r="W7" s="4"/>
      <c r="X7" s="4"/>
      <c r="Y7" s="4"/>
      <c r="Z7" s="4"/>
    </row>
    <row r="8" spans="1:26" ht="47.25" customHeight="1" x14ac:dyDescent="0.4">
      <c r="A8" s="4"/>
      <c r="B8" s="162" t="s">
        <v>11</v>
      </c>
      <c r="C8" s="104"/>
      <c r="D8" s="104"/>
      <c r="E8" s="104"/>
      <c r="F8" s="104"/>
      <c r="G8" s="104"/>
      <c r="H8" s="104"/>
      <c r="I8" s="104"/>
      <c r="J8" s="104"/>
      <c r="K8" s="104"/>
      <c r="L8" s="104"/>
      <c r="M8" s="105"/>
      <c r="N8" s="4"/>
      <c r="O8" s="4"/>
      <c r="P8" s="4"/>
      <c r="Q8" s="4"/>
      <c r="R8" s="4"/>
      <c r="S8" s="4"/>
      <c r="T8" s="4"/>
      <c r="U8" s="4"/>
      <c r="V8" s="4"/>
      <c r="W8" s="4"/>
      <c r="X8" s="4"/>
      <c r="Y8" s="4"/>
      <c r="Z8" s="4"/>
    </row>
    <row r="9" spans="1:26" ht="28.5" customHeight="1" x14ac:dyDescent="0.4">
      <c r="A9" s="4"/>
      <c r="B9" s="163"/>
      <c r="C9" s="104"/>
      <c r="D9" s="104"/>
      <c r="E9" s="105"/>
      <c r="F9" s="4"/>
      <c r="G9" s="4"/>
      <c r="H9" s="4"/>
      <c r="I9" s="4"/>
      <c r="J9" s="4"/>
      <c r="K9" s="4"/>
      <c r="L9" s="4"/>
      <c r="M9" s="4"/>
      <c r="N9" s="4"/>
      <c r="O9" s="4"/>
      <c r="P9" s="4"/>
      <c r="Q9" s="4"/>
      <c r="R9" s="4"/>
      <c r="S9" s="4"/>
      <c r="T9" s="4"/>
      <c r="U9" s="4"/>
      <c r="V9" s="4"/>
      <c r="W9" s="4"/>
      <c r="X9" s="4"/>
      <c r="Y9" s="4"/>
      <c r="Z9" s="4"/>
    </row>
    <row r="10" spans="1:26" ht="15.75" customHeight="1" x14ac:dyDescent="0.45">
      <c r="A10" s="4"/>
      <c r="B10" s="155" t="s">
        <v>19</v>
      </c>
      <c r="C10" s="156"/>
      <c r="D10" s="156"/>
      <c r="E10" s="156"/>
      <c r="F10" s="156"/>
      <c r="G10" s="156"/>
      <c r="H10" s="156"/>
      <c r="I10" s="156"/>
      <c r="J10" s="156"/>
      <c r="K10" s="156"/>
      <c r="L10" s="156"/>
      <c r="M10" s="157"/>
      <c r="N10" s="4"/>
      <c r="O10" s="4"/>
      <c r="P10" s="4"/>
      <c r="Q10" s="4"/>
      <c r="R10" s="4"/>
      <c r="S10" s="4"/>
      <c r="T10" s="4"/>
      <c r="U10" s="4"/>
      <c r="V10" s="4"/>
      <c r="W10" s="4"/>
      <c r="X10" s="4"/>
      <c r="Y10" s="4"/>
      <c r="Z10" s="4"/>
    </row>
    <row r="11" spans="1:26" ht="15.75" customHeight="1" x14ac:dyDescent="0.4">
      <c r="A11" s="4"/>
      <c r="B11" s="20" t="s">
        <v>22</v>
      </c>
      <c r="C11" s="158" t="s">
        <v>238</v>
      </c>
      <c r="D11" s="101"/>
      <c r="E11" s="101"/>
      <c r="F11" s="101"/>
      <c r="G11" s="101"/>
      <c r="H11" s="101"/>
      <c r="I11" s="101"/>
      <c r="J11" s="101"/>
      <c r="K11" s="101"/>
      <c r="L11" s="101"/>
      <c r="M11" s="129"/>
      <c r="N11" s="4"/>
      <c r="O11" s="4"/>
      <c r="P11" s="4"/>
      <c r="Q11" s="4"/>
      <c r="R11" s="4"/>
      <c r="S11" s="4"/>
      <c r="T11" s="4"/>
      <c r="U11" s="4"/>
      <c r="V11" s="4"/>
      <c r="W11" s="4"/>
      <c r="X11" s="4"/>
      <c r="Y11" s="4"/>
      <c r="Z11" s="4"/>
    </row>
    <row r="12" spans="1:26" ht="15.75" customHeight="1" x14ac:dyDescent="0.4">
      <c r="A12" s="4"/>
      <c r="B12" s="20" t="s">
        <v>28</v>
      </c>
      <c r="C12" s="158"/>
      <c r="D12" s="101"/>
      <c r="E12" s="101"/>
      <c r="F12" s="101"/>
      <c r="G12" s="101"/>
      <c r="H12" s="101"/>
      <c r="I12" s="101"/>
      <c r="J12" s="101"/>
      <c r="K12" s="101"/>
      <c r="L12" s="101"/>
      <c r="M12" s="129"/>
      <c r="N12" s="4"/>
      <c r="O12" s="4"/>
      <c r="P12" s="4"/>
      <c r="Q12" s="4"/>
      <c r="R12" s="4"/>
      <c r="S12" s="4"/>
      <c r="T12" s="4"/>
      <c r="U12" s="4"/>
      <c r="V12" s="4"/>
      <c r="W12" s="4"/>
      <c r="X12" s="4"/>
      <c r="Y12" s="4"/>
      <c r="Z12" s="4"/>
    </row>
    <row r="13" spans="1:26" ht="15.75" customHeight="1" x14ac:dyDescent="0.4">
      <c r="A13" s="4"/>
      <c r="B13" s="20" t="s">
        <v>3</v>
      </c>
      <c r="C13" s="158"/>
      <c r="D13" s="101"/>
      <c r="E13" s="101"/>
      <c r="F13" s="101"/>
      <c r="G13" s="101"/>
      <c r="H13" s="101"/>
      <c r="I13" s="101"/>
      <c r="J13" s="101"/>
      <c r="K13" s="101"/>
      <c r="L13" s="101"/>
      <c r="M13" s="129"/>
      <c r="N13" s="4"/>
      <c r="O13" s="4"/>
      <c r="P13" s="4"/>
      <c r="Q13" s="4"/>
      <c r="R13" s="4"/>
      <c r="S13" s="4"/>
      <c r="T13" s="4"/>
      <c r="U13" s="4"/>
      <c r="V13" s="4"/>
      <c r="W13" s="4"/>
      <c r="X13" s="4"/>
      <c r="Y13" s="4"/>
      <c r="Z13" s="4"/>
    </row>
    <row r="14" spans="1:26" ht="15.75" customHeight="1" x14ac:dyDescent="0.4">
      <c r="A14" s="4"/>
      <c r="B14" s="20" t="s">
        <v>33</v>
      </c>
      <c r="C14" s="158"/>
      <c r="D14" s="101"/>
      <c r="E14" s="101"/>
      <c r="F14" s="101"/>
      <c r="G14" s="101"/>
      <c r="H14" s="101"/>
      <c r="I14" s="101"/>
      <c r="J14" s="101"/>
      <c r="K14" s="101"/>
      <c r="L14" s="101"/>
      <c r="M14" s="129"/>
      <c r="N14" s="4"/>
      <c r="O14" s="4"/>
      <c r="P14" s="4"/>
      <c r="Q14" s="4"/>
      <c r="R14" s="4"/>
      <c r="S14" s="4"/>
      <c r="T14" s="4"/>
      <c r="U14" s="4"/>
      <c r="V14" s="4"/>
      <c r="W14" s="4"/>
      <c r="X14" s="4"/>
      <c r="Y14" s="4"/>
      <c r="Z14" s="4"/>
    </row>
    <row r="15" spans="1:26" ht="15.75" customHeight="1" x14ac:dyDescent="0.4">
      <c r="A15" s="4"/>
      <c r="B15" s="20" t="s">
        <v>36</v>
      </c>
      <c r="C15" s="158"/>
      <c r="D15" s="101"/>
      <c r="E15" s="101"/>
      <c r="F15" s="101"/>
      <c r="G15" s="101"/>
      <c r="H15" s="101"/>
      <c r="I15" s="101"/>
      <c r="J15" s="101"/>
      <c r="K15" s="101"/>
      <c r="L15" s="101"/>
      <c r="M15" s="129"/>
      <c r="N15" s="4"/>
      <c r="O15" s="4"/>
      <c r="P15" s="4"/>
      <c r="Q15" s="4"/>
      <c r="R15" s="4"/>
      <c r="S15" s="4"/>
      <c r="T15" s="4"/>
      <c r="U15" s="4"/>
      <c r="V15" s="4"/>
      <c r="W15" s="4"/>
      <c r="X15" s="4"/>
      <c r="Y15" s="4"/>
      <c r="Z15" s="4"/>
    </row>
    <row r="16" spans="1:26" ht="15.75" customHeight="1" x14ac:dyDescent="0.4">
      <c r="A16" s="4"/>
      <c r="B16" s="20" t="s">
        <v>39</v>
      </c>
      <c r="C16" s="158"/>
      <c r="D16" s="101"/>
      <c r="E16" s="101"/>
      <c r="F16" s="101"/>
      <c r="G16" s="101"/>
      <c r="H16" s="101"/>
      <c r="I16" s="101"/>
      <c r="J16" s="101"/>
      <c r="K16" s="101"/>
      <c r="L16" s="101"/>
      <c r="M16" s="129"/>
      <c r="N16" s="4"/>
      <c r="O16" s="4"/>
      <c r="P16" s="4"/>
      <c r="Q16" s="4"/>
      <c r="R16" s="4"/>
      <c r="S16" s="4"/>
      <c r="T16" s="4"/>
      <c r="U16" s="4"/>
      <c r="V16" s="4"/>
      <c r="W16" s="4"/>
      <c r="X16" s="4"/>
      <c r="Y16" s="4"/>
      <c r="Z16" s="4"/>
    </row>
    <row r="17" spans="1:26" ht="15.75" customHeight="1" x14ac:dyDescent="0.4">
      <c r="A17" s="4"/>
      <c r="B17" s="20" t="s">
        <v>41</v>
      </c>
      <c r="C17" s="158"/>
      <c r="D17" s="101"/>
      <c r="E17" s="101"/>
      <c r="F17" s="101"/>
      <c r="G17" s="101"/>
      <c r="H17" s="101"/>
      <c r="I17" s="101"/>
      <c r="J17" s="101"/>
      <c r="K17" s="101"/>
      <c r="L17" s="101"/>
      <c r="M17" s="129"/>
      <c r="N17" s="4"/>
      <c r="O17" s="4"/>
      <c r="P17" s="4"/>
      <c r="Q17" s="4"/>
      <c r="R17" s="4"/>
      <c r="S17" s="4"/>
      <c r="T17" s="4"/>
      <c r="U17" s="4"/>
      <c r="V17" s="4"/>
      <c r="W17" s="4"/>
      <c r="X17" s="4"/>
      <c r="Y17" s="4"/>
      <c r="Z17" s="4"/>
    </row>
    <row r="18" spans="1:26" ht="15.75" customHeight="1" x14ac:dyDescent="0.4">
      <c r="A18" s="4"/>
      <c r="B18" s="20" t="s">
        <v>44</v>
      </c>
      <c r="C18" s="158"/>
      <c r="D18" s="101"/>
      <c r="E18" s="101"/>
      <c r="F18" s="101"/>
      <c r="G18" s="101"/>
      <c r="H18" s="101"/>
      <c r="I18" s="101"/>
      <c r="J18" s="101"/>
      <c r="K18" s="101"/>
      <c r="L18" s="101"/>
      <c r="M18" s="129"/>
      <c r="N18" s="4"/>
      <c r="O18" s="4"/>
      <c r="P18" s="4"/>
      <c r="Q18" s="4"/>
      <c r="R18" s="4"/>
      <c r="S18" s="4"/>
      <c r="T18" s="4"/>
      <c r="U18" s="4"/>
      <c r="V18" s="4"/>
      <c r="W18" s="4"/>
      <c r="X18" s="4"/>
      <c r="Y18" s="4"/>
      <c r="Z18" s="4"/>
    </row>
    <row r="19" spans="1:26" ht="15.75" customHeight="1" x14ac:dyDescent="0.4">
      <c r="A19" s="4"/>
      <c r="B19" s="32" t="s">
        <v>46</v>
      </c>
      <c r="C19" s="158"/>
      <c r="D19" s="101"/>
      <c r="E19" s="101"/>
      <c r="F19" s="101"/>
      <c r="G19" s="101"/>
      <c r="H19" s="101"/>
      <c r="I19" s="101"/>
      <c r="J19" s="101"/>
      <c r="K19" s="101"/>
      <c r="L19" s="101"/>
      <c r="M19" s="129"/>
      <c r="N19" s="4"/>
      <c r="O19" s="4"/>
      <c r="P19" s="4"/>
      <c r="Q19" s="4"/>
      <c r="R19" s="4"/>
      <c r="S19" s="4"/>
      <c r="T19" s="4"/>
      <c r="U19" s="4"/>
      <c r="V19" s="4"/>
      <c r="W19" s="4"/>
      <c r="X19" s="4"/>
      <c r="Y19" s="4"/>
      <c r="Z19" s="4"/>
    </row>
    <row r="20" spans="1:26" ht="15.75" customHeight="1" x14ac:dyDescent="0.4">
      <c r="A20" s="4"/>
      <c r="B20" s="32" t="s">
        <v>48</v>
      </c>
      <c r="C20" s="158"/>
      <c r="D20" s="101"/>
      <c r="E20" s="101"/>
      <c r="F20" s="101"/>
      <c r="G20" s="101"/>
      <c r="H20" s="101"/>
      <c r="I20" s="101"/>
      <c r="J20" s="101"/>
      <c r="K20" s="101"/>
      <c r="L20" s="101"/>
      <c r="M20" s="129"/>
      <c r="N20" s="4"/>
      <c r="O20" s="4"/>
      <c r="P20" s="4"/>
      <c r="Q20" s="4"/>
      <c r="R20" s="4"/>
      <c r="S20" s="4"/>
      <c r="T20" s="4"/>
      <c r="U20" s="4"/>
      <c r="V20" s="4"/>
      <c r="W20" s="4"/>
      <c r="X20" s="4"/>
      <c r="Y20" s="4"/>
      <c r="Z20" s="4"/>
    </row>
    <row r="21" spans="1:26" ht="15.75" customHeight="1" x14ac:dyDescent="0.4">
      <c r="A21" s="4"/>
      <c r="B21" s="20" t="s">
        <v>51</v>
      </c>
      <c r="C21" s="158"/>
      <c r="D21" s="101"/>
      <c r="E21" s="101"/>
      <c r="F21" s="101"/>
      <c r="G21" s="101"/>
      <c r="H21" s="101"/>
      <c r="I21" s="101"/>
      <c r="J21" s="101"/>
      <c r="K21" s="101"/>
      <c r="L21" s="101"/>
      <c r="M21" s="129"/>
      <c r="N21" s="4"/>
      <c r="O21" s="4"/>
      <c r="P21" s="4"/>
      <c r="Q21" s="4"/>
      <c r="R21" s="4"/>
      <c r="S21" s="4"/>
      <c r="T21" s="4"/>
      <c r="U21" s="4"/>
      <c r="V21" s="4"/>
      <c r="W21" s="4"/>
      <c r="X21" s="4"/>
      <c r="Y21" s="4"/>
      <c r="Z21" s="4"/>
    </row>
    <row r="22" spans="1:26" ht="15.75" customHeight="1" x14ac:dyDescent="0.4">
      <c r="A22" s="4"/>
      <c r="B22" s="32" t="s">
        <v>46</v>
      </c>
      <c r="C22" s="158"/>
      <c r="D22" s="101"/>
      <c r="E22" s="101"/>
      <c r="F22" s="101"/>
      <c r="G22" s="101"/>
      <c r="H22" s="101"/>
      <c r="I22" s="101"/>
      <c r="J22" s="101"/>
      <c r="K22" s="101"/>
      <c r="L22" s="101"/>
      <c r="M22" s="129"/>
      <c r="N22" s="4"/>
      <c r="O22" s="4"/>
      <c r="P22" s="4"/>
      <c r="Q22" s="4"/>
      <c r="R22" s="4"/>
      <c r="S22" s="4"/>
      <c r="T22" s="4"/>
      <c r="U22" s="4"/>
      <c r="V22" s="4"/>
      <c r="W22" s="4"/>
      <c r="X22" s="4"/>
      <c r="Y22" s="4"/>
      <c r="Z22" s="4"/>
    </row>
    <row r="23" spans="1:26" ht="15.75" customHeight="1" x14ac:dyDescent="0.4">
      <c r="A23" s="4"/>
      <c r="B23" s="32" t="s">
        <v>48</v>
      </c>
      <c r="C23" s="158"/>
      <c r="D23" s="101"/>
      <c r="E23" s="101"/>
      <c r="F23" s="101"/>
      <c r="G23" s="101"/>
      <c r="H23" s="101"/>
      <c r="I23" s="101"/>
      <c r="J23" s="101"/>
      <c r="K23" s="101"/>
      <c r="L23" s="101"/>
      <c r="M23" s="129"/>
      <c r="N23" s="4"/>
      <c r="O23" s="4"/>
      <c r="P23" s="4"/>
      <c r="Q23" s="4"/>
      <c r="R23" s="4"/>
      <c r="S23" s="4"/>
      <c r="T23" s="4"/>
      <c r="U23" s="4"/>
      <c r="V23" s="4"/>
      <c r="W23" s="4"/>
      <c r="X23" s="4"/>
      <c r="Y23" s="4"/>
      <c r="Z23" s="4"/>
    </row>
    <row r="24" spans="1:26" ht="15.75" customHeight="1" x14ac:dyDescent="0.4">
      <c r="A24" s="4"/>
      <c r="B24" s="20" t="s">
        <v>54</v>
      </c>
      <c r="C24" s="158"/>
      <c r="D24" s="101"/>
      <c r="E24" s="101"/>
      <c r="F24" s="101"/>
      <c r="G24" s="101"/>
      <c r="H24" s="101"/>
      <c r="I24" s="101"/>
      <c r="J24" s="101"/>
      <c r="K24" s="101"/>
      <c r="L24" s="101"/>
      <c r="M24" s="129"/>
      <c r="N24" s="4"/>
      <c r="O24" s="4"/>
      <c r="P24" s="4"/>
      <c r="Q24" s="4"/>
      <c r="R24" s="4"/>
      <c r="S24" s="4"/>
      <c r="T24" s="4"/>
      <c r="U24" s="4"/>
      <c r="V24" s="4"/>
      <c r="W24" s="4"/>
      <c r="X24" s="4"/>
      <c r="Y24" s="4"/>
      <c r="Z24" s="4"/>
    </row>
    <row r="25" spans="1:26" ht="15.75" customHeight="1" x14ac:dyDescent="0.4">
      <c r="A25" s="4"/>
      <c r="B25" s="20" t="s">
        <v>55</v>
      </c>
      <c r="C25" s="158"/>
      <c r="D25" s="101"/>
      <c r="E25" s="101"/>
      <c r="F25" s="101"/>
      <c r="G25" s="101"/>
      <c r="H25" s="101"/>
      <c r="I25" s="101"/>
      <c r="J25" s="101"/>
      <c r="K25" s="101"/>
      <c r="L25" s="101"/>
      <c r="M25" s="129"/>
      <c r="N25" s="4"/>
      <c r="O25" s="4"/>
      <c r="P25" s="4"/>
      <c r="Q25" s="4"/>
      <c r="R25" s="4"/>
      <c r="S25" s="4"/>
      <c r="T25" s="4"/>
      <c r="U25" s="4"/>
      <c r="V25" s="4"/>
      <c r="W25" s="4"/>
      <c r="X25" s="4"/>
      <c r="Y25" s="4"/>
      <c r="Z25" s="4"/>
    </row>
    <row r="26" spans="1:26" ht="15.75" customHeight="1" x14ac:dyDescent="0.4">
      <c r="A26" s="4"/>
      <c r="B26" s="20" t="s">
        <v>57</v>
      </c>
      <c r="C26" s="158"/>
      <c r="D26" s="101"/>
      <c r="E26" s="101"/>
      <c r="F26" s="101"/>
      <c r="G26" s="101"/>
      <c r="H26" s="101"/>
      <c r="I26" s="101"/>
      <c r="J26" s="101"/>
      <c r="K26" s="101"/>
      <c r="L26" s="101"/>
      <c r="M26" s="129"/>
      <c r="N26" s="4"/>
      <c r="O26" s="4"/>
      <c r="P26" s="4"/>
      <c r="Q26" s="4"/>
      <c r="R26" s="4"/>
      <c r="S26" s="4"/>
      <c r="T26" s="4"/>
      <c r="U26" s="4"/>
      <c r="V26" s="4"/>
      <c r="W26" s="4"/>
      <c r="X26" s="4"/>
      <c r="Y26" s="4"/>
      <c r="Z26" s="4"/>
    </row>
    <row r="27" spans="1:26" ht="15.75" customHeight="1" x14ac:dyDescent="0.4">
      <c r="A27" s="4"/>
      <c r="B27" s="20" t="s">
        <v>59</v>
      </c>
      <c r="C27" s="158"/>
      <c r="D27" s="101"/>
      <c r="E27" s="101"/>
      <c r="F27" s="101"/>
      <c r="G27" s="101"/>
      <c r="H27" s="101"/>
      <c r="I27" s="101"/>
      <c r="J27" s="101"/>
      <c r="K27" s="101"/>
      <c r="L27" s="101"/>
      <c r="M27" s="129"/>
      <c r="N27" s="4"/>
      <c r="O27" s="4"/>
      <c r="P27" s="4"/>
      <c r="Q27" s="4"/>
      <c r="R27" s="4"/>
      <c r="S27" s="4"/>
      <c r="T27" s="4"/>
      <c r="U27" s="4"/>
      <c r="V27" s="4"/>
      <c r="W27" s="4"/>
      <c r="X27" s="4"/>
      <c r="Y27" s="4"/>
      <c r="Z27" s="4"/>
    </row>
    <row r="28" spans="1:26" ht="15.75" customHeight="1" x14ac:dyDescent="0.4">
      <c r="A28" s="4"/>
      <c r="B28" s="20" t="s">
        <v>61</v>
      </c>
      <c r="C28" s="158"/>
      <c r="D28" s="101"/>
      <c r="E28" s="101"/>
      <c r="F28" s="101"/>
      <c r="G28" s="101"/>
      <c r="H28" s="101"/>
      <c r="I28" s="101"/>
      <c r="J28" s="101"/>
      <c r="K28" s="101"/>
      <c r="L28" s="101"/>
      <c r="M28" s="129"/>
      <c r="N28" s="4"/>
      <c r="O28" s="4"/>
      <c r="P28" s="4"/>
      <c r="Q28" s="4"/>
      <c r="R28" s="4"/>
      <c r="S28" s="4"/>
      <c r="T28" s="4"/>
      <c r="U28" s="4"/>
      <c r="V28" s="4"/>
      <c r="W28" s="4"/>
      <c r="X28" s="4"/>
      <c r="Y28" s="4"/>
      <c r="Z28" s="4"/>
    </row>
    <row r="29" spans="1:26" ht="15.75" customHeight="1" x14ac:dyDescent="0.4">
      <c r="A29" s="4"/>
      <c r="B29" s="20" t="s">
        <v>63</v>
      </c>
      <c r="C29" s="158"/>
      <c r="D29" s="101"/>
      <c r="E29" s="101"/>
      <c r="F29" s="101"/>
      <c r="G29" s="101"/>
      <c r="H29" s="101"/>
      <c r="I29" s="101"/>
      <c r="J29" s="101"/>
      <c r="K29" s="101"/>
      <c r="L29" s="101"/>
      <c r="M29" s="129"/>
      <c r="N29" s="4"/>
      <c r="O29" s="4"/>
      <c r="P29" s="4"/>
      <c r="Q29" s="4"/>
      <c r="R29" s="4"/>
      <c r="S29" s="4"/>
      <c r="T29" s="4"/>
      <c r="U29" s="4"/>
      <c r="V29" s="4"/>
      <c r="W29" s="4"/>
      <c r="X29" s="4"/>
      <c r="Y29" s="4"/>
      <c r="Z29" s="4"/>
    </row>
    <row r="30" spans="1:26" ht="15.75" customHeight="1" x14ac:dyDescent="0.4">
      <c r="A30" s="4"/>
      <c r="B30" s="20" t="s">
        <v>65</v>
      </c>
      <c r="C30" s="19"/>
      <c r="D30" s="42" t="s">
        <v>66</v>
      </c>
      <c r="E30" s="158"/>
      <c r="F30" s="101"/>
      <c r="G30" s="101"/>
      <c r="H30" s="101"/>
      <c r="I30" s="101"/>
      <c r="J30" s="101"/>
      <c r="K30" s="101"/>
      <c r="L30" s="101"/>
      <c r="M30" s="129"/>
      <c r="N30" s="4"/>
      <c r="O30" s="4"/>
      <c r="P30" s="4"/>
      <c r="Q30" s="4"/>
      <c r="R30" s="4"/>
      <c r="S30" s="4"/>
      <c r="T30" s="4"/>
      <c r="U30" s="4"/>
      <c r="V30" s="4"/>
      <c r="W30" s="4"/>
      <c r="X30" s="4"/>
      <c r="Y30" s="4"/>
      <c r="Z30" s="4"/>
    </row>
    <row r="31" spans="1:26" ht="15.75" customHeight="1" x14ac:dyDescent="0.4">
      <c r="A31" s="4"/>
      <c r="B31" s="164" t="s">
        <v>69</v>
      </c>
      <c r="C31" s="19" t="s">
        <v>70</v>
      </c>
      <c r="D31" s="19" t="s">
        <v>71</v>
      </c>
      <c r="E31" s="166" t="s">
        <v>72</v>
      </c>
      <c r="F31" s="101"/>
      <c r="G31" s="101"/>
      <c r="H31" s="101"/>
      <c r="I31" s="101"/>
      <c r="J31" s="101"/>
      <c r="K31" s="101"/>
      <c r="L31" s="101"/>
      <c r="M31" s="129"/>
      <c r="N31" s="4"/>
      <c r="O31" s="4"/>
      <c r="P31" s="4"/>
      <c r="Q31" s="4"/>
      <c r="R31" s="4"/>
      <c r="S31" s="4"/>
      <c r="T31" s="4"/>
      <c r="U31" s="4"/>
      <c r="V31" s="4"/>
      <c r="W31" s="4"/>
      <c r="X31" s="4"/>
      <c r="Y31" s="4"/>
      <c r="Z31" s="4"/>
    </row>
    <row r="32" spans="1:26" ht="15.75" customHeight="1" x14ac:dyDescent="0.4">
      <c r="A32" s="4"/>
      <c r="B32" s="165"/>
      <c r="C32" s="19"/>
      <c r="D32" s="19"/>
      <c r="E32" s="166"/>
      <c r="F32" s="101"/>
      <c r="G32" s="101"/>
      <c r="H32" s="101"/>
      <c r="I32" s="101"/>
      <c r="J32" s="101"/>
      <c r="K32" s="101"/>
      <c r="L32" s="101"/>
      <c r="M32" s="129"/>
      <c r="N32" s="4"/>
      <c r="O32" s="4"/>
      <c r="P32" s="4"/>
      <c r="Q32" s="4"/>
      <c r="R32" s="4"/>
      <c r="S32" s="4"/>
      <c r="T32" s="4"/>
      <c r="U32" s="4"/>
      <c r="V32" s="4"/>
      <c r="W32" s="4"/>
      <c r="X32" s="4"/>
      <c r="Y32" s="4"/>
      <c r="Z32" s="4"/>
    </row>
    <row r="33" spans="1:26" ht="16.5" customHeight="1" x14ac:dyDescent="0.4">
      <c r="A33" s="4"/>
      <c r="B33" s="167" t="s">
        <v>75</v>
      </c>
      <c r="C33" s="158"/>
      <c r="D33" s="101"/>
      <c r="E33" s="101"/>
      <c r="F33" s="101"/>
      <c r="G33" s="101"/>
      <c r="H33" s="101"/>
      <c r="I33" s="101"/>
      <c r="J33" s="101"/>
      <c r="K33" s="101"/>
      <c r="L33" s="101"/>
      <c r="M33" s="129"/>
      <c r="N33" s="4"/>
      <c r="O33" s="4"/>
      <c r="P33" s="4"/>
      <c r="Q33" s="4"/>
      <c r="R33" s="4"/>
      <c r="S33" s="4"/>
      <c r="T33" s="4"/>
      <c r="U33" s="4"/>
      <c r="V33" s="4"/>
      <c r="W33" s="4"/>
      <c r="X33" s="4"/>
      <c r="Y33" s="4"/>
      <c r="Z33" s="4"/>
    </row>
    <row r="34" spans="1:26" ht="15.75" customHeight="1" x14ac:dyDescent="0.4">
      <c r="A34" s="4"/>
      <c r="B34" s="168"/>
      <c r="C34" s="158"/>
      <c r="D34" s="101"/>
      <c r="E34" s="101"/>
      <c r="F34" s="101"/>
      <c r="G34" s="101"/>
      <c r="H34" s="101"/>
      <c r="I34" s="101"/>
      <c r="J34" s="101"/>
      <c r="K34" s="101"/>
      <c r="L34" s="101"/>
      <c r="M34" s="129"/>
      <c r="N34" s="4"/>
      <c r="O34" s="4"/>
      <c r="P34" s="4"/>
      <c r="Q34" s="4"/>
      <c r="R34" s="4"/>
      <c r="S34" s="4"/>
      <c r="T34" s="4"/>
      <c r="U34" s="4"/>
      <c r="V34" s="4"/>
      <c r="W34" s="4"/>
      <c r="X34" s="4"/>
      <c r="Y34" s="4"/>
      <c r="Z34" s="4"/>
    </row>
    <row r="35" spans="1:26" ht="15.75" customHeight="1" x14ac:dyDescent="0.4">
      <c r="A35" s="4"/>
      <c r="B35" s="168"/>
      <c r="C35" s="158"/>
      <c r="D35" s="101"/>
      <c r="E35" s="101"/>
      <c r="F35" s="101"/>
      <c r="G35" s="101"/>
      <c r="H35" s="101"/>
      <c r="I35" s="101"/>
      <c r="J35" s="101"/>
      <c r="K35" s="101"/>
      <c r="L35" s="101"/>
      <c r="M35" s="129"/>
      <c r="N35" s="4"/>
      <c r="O35" s="4"/>
      <c r="P35" s="4"/>
      <c r="Q35" s="4"/>
      <c r="R35" s="4"/>
      <c r="S35" s="4"/>
      <c r="T35" s="4"/>
      <c r="U35" s="4"/>
      <c r="V35" s="4"/>
      <c r="W35" s="4"/>
      <c r="X35" s="4"/>
      <c r="Y35" s="4"/>
      <c r="Z35" s="4"/>
    </row>
    <row r="36" spans="1:26" ht="15.75" customHeight="1" x14ac:dyDescent="0.4">
      <c r="A36" s="4"/>
      <c r="B36" s="165"/>
      <c r="C36" s="158"/>
      <c r="D36" s="101"/>
      <c r="E36" s="101"/>
      <c r="F36" s="101"/>
      <c r="G36" s="101"/>
      <c r="H36" s="101"/>
      <c r="I36" s="101"/>
      <c r="J36" s="101"/>
      <c r="K36" s="101"/>
      <c r="L36" s="101"/>
      <c r="M36" s="129"/>
      <c r="N36" s="4"/>
      <c r="O36" s="4"/>
      <c r="P36" s="4"/>
      <c r="Q36" s="4"/>
      <c r="R36" s="4"/>
      <c r="S36" s="4"/>
      <c r="T36" s="4"/>
      <c r="U36" s="4"/>
      <c r="V36" s="4"/>
      <c r="W36" s="4"/>
      <c r="X36" s="4"/>
      <c r="Y36" s="4"/>
      <c r="Z36" s="4"/>
    </row>
    <row r="37" spans="1:26" ht="15.75" customHeight="1" x14ac:dyDescent="0.4">
      <c r="A37" s="4"/>
      <c r="B37" s="20" t="s">
        <v>81</v>
      </c>
      <c r="C37" s="158"/>
      <c r="D37" s="101"/>
      <c r="E37" s="101"/>
      <c r="F37" s="101"/>
      <c r="G37" s="101"/>
      <c r="H37" s="101"/>
      <c r="I37" s="101"/>
      <c r="J37" s="101"/>
      <c r="K37" s="101"/>
      <c r="L37" s="101"/>
      <c r="M37" s="129"/>
      <c r="N37" s="4"/>
      <c r="O37" s="4"/>
      <c r="P37" s="4"/>
      <c r="Q37" s="4"/>
      <c r="R37" s="4"/>
      <c r="S37" s="4"/>
      <c r="T37" s="4"/>
      <c r="U37" s="4"/>
      <c r="V37" s="4"/>
      <c r="W37" s="4"/>
      <c r="X37" s="4"/>
      <c r="Y37" s="4"/>
      <c r="Z37" s="4"/>
    </row>
    <row r="38" spans="1:26" ht="15.75" customHeight="1" x14ac:dyDescent="0.4">
      <c r="A38" s="4"/>
      <c r="B38" s="20" t="s">
        <v>83</v>
      </c>
      <c r="C38" s="158"/>
      <c r="D38" s="101"/>
      <c r="E38" s="101"/>
      <c r="F38" s="101"/>
      <c r="G38" s="101"/>
      <c r="H38" s="101"/>
      <c r="I38" s="101"/>
      <c r="J38" s="101"/>
      <c r="K38" s="101"/>
      <c r="L38" s="101"/>
      <c r="M38" s="129"/>
      <c r="N38" s="4"/>
      <c r="O38" s="4"/>
      <c r="P38" s="4"/>
      <c r="Q38" s="4"/>
      <c r="R38" s="4"/>
      <c r="S38" s="4"/>
      <c r="T38" s="4"/>
      <c r="U38" s="4"/>
      <c r="V38" s="4"/>
      <c r="W38" s="4"/>
      <c r="X38" s="4"/>
      <c r="Y38" s="4"/>
      <c r="Z38" s="4"/>
    </row>
    <row r="39" spans="1:26" ht="15.75" customHeight="1" x14ac:dyDescent="0.4">
      <c r="A39" s="4"/>
      <c r="B39" s="20" t="s">
        <v>84</v>
      </c>
      <c r="C39" s="158"/>
      <c r="D39" s="101"/>
      <c r="E39" s="101"/>
      <c r="F39" s="101"/>
      <c r="G39" s="101"/>
      <c r="H39" s="101"/>
      <c r="I39" s="101"/>
      <c r="J39" s="101"/>
      <c r="K39" s="101"/>
      <c r="L39" s="101"/>
      <c r="M39" s="129"/>
      <c r="N39" s="4"/>
      <c r="O39" s="4"/>
      <c r="P39" s="4"/>
      <c r="Q39" s="4"/>
      <c r="R39" s="4"/>
      <c r="S39" s="4"/>
      <c r="T39" s="4"/>
      <c r="U39" s="4"/>
      <c r="V39" s="4"/>
      <c r="W39" s="4"/>
      <c r="X39" s="4"/>
      <c r="Y39" s="4"/>
      <c r="Z39" s="4"/>
    </row>
    <row r="40" spans="1:26" ht="15.75" customHeight="1" x14ac:dyDescent="0.4">
      <c r="A40" s="4"/>
      <c r="B40" s="43" t="s">
        <v>86</v>
      </c>
      <c r="C40" s="128"/>
      <c r="D40" s="101"/>
      <c r="E40" s="101"/>
      <c r="F40" s="101"/>
      <c r="G40" s="101"/>
      <c r="H40" s="101"/>
      <c r="I40" s="101"/>
      <c r="J40" s="101"/>
      <c r="K40" s="101"/>
      <c r="L40" s="101"/>
      <c r="M40" s="129"/>
      <c r="N40" s="4"/>
      <c r="O40" s="4"/>
      <c r="P40" s="4"/>
      <c r="Q40" s="4"/>
      <c r="R40" s="4"/>
      <c r="S40" s="4"/>
      <c r="T40" s="4"/>
      <c r="U40" s="4"/>
      <c r="V40" s="4"/>
      <c r="W40" s="4"/>
      <c r="X40" s="4"/>
      <c r="Y40" s="4"/>
      <c r="Z40" s="4"/>
    </row>
    <row r="41" spans="1:26" ht="15.75" customHeight="1" x14ac:dyDescent="0.4">
      <c r="A41" s="4"/>
      <c r="B41" s="32" t="s">
        <v>46</v>
      </c>
      <c r="C41" s="21"/>
      <c r="D41" s="159" t="s">
        <v>88</v>
      </c>
      <c r="E41" s="21"/>
      <c r="F41" s="159" t="s">
        <v>89</v>
      </c>
      <c r="G41" s="21"/>
      <c r="H41" s="160" t="s">
        <v>90</v>
      </c>
      <c r="I41" s="21"/>
      <c r="J41" s="160" t="s">
        <v>92</v>
      </c>
      <c r="K41" s="21"/>
      <c r="L41" s="159" t="s">
        <v>95</v>
      </c>
      <c r="M41" s="45"/>
      <c r="N41" s="4"/>
      <c r="O41" s="4"/>
      <c r="P41" s="4"/>
      <c r="Q41" s="4"/>
      <c r="R41" s="4"/>
      <c r="S41" s="4"/>
      <c r="T41" s="4"/>
      <c r="U41" s="4"/>
      <c r="V41" s="4"/>
      <c r="W41" s="4"/>
      <c r="X41" s="4"/>
      <c r="Y41" s="4"/>
      <c r="Z41" s="4"/>
    </row>
    <row r="42" spans="1:26" ht="15.75" customHeight="1" x14ac:dyDescent="0.4">
      <c r="A42" s="4"/>
      <c r="B42" s="32" t="s">
        <v>48</v>
      </c>
      <c r="C42" s="21"/>
      <c r="D42" s="99"/>
      <c r="E42" s="21"/>
      <c r="F42" s="99"/>
      <c r="G42" s="21"/>
      <c r="H42" s="99"/>
      <c r="I42" s="21"/>
      <c r="J42" s="99"/>
      <c r="K42" s="21"/>
      <c r="L42" s="99"/>
      <c r="M42" s="45"/>
      <c r="N42" s="4"/>
      <c r="O42" s="4"/>
      <c r="P42" s="4"/>
      <c r="Q42" s="4"/>
      <c r="R42" s="4"/>
      <c r="S42" s="4"/>
      <c r="T42" s="4"/>
      <c r="U42" s="4"/>
      <c r="V42" s="4"/>
      <c r="W42" s="4"/>
      <c r="X42" s="4"/>
      <c r="Y42" s="4"/>
      <c r="Z42" s="4"/>
    </row>
    <row r="43" spans="1:26" ht="15.75" customHeight="1" x14ac:dyDescent="0.4">
      <c r="A43" s="4"/>
      <c r="B43" s="48" t="s">
        <v>97</v>
      </c>
      <c r="C43" s="128"/>
      <c r="D43" s="101"/>
      <c r="E43" s="101"/>
      <c r="F43" s="101"/>
      <c r="G43" s="101"/>
      <c r="H43" s="101"/>
      <c r="I43" s="101"/>
      <c r="J43" s="101"/>
      <c r="K43" s="101"/>
      <c r="L43" s="101"/>
      <c r="M43" s="129"/>
      <c r="N43" s="4"/>
      <c r="O43" s="4"/>
      <c r="P43" s="4"/>
      <c r="Q43" s="4"/>
      <c r="R43" s="4"/>
      <c r="S43" s="4"/>
      <c r="T43" s="4"/>
      <c r="U43" s="4"/>
      <c r="V43" s="4"/>
      <c r="W43" s="4"/>
      <c r="X43" s="4"/>
      <c r="Y43" s="4"/>
      <c r="Z43" s="4"/>
    </row>
    <row r="44" spans="1:26" ht="15.75" customHeight="1" x14ac:dyDescent="0.4">
      <c r="A44" s="4"/>
      <c r="B44" s="32" t="s">
        <v>100</v>
      </c>
      <c r="C44" s="21"/>
      <c r="D44" s="159" t="s">
        <v>88</v>
      </c>
      <c r="E44" s="21"/>
      <c r="F44" s="159" t="s">
        <v>89</v>
      </c>
      <c r="G44" s="21"/>
      <c r="H44" s="160" t="s">
        <v>90</v>
      </c>
      <c r="I44" s="21"/>
      <c r="J44" s="160" t="s">
        <v>92</v>
      </c>
      <c r="K44" s="21"/>
      <c r="L44" s="159" t="s">
        <v>95</v>
      </c>
      <c r="M44" s="45"/>
      <c r="N44" s="4"/>
      <c r="O44" s="4"/>
      <c r="P44" s="4"/>
      <c r="Q44" s="4"/>
      <c r="R44" s="4"/>
      <c r="S44" s="4"/>
      <c r="T44" s="4"/>
      <c r="U44" s="4"/>
      <c r="V44" s="4"/>
      <c r="W44" s="4"/>
      <c r="X44" s="4"/>
      <c r="Y44" s="4"/>
      <c r="Z44" s="4"/>
    </row>
    <row r="45" spans="1:26" ht="15.75" customHeight="1" x14ac:dyDescent="0.4">
      <c r="A45" s="4"/>
      <c r="B45" s="32" t="s">
        <v>103</v>
      </c>
      <c r="C45" s="21"/>
      <c r="D45" s="99"/>
      <c r="E45" s="21"/>
      <c r="F45" s="99"/>
      <c r="G45" s="21"/>
      <c r="H45" s="99"/>
      <c r="I45" s="21"/>
      <c r="J45" s="99"/>
      <c r="K45" s="21"/>
      <c r="L45" s="99"/>
      <c r="M45" s="45"/>
      <c r="N45" s="4"/>
      <c r="O45" s="4"/>
      <c r="P45" s="4"/>
      <c r="Q45" s="4"/>
      <c r="R45" s="4"/>
      <c r="S45" s="4"/>
      <c r="T45" s="4"/>
      <c r="U45" s="4"/>
      <c r="V45" s="4"/>
      <c r="W45" s="4"/>
      <c r="X45" s="4"/>
      <c r="Y45" s="4"/>
      <c r="Z45" s="4"/>
    </row>
    <row r="46" spans="1:26" ht="15.75" customHeight="1" x14ac:dyDescent="0.4">
      <c r="A46" s="4"/>
      <c r="B46" s="48" t="s">
        <v>105</v>
      </c>
      <c r="C46" s="128"/>
      <c r="D46" s="101"/>
      <c r="E46" s="101"/>
      <c r="F46" s="101"/>
      <c r="G46" s="101"/>
      <c r="H46" s="101"/>
      <c r="I46" s="101"/>
      <c r="J46" s="101"/>
      <c r="K46" s="101"/>
      <c r="L46" s="101"/>
      <c r="M46" s="129"/>
      <c r="N46" s="4"/>
      <c r="O46" s="4"/>
      <c r="P46" s="4"/>
      <c r="Q46" s="4"/>
      <c r="R46" s="4"/>
      <c r="S46" s="4"/>
      <c r="T46" s="4"/>
      <c r="U46" s="4"/>
      <c r="V46" s="4"/>
      <c r="W46" s="4"/>
      <c r="X46" s="4"/>
      <c r="Y46" s="4"/>
      <c r="Z46" s="4"/>
    </row>
    <row r="47" spans="1:26" ht="15.75" customHeight="1" x14ac:dyDescent="0.4">
      <c r="A47" s="4"/>
      <c r="B47" s="32" t="s">
        <v>100</v>
      </c>
      <c r="C47" s="21"/>
      <c r="D47" s="49" t="s">
        <v>107</v>
      </c>
      <c r="E47" s="21"/>
      <c r="F47" s="49" t="s">
        <v>108</v>
      </c>
      <c r="G47" s="21"/>
      <c r="H47" s="50" t="s">
        <v>109</v>
      </c>
      <c r="I47" s="21"/>
      <c r="J47" s="50" t="s">
        <v>110</v>
      </c>
      <c r="K47" s="128"/>
      <c r="L47" s="101"/>
      <c r="M47" s="129"/>
      <c r="N47" s="4"/>
      <c r="O47" s="4"/>
      <c r="P47" s="4"/>
      <c r="Q47" s="4"/>
      <c r="R47" s="4"/>
      <c r="S47" s="4"/>
      <c r="T47" s="4"/>
      <c r="U47" s="4"/>
      <c r="V47" s="4"/>
      <c r="W47" s="4"/>
      <c r="X47" s="4"/>
      <c r="Y47" s="4"/>
      <c r="Z47" s="4"/>
    </row>
    <row r="48" spans="1:26" ht="15.75" customHeight="1" x14ac:dyDescent="0.4">
      <c r="A48" s="4"/>
      <c r="B48" s="32" t="s">
        <v>103</v>
      </c>
      <c r="C48" s="128"/>
      <c r="D48" s="101"/>
      <c r="E48" s="101"/>
      <c r="F48" s="101"/>
      <c r="G48" s="101"/>
      <c r="H48" s="101"/>
      <c r="I48" s="101"/>
      <c r="J48" s="101"/>
      <c r="K48" s="101"/>
      <c r="L48" s="101"/>
      <c r="M48" s="129"/>
      <c r="N48" s="4"/>
      <c r="O48" s="4"/>
      <c r="P48" s="4"/>
      <c r="Q48" s="4"/>
      <c r="R48" s="4"/>
      <c r="S48" s="4"/>
      <c r="T48" s="4"/>
      <c r="U48" s="4"/>
      <c r="V48" s="4"/>
      <c r="W48" s="4"/>
      <c r="X48" s="4"/>
      <c r="Y48" s="4"/>
      <c r="Z48" s="4"/>
    </row>
    <row r="49" spans="1:26" ht="15.75" customHeight="1" x14ac:dyDescent="0.4">
      <c r="A49" s="4"/>
      <c r="B49" s="48" t="s">
        <v>111</v>
      </c>
      <c r="C49" s="128"/>
      <c r="D49" s="101"/>
      <c r="E49" s="101"/>
      <c r="F49" s="101"/>
      <c r="G49" s="101"/>
      <c r="H49" s="101"/>
      <c r="I49" s="101"/>
      <c r="J49" s="101"/>
      <c r="K49" s="101"/>
      <c r="L49" s="101"/>
      <c r="M49" s="129"/>
      <c r="N49" s="4"/>
      <c r="O49" s="4"/>
      <c r="P49" s="4"/>
      <c r="Q49" s="4"/>
      <c r="R49" s="4"/>
      <c r="S49" s="4"/>
      <c r="T49" s="4"/>
      <c r="U49" s="4"/>
      <c r="V49" s="4"/>
      <c r="W49" s="4"/>
      <c r="X49" s="4"/>
      <c r="Y49" s="4"/>
      <c r="Z49" s="4"/>
    </row>
    <row r="50" spans="1:26" ht="15.75" customHeight="1" x14ac:dyDescent="0.4">
      <c r="A50" s="4"/>
      <c r="B50" s="32" t="s">
        <v>100</v>
      </c>
      <c r="C50" s="128"/>
      <c r="D50" s="101"/>
      <c r="E50" s="101"/>
      <c r="F50" s="101"/>
      <c r="G50" s="101"/>
      <c r="H50" s="101"/>
      <c r="I50" s="101"/>
      <c r="J50" s="101"/>
      <c r="K50" s="101"/>
      <c r="L50" s="101"/>
      <c r="M50" s="129"/>
      <c r="N50" s="4"/>
      <c r="O50" s="4"/>
      <c r="P50" s="4"/>
      <c r="Q50" s="4"/>
      <c r="R50" s="4"/>
      <c r="S50" s="4"/>
      <c r="T50" s="4"/>
      <c r="U50" s="4"/>
      <c r="V50" s="4"/>
      <c r="W50" s="4"/>
      <c r="X50" s="4"/>
      <c r="Y50" s="4"/>
      <c r="Z50" s="4"/>
    </row>
    <row r="51" spans="1:26" ht="15.75" customHeight="1" x14ac:dyDescent="0.4">
      <c r="A51" s="4"/>
      <c r="B51" s="32" t="s">
        <v>103</v>
      </c>
      <c r="C51" s="128"/>
      <c r="D51" s="101"/>
      <c r="E51" s="101"/>
      <c r="F51" s="101"/>
      <c r="G51" s="101"/>
      <c r="H51" s="101"/>
      <c r="I51" s="101"/>
      <c r="J51" s="101"/>
      <c r="K51" s="101"/>
      <c r="L51" s="101"/>
      <c r="M51" s="129"/>
      <c r="N51" s="4"/>
      <c r="O51" s="4"/>
      <c r="P51" s="4"/>
      <c r="Q51" s="4"/>
      <c r="R51" s="4"/>
      <c r="S51" s="4"/>
      <c r="T51" s="4"/>
      <c r="U51" s="4"/>
      <c r="V51" s="4"/>
      <c r="W51" s="4"/>
      <c r="X51" s="4"/>
      <c r="Y51" s="4"/>
      <c r="Z51" s="4"/>
    </row>
    <row r="52" spans="1:26" ht="15.75" customHeight="1" x14ac:dyDescent="0.4">
      <c r="A52" s="4"/>
      <c r="B52" s="20" t="s">
        <v>114</v>
      </c>
      <c r="C52" s="128"/>
      <c r="D52" s="101"/>
      <c r="E52" s="101"/>
      <c r="F52" s="101"/>
      <c r="G52" s="101"/>
      <c r="H52" s="101"/>
      <c r="I52" s="101"/>
      <c r="J52" s="101"/>
      <c r="K52" s="101"/>
      <c r="L52" s="101"/>
      <c r="M52" s="129"/>
      <c r="N52" s="4"/>
      <c r="O52" s="4"/>
      <c r="P52" s="4"/>
      <c r="Q52" s="4"/>
      <c r="R52" s="4"/>
      <c r="S52" s="4"/>
      <c r="T52" s="4"/>
      <c r="U52" s="4"/>
      <c r="V52" s="4"/>
      <c r="W52" s="4"/>
      <c r="X52" s="4"/>
      <c r="Y52" s="4"/>
      <c r="Z52" s="4"/>
    </row>
    <row r="53" spans="1:26" ht="15.75" customHeight="1" x14ac:dyDescent="0.4">
      <c r="A53" s="4"/>
      <c r="B53" s="20" t="s">
        <v>117</v>
      </c>
      <c r="C53" s="128"/>
      <c r="D53" s="101"/>
      <c r="E53" s="101"/>
      <c r="F53" s="101"/>
      <c r="G53" s="101"/>
      <c r="H53" s="101"/>
      <c r="I53" s="101"/>
      <c r="J53" s="101"/>
      <c r="K53" s="101"/>
      <c r="L53" s="101"/>
      <c r="M53" s="129"/>
      <c r="N53" s="4"/>
      <c r="O53" s="4"/>
      <c r="P53" s="4"/>
      <c r="Q53" s="4"/>
      <c r="R53" s="4"/>
      <c r="S53" s="4"/>
      <c r="T53" s="4"/>
      <c r="U53" s="4"/>
      <c r="V53" s="4"/>
      <c r="W53" s="4"/>
      <c r="X53" s="4"/>
      <c r="Y53" s="4"/>
      <c r="Z53" s="4"/>
    </row>
    <row r="54" spans="1:26" ht="15.75" customHeight="1" x14ac:dyDescent="0.4">
      <c r="A54" s="4"/>
      <c r="B54" s="32" t="s">
        <v>119</v>
      </c>
      <c r="C54" s="128"/>
      <c r="D54" s="101"/>
      <c r="E54" s="101"/>
      <c r="F54" s="101"/>
      <c r="G54" s="101"/>
      <c r="H54" s="101"/>
      <c r="I54" s="101"/>
      <c r="J54" s="101"/>
      <c r="K54" s="101"/>
      <c r="L54" s="101"/>
      <c r="M54" s="129"/>
      <c r="N54" s="4"/>
      <c r="O54" s="4"/>
      <c r="P54" s="4"/>
      <c r="Q54" s="4"/>
      <c r="R54" s="4"/>
      <c r="S54" s="4"/>
      <c r="T54" s="4"/>
      <c r="U54" s="4"/>
      <c r="V54" s="4"/>
      <c r="W54" s="4"/>
      <c r="X54" s="4"/>
      <c r="Y54" s="4"/>
      <c r="Z54" s="4"/>
    </row>
    <row r="55" spans="1:26" ht="15.75" customHeight="1" x14ac:dyDescent="0.4">
      <c r="A55" s="4"/>
      <c r="B55" s="32" t="s">
        <v>121</v>
      </c>
      <c r="C55" s="128"/>
      <c r="D55" s="101"/>
      <c r="E55" s="101"/>
      <c r="F55" s="101"/>
      <c r="G55" s="101"/>
      <c r="H55" s="101"/>
      <c r="I55" s="101"/>
      <c r="J55" s="101"/>
      <c r="K55" s="101"/>
      <c r="L55" s="101"/>
      <c r="M55" s="129"/>
      <c r="N55" s="4"/>
      <c r="O55" s="4"/>
      <c r="P55" s="4"/>
      <c r="Q55" s="4"/>
      <c r="R55" s="4"/>
      <c r="S55" s="4"/>
      <c r="T55" s="4"/>
      <c r="U55" s="4"/>
      <c r="V55" s="4"/>
      <c r="W55" s="4"/>
      <c r="X55" s="4"/>
      <c r="Y55" s="4"/>
      <c r="Z55" s="4"/>
    </row>
    <row r="56" spans="1:26" ht="15.75" customHeight="1" x14ac:dyDescent="0.4">
      <c r="A56" s="4"/>
      <c r="B56" s="32" t="s">
        <v>123</v>
      </c>
      <c r="C56" s="128"/>
      <c r="D56" s="101"/>
      <c r="E56" s="101"/>
      <c r="F56" s="101"/>
      <c r="G56" s="101"/>
      <c r="H56" s="101"/>
      <c r="I56" s="101"/>
      <c r="J56" s="101"/>
      <c r="K56" s="101"/>
      <c r="L56" s="101"/>
      <c r="M56" s="129"/>
      <c r="N56" s="4"/>
      <c r="O56" s="4"/>
      <c r="P56" s="4"/>
      <c r="Q56" s="4"/>
      <c r="R56" s="4"/>
      <c r="S56" s="4"/>
      <c r="T56" s="4"/>
      <c r="U56" s="4"/>
      <c r="V56" s="4"/>
      <c r="W56" s="4"/>
      <c r="X56" s="4"/>
      <c r="Y56" s="4"/>
      <c r="Z56" s="4"/>
    </row>
    <row r="57" spans="1:26" ht="15.75" customHeight="1" x14ac:dyDescent="0.4">
      <c r="A57" s="4"/>
      <c r="B57" s="20" t="s">
        <v>126</v>
      </c>
      <c r="C57" s="128"/>
      <c r="D57" s="101"/>
      <c r="E57" s="101"/>
      <c r="F57" s="101"/>
      <c r="G57" s="101"/>
      <c r="H57" s="101"/>
      <c r="I57" s="101"/>
      <c r="J57" s="101"/>
      <c r="K57" s="101"/>
      <c r="L57" s="101"/>
      <c r="M57" s="129"/>
      <c r="N57" s="4"/>
      <c r="O57" s="4"/>
      <c r="P57" s="4"/>
      <c r="Q57" s="4"/>
      <c r="R57" s="4"/>
      <c r="S57" s="4"/>
      <c r="T57" s="4"/>
      <c r="U57" s="4"/>
      <c r="V57" s="4"/>
      <c r="W57" s="4"/>
      <c r="X57" s="4"/>
      <c r="Y57" s="4"/>
      <c r="Z57" s="4"/>
    </row>
    <row r="58" spans="1:26" ht="15.75" customHeight="1" x14ac:dyDescent="0.4">
      <c r="A58" s="4"/>
      <c r="B58" s="32" t="s">
        <v>119</v>
      </c>
      <c r="C58" s="128"/>
      <c r="D58" s="101"/>
      <c r="E58" s="101"/>
      <c r="F58" s="101"/>
      <c r="G58" s="101"/>
      <c r="H58" s="101"/>
      <c r="I58" s="101"/>
      <c r="J58" s="101"/>
      <c r="K58" s="101"/>
      <c r="L58" s="101"/>
      <c r="M58" s="129"/>
      <c r="N58" s="4"/>
      <c r="O58" s="4"/>
      <c r="P58" s="4"/>
      <c r="Q58" s="4"/>
      <c r="R58" s="4"/>
      <c r="S58" s="4"/>
      <c r="T58" s="4"/>
      <c r="U58" s="4"/>
      <c r="V58" s="4"/>
      <c r="W58" s="4"/>
      <c r="X58" s="4"/>
      <c r="Y58" s="4"/>
      <c r="Z58" s="4"/>
    </row>
    <row r="59" spans="1:26" ht="15.75" customHeight="1" x14ac:dyDescent="0.4">
      <c r="A59" s="4"/>
      <c r="B59" s="32" t="s">
        <v>121</v>
      </c>
      <c r="C59" s="128"/>
      <c r="D59" s="101"/>
      <c r="E59" s="101"/>
      <c r="F59" s="101"/>
      <c r="G59" s="101"/>
      <c r="H59" s="101"/>
      <c r="I59" s="101"/>
      <c r="J59" s="101"/>
      <c r="K59" s="101"/>
      <c r="L59" s="101"/>
      <c r="M59" s="129"/>
      <c r="N59" s="4"/>
      <c r="O59" s="4"/>
      <c r="P59" s="4"/>
      <c r="Q59" s="4"/>
      <c r="R59" s="4"/>
      <c r="S59" s="4"/>
      <c r="T59" s="4"/>
      <c r="U59" s="4"/>
      <c r="V59" s="4"/>
      <c r="W59" s="4"/>
      <c r="X59" s="4"/>
      <c r="Y59" s="4"/>
      <c r="Z59" s="4"/>
    </row>
    <row r="60" spans="1:26" ht="15.75" customHeight="1" x14ac:dyDescent="0.4">
      <c r="A60" s="4"/>
      <c r="B60" s="32" t="s">
        <v>123</v>
      </c>
      <c r="C60" s="128"/>
      <c r="D60" s="101"/>
      <c r="E60" s="101"/>
      <c r="F60" s="101"/>
      <c r="G60" s="101"/>
      <c r="H60" s="101"/>
      <c r="I60" s="101"/>
      <c r="J60" s="101"/>
      <c r="K60" s="101"/>
      <c r="L60" s="101"/>
      <c r="M60" s="129"/>
      <c r="N60" s="4"/>
      <c r="O60" s="4"/>
      <c r="P60" s="4"/>
      <c r="Q60" s="4"/>
      <c r="R60" s="4"/>
      <c r="S60" s="4"/>
      <c r="T60" s="4"/>
      <c r="U60" s="4"/>
      <c r="V60" s="4"/>
      <c r="W60" s="4"/>
      <c r="X60" s="4"/>
      <c r="Y60" s="4"/>
      <c r="Z60" s="4"/>
    </row>
    <row r="61" spans="1:26" ht="15.75" customHeight="1" x14ac:dyDescent="0.4">
      <c r="A61" s="4"/>
      <c r="B61" s="20" t="s">
        <v>132</v>
      </c>
      <c r="C61" s="128"/>
      <c r="D61" s="101"/>
      <c r="E61" s="101"/>
      <c r="F61" s="101"/>
      <c r="G61" s="101"/>
      <c r="H61" s="101"/>
      <c r="I61" s="101"/>
      <c r="J61" s="101"/>
      <c r="K61" s="101"/>
      <c r="L61" s="101"/>
      <c r="M61" s="129"/>
      <c r="N61" s="4"/>
      <c r="O61" s="4"/>
      <c r="P61" s="4"/>
      <c r="Q61" s="4"/>
      <c r="R61" s="4"/>
      <c r="S61" s="4"/>
      <c r="T61" s="4"/>
      <c r="U61" s="4"/>
      <c r="V61" s="4"/>
      <c r="W61" s="4"/>
      <c r="X61" s="4"/>
      <c r="Y61" s="4"/>
      <c r="Z61" s="4"/>
    </row>
    <row r="62" spans="1:26" ht="15.75" customHeight="1" x14ac:dyDescent="0.4">
      <c r="A62" s="4"/>
      <c r="B62" s="32" t="s">
        <v>119</v>
      </c>
      <c r="C62" s="128"/>
      <c r="D62" s="101"/>
      <c r="E62" s="101"/>
      <c r="F62" s="101"/>
      <c r="G62" s="101"/>
      <c r="H62" s="101"/>
      <c r="I62" s="101"/>
      <c r="J62" s="101"/>
      <c r="K62" s="101"/>
      <c r="L62" s="101"/>
      <c r="M62" s="129"/>
      <c r="N62" s="4"/>
      <c r="O62" s="4"/>
      <c r="P62" s="4"/>
      <c r="Q62" s="4"/>
      <c r="R62" s="4"/>
      <c r="S62" s="4"/>
      <c r="T62" s="4"/>
      <c r="U62" s="4"/>
      <c r="V62" s="4"/>
      <c r="W62" s="4"/>
      <c r="X62" s="4"/>
      <c r="Y62" s="4"/>
      <c r="Z62" s="4"/>
    </row>
    <row r="63" spans="1:26" ht="15.75" customHeight="1" x14ac:dyDescent="0.4">
      <c r="A63" s="4"/>
      <c r="B63" s="32" t="s">
        <v>121</v>
      </c>
      <c r="C63" s="128"/>
      <c r="D63" s="101"/>
      <c r="E63" s="101"/>
      <c r="F63" s="101"/>
      <c r="G63" s="101"/>
      <c r="H63" s="101"/>
      <c r="I63" s="101"/>
      <c r="J63" s="101"/>
      <c r="K63" s="101"/>
      <c r="L63" s="101"/>
      <c r="M63" s="129"/>
      <c r="N63" s="4"/>
      <c r="O63" s="4"/>
      <c r="P63" s="4"/>
      <c r="Q63" s="4"/>
      <c r="R63" s="4"/>
      <c r="S63" s="4"/>
      <c r="T63" s="4"/>
      <c r="U63" s="4"/>
      <c r="V63" s="4"/>
      <c r="W63" s="4"/>
      <c r="X63" s="4"/>
      <c r="Y63" s="4"/>
      <c r="Z63" s="4"/>
    </row>
    <row r="64" spans="1:26" ht="15.75" customHeight="1" x14ac:dyDescent="0.4">
      <c r="A64" s="4"/>
      <c r="B64" s="56" t="s">
        <v>123</v>
      </c>
      <c r="C64" s="130"/>
      <c r="D64" s="131"/>
      <c r="E64" s="131"/>
      <c r="F64" s="131"/>
      <c r="G64" s="131"/>
      <c r="H64" s="131"/>
      <c r="I64" s="131"/>
      <c r="J64" s="131"/>
      <c r="K64" s="131"/>
      <c r="L64" s="131"/>
      <c r="M64" s="132"/>
      <c r="N64" s="4"/>
      <c r="O64" s="4"/>
      <c r="P64" s="4"/>
      <c r="Q64" s="4"/>
      <c r="R64" s="4"/>
      <c r="S64" s="4"/>
      <c r="T64" s="4"/>
      <c r="U64" s="4"/>
      <c r="V64" s="4"/>
      <c r="W64" s="4"/>
      <c r="X64" s="4"/>
      <c r="Y64" s="4"/>
      <c r="Z64" s="4"/>
    </row>
    <row r="65" spans="1:26" ht="12.75" customHeight="1" x14ac:dyDescent="0.4">
      <c r="A65" s="4"/>
      <c r="B65" s="58"/>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x14ac:dyDescent="0.45">
      <c r="A66" s="4"/>
      <c r="B66" s="155" t="s">
        <v>138</v>
      </c>
      <c r="C66" s="156"/>
      <c r="D66" s="156"/>
      <c r="E66" s="156"/>
      <c r="F66" s="156"/>
      <c r="G66" s="156"/>
      <c r="H66" s="156"/>
      <c r="I66" s="156"/>
      <c r="J66" s="156"/>
      <c r="K66" s="156"/>
      <c r="L66" s="156"/>
      <c r="M66" s="157"/>
      <c r="N66" s="4"/>
      <c r="O66" s="4"/>
      <c r="P66" s="4"/>
      <c r="Q66" s="4"/>
      <c r="R66" s="4"/>
      <c r="S66" s="4"/>
      <c r="T66" s="4"/>
      <c r="U66" s="4"/>
      <c r="V66" s="4"/>
      <c r="W66" s="4"/>
      <c r="X66" s="4"/>
      <c r="Y66" s="4"/>
      <c r="Z66" s="4"/>
    </row>
    <row r="67" spans="1:26" ht="15.75" customHeight="1" x14ac:dyDescent="0.4">
      <c r="A67" s="4"/>
      <c r="B67" s="59" t="s">
        <v>140</v>
      </c>
      <c r="C67" s="128"/>
      <c r="D67" s="101"/>
      <c r="E67" s="101"/>
      <c r="F67" s="101"/>
      <c r="G67" s="101"/>
      <c r="H67" s="101"/>
      <c r="I67" s="101"/>
      <c r="J67" s="101"/>
      <c r="K67" s="101"/>
      <c r="L67" s="101"/>
      <c r="M67" s="129"/>
      <c r="N67" s="4"/>
      <c r="O67" s="4"/>
      <c r="P67" s="4"/>
      <c r="Q67" s="4"/>
      <c r="R67" s="4"/>
      <c r="S67" s="4"/>
      <c r="T67" s="4"/>
      <c r="U67" s="4"/>
      <c r="V67" s="4"/>
      <c r="W67" s="4"/>
      <c r="X67" s="4"/>
      <c r="Y67" s="4"/>
      <c r="Z67" s="4"/>
    </row>
    <row r="68" spans="1:26" ht="15.75" customHeight="1" x14ac:dyDescent="0.4">
      <c r="A68" s="4"/>
      <c r="B68" s="60" t="s">
        <v>142</v>
      </c>
      <c r="C68" s="128"/>
      <c r="D68" s="101"/>
      <c r="E68" s="101"/>
      <c r="F68" s="101"/>
      <c r="G68" s="101"/>
      <c r="H68" s="101"/>
      <c r="I68" s="101"/>
      <c r="J68" s="101"/>
      <c r="K68" s="101"/>
      <c r="L68" s="101"/>
      <c r="M68" s="129"/>
      <c r="N68" s="4"/>
      <c r="O68" s="4"/>
      <c r="P68" s="4"/>
      <c r="Q68" s="4"/>
      <c r="R68" s="4"/>
      <c r="S68" s="4"/>
      <c r="T68" s="4"/>
      <c r="U68" s="4"/>
      <c r="V68" s="4"/>
      <c r="W68" s="4"/>
      <c r="X68" s="4"/>
      <c r="Y68" s="4"/>
      <c r="Z68" s="4"/>
    </row>
    <row r="69" spans="1:26" ht="15.75" customHeight="1" x14ac:dyDescent="0.4">
      <c r="A69" s="4"/>
      <c r="B69" s="60" t="s">
        <v>144</v>
      </c>
      <c r="C69" s="128"/>
      <c r="D69" s="101"/>
      <c r="E69" s="101"/>
      <c r="F69" s="101"/>
      <c r="G69" s="101"/>
      <c r="H69" s="101"/>
      <c r="I69" s="101"/>
      <c r="J69" s="101"/>
      <c r="K69" s="101"/>
      <c r="L69" s="101"/>
      <c r="M69" s="129"/>
      <c r="N69" s="4"/>
      <c r="O69" s="4"/>
      <c r="P69" s="4"/>
      <c r="Q69" s="4"/>
      <c r="R69" s="4"/>
      <c r="S69" s="4"/>
      <c r="T69" s="4"/>
      <c r="U69" s="4"/>
      <c r="V69" s="4"/>
      <c r="W69" s="4"/>
      <c r="X69" s="4"/>
      <c r="Y69" s="4"/>
      <c r="Z69" s="4"/>
    </row>
    <row r="70" spans="1:26" ht="15.75" customHeight="1" x14ac:dyDescent="0.4">
      <c r="A70" s="4"/>
      <c r="B70" s="60" t="s">
        <v>146</v>
      </c>
      <c r="C70" s="128"/>
      <c r="D70" s="101"/>
      <c r="E70" s="101"/>
      <c r="F70" s="101"/>
      <c r="G70" s="101"/>
      <c r="H70" s="101"/>
      <c r="I70" s="101"/>
      <c r="J70" s="101"/>
      <c r="K70" s="101"/>
      <c r="L70" s="101"/>
      <c r="M70" s="129"/>
      <c r="N70" s="4"/>
      <c r="O70" s="4"/>
      <c r="P70" s="4"/>
      <c r="Q70" s="4"/>
      <c r="R70" s="4"/>
      <c r="S70" s="4"/>
      <c r="T70" s="4"/>
      <c r="U70" s="4"/>
      <c r="V70" s="4"/>
      <c r="W70" s="4"/>
      <c r="X70" s="4"/>
      <c r="Y70" s="4"/>
      <c r="Z70" s="4"/>
    </row>
    <row r="71" spans="1:26" ht="15.75" customHeight="1" x14ac:dyDescent="0.4">
      <c r="A71" s="4"/>
      <c r="B71" s="60" t="s">
        <v>147</v>
      </c>
      <c r="C71" s="128"/>
      <c r="D71" s="101"/>
      <c r="E71" s="101"/>
      <c r="F71" s="101"/>
      <c r="G71" s="101"/>
      <c r="H71" s="101"/>
      <c r="I71" s="101"/>
      <c r="J71" s="101"/>
      <c r="K71" s="101"/>
      <c r="L71" s="101"/>
      <c r="M71" s="129"/>
      <c r="N71" s="4"/>
      <c r="O71" s="4"/>
      <c r="P71" s="4"/>
      <c r="Q71" s="4"/>
      <c r="R71" s="4"/>
      <c r="S71" s="4"/>
      <c r="T71" s="4"/>
      <c r="U71" s="4"/>
      <c r="V71" s="4"/>
      <c r="W71" s="4"/>
      <c r="X71" s="4"/>
      <c r="Y71" s="4"/>
      <c r="Z71" s="4"/>
    </row>
    <row r="72" spans="1:26" ht="15.75" customHeight="1" x14ac:dyDescent="0.4">
      <c r="A72" s="4"/>
      <c r="B72" s="59" t="s">
        <v>140</v>
      </c>
      <c r="C72" s="128"/>
      <c r="D72" s="101"/>
      <c r="E72" s="101"/>
      <c r="F72" s="101"/>
      <c r="G72" s="101"/>
      <c r="H72" s="101"/>
      <c r="I72" s="101"/>
      <c r="J72" s="101"/>
      <c r="K72" s="101"/>
      <c r="L72" s="101"/>
      <c r="M72" s="129"/>
      <c r="N72" s="4"/>
      <c r="O72" s="4"/>
      <c r="P72" s="4"/>
      <c r="Q72" s="4"/>
      <c r="R72" s="4"/>
      <c r="S72" s="4"/>
      <c r="T72" s="4"/>
      <c r="U72" s="4"/>
      <c r="V72" s="4"/>
      <c r="W72" s="4"/>
      <c r="X72" s="4"/>
      <c r="Y72" s="4"/>
      <c r="Z72" s="4"/>
    </row>
    <row r="73" spans="1:26" ht="15.75" customHeight="1" x14ac:dyDescent="0.4">
      <c r="A73" s="4"/>
      <c r="B73" s="60" t="s">
        <v>142</v>
      </c>
      <c r="C73" s="128"/>
      <c r="D73" s="101"/>
      <c r="E73" s="101"/>
      <c r="F73" s="101"/>
      <c r="G73" s="101"/>
      <c r="H73" s="101"/>
      <c r="I73" s="101"/>
      <c r="J73" s="101"/>
      <c r="K73" s="101"/>
      <c r="L73" s="101"/>
      <c r="M73" s="129"/>
      <c r="N73" s="4"/>
      <c r="O73" s="4"/>
      <c r="P73" s="4"/>
      <c r="Q73" s="4"/>
      <c r="R73" s="4"/>
      <c r="S73" s="4"/>
      <c r="T73" s="4"/>
      <c r="U73" s="4"/>
      <c r="V73" s="4"/>
      <c r="W73" s="4"/>
      <c r="X73" s="4"/>
      <c r="Y73" s="4"/>
      <c r="Z73" s="4"/>
    </row>
    <row r="74" spans="1:26" ht="15.75" customHeight="1" x14ac:dyDescent="0.4">
      <c r="A74" s="4"/>
      <c r="B74" s="60" t="s">
        <v>144</v>
      </c>
      <c r="C74" s="128"/>
      <c r="D74" s="101"/>
      <c r="E74" s="101"/>
      <c r="F74" s="101"/>
      <c r="G74" s="101"/>
      <c r="H74" s="101"/>
      <c r="I74" s="101"/>
      <c r="J74" s="101"/>
      <c r="K74" s="101"/>
      <c r="L74" s="101"/>
      <c r="M74" s="129"/>
      <c r="N74" s="4"/>
      <c r="O74" s="4"/>
      <c r="P74" s="4"/>
      <c r="Q74" s="4"/>
      <c r="R74" s="4"/>
      <c r="S74" s="4"/>
      <c r="T74" s="4"/>
      <c r="U74" s="4"/>
      <c r="V74" s="4"/>
      <c r="W74" s="4"/>
      <c r="X74" s="4"/>
      <c r="Y74" s="4"/>
      <c r="Z74" s="4"/>
    </row>
    <row r="75" spans="1:26" ht="15.75" customHeight="1" x14ac:dyDescent="0.4">
      <c r="A75" s="4"/>
      <c r="B75" s="60" t="s">
        <v>146</v>
      </c>
      <c r="C75" s="128"/>
      <c r="D75" s="101"/>
      <c r="E75" s="101"/>
      <c r="F75" s="101"/>
      <c r="G75" s="101"/>
      <c r="H75" s="101"/>
      <c r="I75" s="101"/>
      <c r="J75" s="101"/>
      <c r="K75" s="101"/>
      <c r="L75" s="101"/>
      <c r="M75" s="129"/>
      <c r="N75" s="4"/>
      <c r="O75" s="4"/>
      <c r="P75" s="4"/>
      <c r="Q75" s="4"/>
      <c r="R75" s="4"/>
      <c r="S75" s="4"/>
      <c r="T75" s="4"/>
      <c r="U75" s="4"/>
      <c r="V75" s="4"/>
      <c r="W75" s="4"/>
      <c r="X75" s="4"/>
      <c r="Y75" s="4"/>
      <c r="Z75" s="4"/>
    </row>
    <row r="76" spans="1:26" ht="15.75" customHeight="1" x14ac:dyDescent="0.4">
      <c r="A76" s="4"/>
      <c r="B76" s="60" t="s">
        <v>147</v>
      </c>
      <c r="C76" s="128"/>
      <c r="D76" s="101"/>
      <c r="E76" s="101"/>
      <c r="F76" s="101"/>
      <c r="G76" s="101"/>
      <c r="H76" s="101"/>
      <c r="I76" s="101"/>
      <c r="J76" s="101"/>
      <c r="K76" s="101"/>
      <c r="L76" s="101"/>
      <c r="M76" s="129"/>
      <c r="N76" s="4"/>
      <c r="O76" s="4"/>
      <c r="P76" s="4"/>
      <c r="Q76" s="4"/>
      <c r="R76" s="4"/>
      <c r="S76" s="4"/>
      <c r="T76" s="4"/>
      <c r="U76" s="4"/>
      <c r="V76" s="4"/>
      <c r="W76" s="4"/>
      <c r="X76" s="4"/>
      <c r="Y76" s="4"/>
      <c r="Z76" s="4"/>
    </row>
    <row r="77" spans="1:26" ht="15.75" customHeight="1" x14ac:dyDescent="0.4">
      <c r="A77" s="4"/>
      <c r="B77" s="59" t="s">
        <v>140</v>
      </c>
      <c r="C77" s="128"/>
      <c r="D77" s="101"/>
      <c r="E77" s="101"/>
      <c r="F77" s="101"/>
      <c r="G77" s="101"/>
      <c r="H77" s="101"/>
      <c r="I77" s="101"/>
      <c r="J77" s="101"/>
      <c r="K77" s="101"/>
      <c r="L77" s="101"/>
      <c r="M77" s="129"/>
      <c r="N77" s="4"/>
      <c r="O77" s="4"/>
      <c r="P77" s="4"/>
      <c r="Q77" s="4"/>
      <c r="R77" s="4"/>
      <c r="S77" s="4"/>
      <c r="T77" s="4"/>
      <c r="U77" s="4"/>
      <c r="V77" s="4"/>
      <c r="W77" s="4"/>
      <c r="X77" s="4"/>
      <c r="Y77" s="4"/>
      <c r="Z77" s="4"/>
    </row>
    <row r="78" spans="1:26" ht="15.75" customHeight="1" x14ac:dyDescent="0.4">
      <c r="A78" s="4"/>
      <c r="B78" s="60" t="s">
        <v>142</v>
      </c>
      <c r="C78" s="128"/>
      <c r="D78" s="101"/>
      <c r="E78" s="101"/>
      <c r="F78" s="101"/>
      <c r="G78" s="101"/>
      <c r="H78" s="101"/>
      <c r="I78" s="101"/>
      <c r="J78" s="101"/>
      <c r="K78" s="101"/>
      <c r="L78" s="101"/>
      <c r="M78" s="129"/>
      <c r="N78" s="4"/>
      <c r="O78" s="4"/>
      <c r="P78" s="4"/>
      <c r="Q78" s="4"/>
      <c r="R78" s="4"/>
      <c r="S78" s="4"/>
      <c r="T78" s="4"/>
      <c r="U78" s="4"/>
      <c r="V78" s="4"/>
      <c r="W78" s="4"/>
      <c r="X78" s="4"/>
      <c r="Y78" s="4"/>
      <c r="Z78" s="4"/>
    </row>
    <row r="79" spans="1:26" ht="15.75" customHeight="1" x14ac:dyDescent="0.4">
      <c r="A79" s="4"/>
      <c r="B79" s="60" t="s">
        <v>144</v>
      </c>
      <c r="C79" s="128"/>
      <c r="D79" s="101"/>
      <c r="E79" s="101"/>
      <c r="F79" s="101"/>
      <c r="G79" s="101"/>
      <c r="H79" s="101"/>
      <c r="I79" s="101"/>
      <c r="J79" s="101"/>
      <c r="K79" s="101"/>
      <c r="L79" s="101"/>
      <c r="M79" s="129"/>
      <c r="N79" s="4"/>
      <c r="O79" s="4"/>
      <c r="P79" s="4"/>
      <c r="Q79" s="4"/>
      <c r="R79" s="4"/>
      <c r="S79" s="4"/>
      <c r="T79" s="4"/>
      <c r="U79" s="4"/>
      <c r="V79" s="4"/>
      <c r="W79" s="4"/>
      <c r="X79" s="4"/>
      <c r="Y79" s="4"/>
      <c r="Z79" s="4"/>
    </row>
    <row r="80" spans="1:26" ht="15.75" customHeight="1" x14ac:dyDescent="0.4">
      <c r="A80" s="4"/>
      <c r="B80" s="60" t="s">
        <v>146</v>
      </c>
      <c r="C80" s="128"/>
      <c r="D80" s="101"/>
      <c r="E80" s="101"/>
      <c r="F80" s="101"/>
      <c r="G80" s="101"/>
      <c r="H80" s="101"/>
      <c r="I80" s="101"/>
      <c r="J80" s="101"/>
      <c r="K80" s="101"/>
      <c r="L80" s="101"/>
      <c r="M80" s="129"/>
      <c r="N80" s="4"/>
      <c r="O80" s="4"/>
      <c r="P80" s="4"/>
      <c r="Q80" s="4"/>
      <c r="R80" s="4"/>
      <c r="S80" s="4"/>
      <c r="T80" s="4"/>
      <c r="U80" s="4"/>
      <c r="V80" s="4"/>
      <c r="W80" s="4"/>
      <c r="X80" s="4"/>
      <c r="Y80" s="4"/>
      <c r="Z80" s="4"/>
    </row>
    <row r="81" spans="1:26" ht="15.75" customHeight="1" x14ac:dyDescent="0.4">
      <c r="A81" s="4"/>
      <c r="B81" s="60" t="s">
        <v>147</v>
      </c>
      <c r="C81" s="128"/>
      <c r="D81" s="101"/>
      <c r="E81" s="101"/>
      <c r="F81" s="101"/>
      <c r="G81" s="101"/>
      <c r="H81" s="101"/>
      <c r="I81" s="101"/>
      <c r="J81" s="101"/>
      <c r="K81" s="101"/>
      <c r="L81" s="101"/>
      <c r="M81" s="129"/>
      <c r="N81" s="4"/>
      <c r="O81" s="4"/>
      <c r="P81" s="4"/>
      <c r="Q81" s="4"/>
      <c r="R81" s="4"/>
      <c r="S81" s="4"/>
      <c r="T81" s="4"/>
      <c r="U81" s="4"/>
      <c r="V81" s="4"/>
      <c r="W81" s="4"/>
      <c r="X81" s="4"/>
      <c r="Y81" s="4"/>
      <c r="Z81" s="4"/>
    </row>
    <row r="82" spans="1:26" ht="15.75" customHeight="1" x14ac:dyDescent="0.4">
      <c r="A82" s="4"/>
      <c r="B82" s="59" t="s">
        <v>140</v>
      </c>
      <c r="C82" s="128"/>
      <c r="D82" s="101"/>
      <c r="E82" s="101"/>
      <c r="F82" s="101"/>
      <c r="G82" s="101"/>
      <c r="H82" s="101"/>
      <c r="I82" s="101"/>
      <c r="J82" s="101"/>
      <c r="K82" s="101"/>
      <c r="L82" s="101"/>
      <c r="M82" s="129"/>
      <c r="N82" s="4"/>
      <c r="O82" s="4"/>
      <c r="P82" s="4"/>
      <c r="Q82" s="4"/>
      <c r="R82" s="4"/>
      <c r="S82" s="4"/>
      <c r="T82" s="4"/>
      <c r="U82" s="4"/>
      <c r="V82" s="4"/>
      <c r="W82" s="4"/>
      <c r="X82" s="4"/>
      <c r="Y82" s="4"/>
      <c r="Z82" s="4"/>
    </row>
    <row r="83" spans="1:26" ht="15.75" customHeight="1" x14ac:dyDescent="0.4">
      <c r="A83" s="4"/>
      <c r="B83" s="60" t="s">
        <v>142</v>
      </c>
      <c r="C83" s="128"/>
      <c r="D83" s="101"/>
      <c r="E83" s="101"/>
      <c r="F83" s="101"/>
      <c r="G83" s="101"/>
      <c r="H83" s="101"/>
      <c r="I83" s="101"/>
      <c r="J83" s="101"/>
      <c r="K83" s="101"/>
      <c r="L83" s="101"/>
      <c r="M83" s="129"/>
      <c r="N83" s="4"/>
      <c r="O83" s="4"/>
      <c r="P83" s="4"/>
      <c r="Q83" s="4"/>
      <c r="R83" s="4"/>
      <c r="S83" s="4"/>
      <c r="T83" s="4"/>
      <c r="U83" s="4"/>
      <c r="V83" s="4"/>
      <c r="W83" s="4"/>
      <c r="X83" s="4"/>
      <c r="Y83" s="4"/>
      <c r="Z83" s="4"/>
    </row>
    <row r="84" spans="1:26" ht="15.75" customHeight="1" x14ac:dyDescent="0.4">
      <c r="A84" s="4"/>
      <c r="B84" s="60" t="s">
        <v>144</v>
      </c>
      <c r="C84" s="128"/>
      <c r="D84" s="101"/>
      <c r="E84" s="101"/>
      <c r="F84" s="101"/>
      <c r="G84" s="101"/>
      <c r="H84" s="101"/>
      <c r="I84" s="101"/>
      <c r="J84" s="101"/>
      <c r="K84" s="101"/>
      <c r="L84" s="101"/>
      <c r="M84" s="129"/>
      <c r="N84" s="4"/>
      <c r="O84" s="4"/>
      <c r="P84" s="4"/>
      <c r="Q84" s="4"/>
      <c r="R84" s="4"/>
      <c r="S84" s="4"/>
      <c r="T84" s="4"/>
      <c r="U84" s="4"/>
      <c r="V84" s="4"/>
      <c r="W84" s="4"/>
      <c r="X84" s="4"/>
      <c r="Y84" s="4"/>
      <c r="Z84" s="4"/>
    </row>
    <row r="85" spans="1:26" ht="15.75" customHeight="1" x14ac:dyDescent="0.4">
      <c r="A85" s="4"/>
      <c r="B85" s="60" t="s">
        <v>146</v>
      </c>
      <c r="C85" s="128"/>
      <c r="D85" s="101"/>
      <c r="E85" s="101"/>
      <c r="F85" s="101"/>
      <c r="G85" s="101"/>
      <c r="H85" s="101"/>
      <c r="I85" s="101"/>
      <c r="J85" s="101"/>
      <c r="K85" s="101"/>
      <c r="L85" s="101"/>
      <c r="M85" s="129"/>
      <c r="N85" s="4"/>
      <c r="O85" s="4"/>
      <c r="P85" s="4"/>
      <c r="Q85" s="4"/>
      <c r="R85" s="4"/>
      <c r="S85" s="4"/>
      <c r="T85" s="4"/>
      <c r="U85" s="4"/>
      <c r="V85" s="4"/>
      <c r="W85" s="4"/>
      <c r="X85" s="4"/>
      <c r="Y85" s="4"/>
      <c r="Z85" s="4"/>
    </row>
    <row r="86" spans="1:26" ht="15.75" customHeight="1" x14ac:dyDescent="0.4">
      <c r="A86" s="4"/>
      <c r="B86" s="60" t="s">
        <v>147</v>
      </c>
      <c r="C86" s="128"/>
      <c r="D86" s="101"/>
      <c r="E86" s="101"/>
      <c r="F86" s="101"/>
      <c r="G86" s="101"/>
      <c r="H86" s="101"/>
      <c r="I86" s="101"/>
      <c r="J86" s="101"/>
      <c r="K86" s="101"/>
      <c r="L86" s="101"/>
      <c r="M86" s="129"/>
      <c r="N86" s="4"/>
      <c r="O86" s="4"/>
      <c r="P86" s="4"/>
      <c r="Q86" s="4"/>
      <c r="R86" s="4"/>
      <c r="S86" s="4"/>
      <c r="T86" s="4"/>
      <c r="U86" s="4"/>
      <c r="V86" s="4"/>
      <c r="W86" s="4"/>
      <c r="X86" s="4"/>
      <c r="Y86" s="4"/>
      <c r="Z86" s="4"/>
    </row>
    <row r="87" spans="1:26" ht="15.75" customHeight="1" x14ac:dyDescent="0.4">
      <c r="A87" s="4"/>
      <c r="B87" s="59" t="s">
        <v>140</v>
      </c>
      <c r="C87" s="128"/>
      <c r="D87" s="101"/>
      <c r="E87" s="101"/>
      <c r="F87" s="101"/>
      <c r="G87" s="101"/>
      <c r="H87" s="101"/>
      <c r="I87" s="101"/>
      <c r="J87" s="101"/>
      <c r="K87" s="101"/>
      <c r="L87" s="101"/>
      <c r="M87" s="129"/>
      <c r="N87" s="4"/>
      <c r="O87" s="4"/>
      <c r="P87" s="4"/>
      <c r="Q87" s="4"/>
      <c r="R87" s="4"/>
      <c r="S87" s="4"/>
      <c r="T87" s="4"/>
      <c r="U87" s="4"/>
      <c r="V87" s="4"/>
      <c r="W87" s="4"/>
      <c r="X87" s="4"/>
      <c r="Y87" s="4"/>
      <c r="Z87" s="4"/>
    </row>
    <row r="88" spans="1:26" ht="15.75" customHeight="1" x14ac:dyDescent="0.4">
      <c r="A88" s="4"/>
      <c r="B88" s="60" t="s">
        <v>142</v>
      </c>
      <c r="C88" s="128"/>
      <c r="D88" s="101"/>
      <c r="E88" s="101"/>
      <c r="F88" s="101"/>
      <c r="G88" s="101"/>
      <c r="H88" s="101"/>
      <c r="I88" s="101"/>
      <c r="J88" s="101"/>
      <c r="K88" s="101"/>
      <c r="L88" s="101"/>
      <c r="M88" s="129"/>
      <c r="N88" s="4"/>
      <c r="O88" s="4"/>
      <c r="P88" s="4"/>
      <c r="Q88" s="4"/>
      <c r="R88" s="4"/>
      <c r="S88" s="4"/>
      <c r="T88" s="4"/>
      <c r="U88" s="4"/>
      <c r="V88" s="4"/>
      <c r="W88" s="4"/>
      <c r="X88" s="4"/>
      <c r="Y88" s="4"/>
      <c r="Z88" s="4"/>
    </row>
    <row r="89" spans="1:26" ht="15.75" customHeight="1" x14ac:dyDescent="0.4">
      <c r="A89" s="4"/>
      <c r="B89" s="60" t="s">
        <v>144</v>
      </c>
      <c r="C89" s="128"/>
      <c r="D89" s="101"/>
      <c r="E89" s="101"/>
      <c r="F89" s="101"/>
      <c r="G89" s="101"/>
      <c r="H89" s="101"/>
      <c r="I89" s="101"/>
      <c r="J89" s="101"/>
      <c r="K89" s="101"/>
      <c r="L89" s="101"/>
      <c r="M89" s="129"/>
      <c r="N89" s="4"/>
      <c r="O89" s="4"/>
      <c r="P89" s="4"/>
      <c r="Q89" s="4"/>
      <c r="R89" s="4"/>
      <c r="S89" s="4"/>
      <c r="T89" s="4"/>
      <c r="U89" s="4"/>
      <c r="V89" s="4"/>
      <c r="W89" s="4"/>
      <c r="X89" s="4"/>
      <c r="Y89" s="4"/>
      <c r="Z89" s="4"/>
    </row>
    <row r="90" spans="1:26" ht="15.75" customHeight="1" x14ac:dyDescent="0.4">
      <c r="A90" s="4"/>
      <c r="B90" s="60" t="s">
        <v>146</v>
      </c>
      <c r="C90" s="128"/>
      <c r="D90" s="101"/>
      <c r="E90" s="101"/>
      <c r="F90" s="101"/>
      <c r="G90" s="101"/>
      <c r="H90" s="101"/>
      <c r="I90" s="101"/>
      <c r="J90" s="101"/>
      <c r="K90" s="101"/>
      <c r="L90" s="101"/>
      <c r="M90" s="129"/>
      <c r="N90" s="4"/>
      <c r="O90" s="4"/>
      <c r="P90" s="4"/>
      <c r="Q90" s="4"/>
      <c r="R90" s="4"/>
      <c r="S90" s="4"/>
      <c r="T90" s="4"/>
      <c r="U90" s="4"/>
      <c r="V90" s="4"/>
      <c r="W90" s="4"/>
      <c r="X90" s="4"/>
      <c r="Y90" s="4"/>
      <c r="Z90" s="4"/>
    </row>
    <row r="91" spans="1:26" ht="15.75" customHeight="1" x14ac:dyDescent="0.4">
      <c r="A91" s="4"/>
      <c r="B91" s="65" t="s">
        <v>147</v>
      </c>
      <c r="C91" s="130"/>
      <c r="D91" s="131"/>
      <c r="E91" s="131"/>
      <c r="F91" s="131"/>
      <c r="G91" s="131"/>
      <c r="H91" s="131"/>
      <c r="I91" s="131"/>
      <c r="J91" s="131"/>
      <c r="K91" s="131"/>
      <c r="L91" s="131"/>
      <c r="M91" s="132"/>
      <c r="N91" s="4"/>
      <c r="O91" s="4"/>
      <c r="P91" s="4"/>
      <c r="Q91" s="4"/>
      <c r="R91" s="4"/>
      <c r="S91" s="4"/>
      <c r="T91" s="4"/>
      <c r="U91" s="4"/>
      <c r="V91" s="4"/>
      <c r="W91" s="4"/>
      <c r="X91" s="4"/>
      <c r="Y91" s="4"/>
      <c r="Z91" s="4"/>
    </row>
    <row r="92" spans="1:26" ht="10.5" customHeight="1" x14ac:dyDescent="0.4">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x14ac:dyDescent="0.45">
      <c r="A93" s="4"/>
      <c r="B93" s="133" t="s">
        <v>170</v>
      </c>
      <c r="C93" s="121"/>
      <c r="D93" s="121"/>
      <c r="E93" s="121"/>
      <c r="F93" s="121"/>
      <c r="G93" s="121"/>
      <c r="H93" s="121"/>
      <c r="I93" s="121"/>
      <c r="J93" s="121"/>
      <c r="K93" s="121"/>
      <c r="L93" s="121"/>
      <c r="M93" s="122"/>
      <c r="N93" s="4"/>
      <c r="O93" s="4"/>
      <c r="P93" s="4"/>
      <c r="Q93" s="4"/>
      <c r="R93" s="4"/>
      <c r="S93" s="4"/>
      <c r="T93" s="4"/>
      <c r="U93" s="4"/>
      <c r="V93" s="4"/>
      <c r="W93" s="4"/>
      <c r="X93" s="4"/>
      <c r="Y93" s="4"/>
      <c r="Z93" s="4"/>
    </row>
    <row r="94" spans="1:26" ht="15.75" customHeight="1" x14ac:dyDescent="0.4">
      <c r="A94" s="4"/>
      <c r="B94" s="134" t="s">
        <v>172</v>
      </c>
      <c r="C94" s="101"/>
      <c r="D94" s="101"/>
      <c r="E94" s="101"/>
      <c r="F94" s="101"/>
      <c r="G94" s="102"/>
      <c r="H94" s="135" t="s">
        <v>173</v>
      </c>
      <c r="I94" s="101"/>
      <c r="J94" s="101"/>
      <c r="K94" s="101"/>
      <c r="L94" s="101"/>
      <c r="M94" s="129"/>
      <c r="N94" s="4"/>
      <c r="O94" s="4"/>
      <c r="P94" s="4"/>
      <c r="Q94" s="4"/>
      <c r="R94" s="4"/>
      <c r="S94" s="4"/>
      <c r="T94" s="4"/>
      <c r="U94" s="4"/>
      <c r="V94" s="4"/>
      <c r="W94" s="4"/>
      <c r="X94" s="4"/>
      <c r="Y94" s="4"/>
      <c r="Z94" s="4"/>
    </row>
    <row r="95" spans="1:26" ht="15.75" customHeight="1" x14ac:dyDescent="0.4">
      <c r="A95" s="67"/>
      <c r="B95" s="150"/>
      <c r="C95" s="101"/>
      <c r="D95" s="101"/>
      <c r="E95" s="101"/>
      <c r="F95" s="101"/>
      <c r="G95" s="102"/>
      <c r="H95" s="135"/>
      <c r="I95" s="101"/>
      <c r="J95" s="101"/>
      <c r="K95" s="101"/>
      <c r="L95" s="101"/>
      <c r="M95" s="129"/>
      <c r="N95" s="4"/>
      <c r="O95" s="4"/>
      <c r="P95" s="4"/>
      <c r="Q95" s="4"/>
      <c r="R95" s="4"/>
      <c r="S95" s="4"/>
      <c r="T95" s="4"/>
      <c r="U95" s="4"/>
      <c r="V95" s="4"/>
      <c r="W95" s="4"/>
      <c r="X95" s="4"/>
      <c r="Y95" s="4"/>
      <c r="Z95" s="4"/>
    </row>
    <row r="96" spans="1:26" ht="15.75" customHeight="1" x14ac:dyDescent="0.4">
      <c r="A96" s="67"/>
      <c r="B96" s="150"/>
      <c r="C96" s="101"/>
      <c r="D96" s="101"/>
      <c r="E96" s="101"/>
      <c r="F96" s="101"/>
      <c r="G96" s="102"/>
      <c r="H96" s="135"/>
      <c r="I96" s="101"/>
      <c r="J96" s="101"/>
      <c r="K96" s="101"/>
      <c r="L96" s="101"/>
      <c r="M96" s="129"/>
      <c r="N96" s="4"/>
      <c r="O96" s="4"/>
      <c r="P96" s="4"/>
      <c r="Q96" s="4"/>
      <c r="R96" s="4"/>
      <c r="S96" s="4"/>
      <c r="T96" s="4"/>
      <c r="U96" s="4"/>
      <c r="V96" s="4"/>
      <c r="W96" s="4"/>
      <c r="X96" s="4"/>
      <c r="Y96" s="4"/>
      <c r="Z96" s="4"/>
    </row>
    <row r="97" spans="1:26" ht="15.75" customHeight="1" x14ac:dyDescent="0.4">
      <c r="A97" s="67"/>
      <c r="B97" s="150"/>
      <c r="C97" s="101"/>
      <c r="D97" s="101"/>
      <c r="E97" s="101"/>
      <c r="F97" s="101"/>
      <c r="G97" s="102"/>
      <c r="H97" s="135"/>
      <c r="I97" s="101"/>
      <c r="J97" s="101"/>
      <c r="K97" s="101"/>
      <c r="L97" s="101"/>
      <c r="M97" s="129"/>
      <c r="N97" s="4"/>
      <c r="O97" s="4"/>
      <c r="P97" s="4"/>
      <c r="Q97" s="4"/>
      <c r="R97" s="4"/>
      <c r="S97" s="4"/>
      <c r="T97" s="4"/>
      <c r="U97" s="4"/>
      <c r="V97" s="4"/>
      <c r="W97" s="4"/>
      <c r="X97" s="4"/>
      <c r="Y97" s="4"/>
      <c r="Z97" s="4"/>
    </row>
    <row r="98" spans="1:26" ht="15.75" customHeight="1" x14ac:dyDescent="0.4">
      <c r="A98" s="67"/>
      <c r="B98" s="150"/>
      <c r="C98" s="101"/>
      <c r="D98" s="101"/>
      <c r="E98" s="101"/>
      <c r="F98" s="101"/>
      <c r="G98" s="102"/>
      <c r="H98" s="135"/>
      <c r="I98" s="101"/>
      <c r="J98" s="101"/>
      <c r="K98" s="101"/>
      <c r="L98" s="101"/>
      <c r="M98" s="129"/>
      <c r="N98" s="4"/>
      <c r="O98" s="4"/>
      <c r="P98" s="4"/>
      <c r="Q98" s="4"/>
      <c r="R98" s="4"/>
      <c r="S98" s="4"/>
      <c r="T98" s="4"/>
      <c r="U98" s="4"/>
      <c r="V98" s="4"/>
      <c r="W98" s="4"/>
      <c r="X98" s="4"/>
      <c r="Y98" s="4"/>
      <c r="Z98" s="4"/>
    </row>
    <row r="99" spans="1:26" ht="15.75" customHeight="1" x14ac:dyDescent="0.4">
      <c r="A99" s="67"/>
      <c r="B99" s="154"/>
      <c r="C99" s="131"/>
      <c r="D99" s="131"/>
      <c r="E99" s="131"/>
      <c r="F99" s="131"/>
      <c r="G99" s="138"/>
      <c r="H99" s="151"/>
      <c r="I99" s="131"/>
      <c r="J99" s="131"/>
      <c r="K99" s="131"/>
      <c r="L99" s="131"/>
      <c r="M99" s="132"/>
      <c r="N99" s="4"/>
      <c r="O99" s="4"/>
      <c r="P99" s="4"/>
      <c r="Q99" s="4"/>
      <c r="R99" s="4"/>
      <c r="S99" s="4"/>
      <c r="T99" s="4"/>
      <c r="U99" s="4"/>
      <c r="V99" s="4"/>
      <c r="W99" s="4"/>
      <c r="X99" s="4"/>
      <c r="Y99" s="4"/>
      <c r="Z99" s="4"/>
    </row>
    <row r="100" spans="1:26" ht="10.5" customHeight="1" x14ac:dyDescent="0.4">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7.25" customHeight="1" x14ac:dyDescent="0.4">
      <c r="A101" s="4"/>
      <c r="B101" s="139" t="s">
        <v>177</v>
      </c>
      <c r="C101" s="121"/>
      <c r="D101" s="121"/>
      <c r="E101" s="121"/>
      <c r="F101" s="121"/>
      <c r="G101" s="121"/>
      <c r="H101" s="121"/>
      <c r="I101" s="121"/>
      <c r="J101" s="121"/>
      <c r="K101" s="121"/>
      <c r="L101" s="121"/>
      <c r="M101" s="122"/>
      <c r="N101" s="4"/>
      <c r="O101" s="4"/>
      <c r="P101" s="4"/>
      <c r="Q101" s="4"/>
      <c r="R101" s="4"/>
      <c r="S101" s="4"/>
      <c r="T101" s="4"/>
      <c r="U101" s="4"/>
      <c r="V101" s="4"/>
      <c r="W101" s="4"/>
      <c r="X101" s="4"/>
      <c r="Y101" s="4"/>
      <c r="Z101" s="4"/>
    </row>
    <row r="102" spans="1:26" ht="15.75" customHeight="1" x14ac:dyDescent="0.4">
      <c r="A102" s="4"/>
      <c r="B102" s="152" t="s">
        <v>178</v>
      </c>
      <c r="C102" s="101"/>
      <c r="D102" s="101"/>
      <c r="E102" s="101"/>
      <c r="F102" s="102"/>
      <c r="G102" s="153" t="s">
        <v>179</v>
      </c>
      <c r="H102" s="101"/>
      <c r="I102" s="101"/>
      <c r="J102" s="101"/>
      <c r="K102" s="102"/>
      <c r="L102" s="69" t="s">
        <v>180</v>
      </c>
      <c r="M102" s="70" t="s">
        <v>181</v>
      </c>
      <c r="N102" s="4"/>
      <c r="O102" s="4"/>
      <c r="P102" s="4"/>
      <c r="Q102" s="4"/>
      <c r="R102" s="4"/>
      <c r="S102" s="4"/>
      <c r="T102" s="4"/>
      <c r="U102" s="4"/>
      <c r="V102" s="4"/>
      <c r="W102" s="4"/>
      <c r="X102" s="4"/>
      <c r="Y102" s="4"/>
      <c r="Z102" s="4"/>
    </row>
    <row r="103" spans="1:26" ht="15.75" customHeight="1" x14ac:dyDescent="0.4">
      <c r="A103" s="67"/>
      <c r="B103" s="136"/>
      <c r="C103" s="101"/>
      <c r="D103" s="101"/>
      <c r="E103" s="101"/>
      <c r="F103" s="102"/>
      <c r="G103" s="148"/>
      <c r="H103" s="101"/>
      <c r="I103" s="101"/>
      <c r="J103" s="101"/>
      <c r="K103" s="102"/>
      <c r="L103" s="21"/>
      <c r="M103" s="45"/>
      <c r="N103" s="4"/>
      <c r="O103" s="4"/>
      <c r="P103" s="4"/>
      <c r="Q103" s="4"/>
      <c r="R103" s="4"/>
      <c r="S103" s="4"/>
      <c r="T103" s="4"/>
      <c r="U103" s="4"/>
      <c r="V103" s="4"/>
      <c r="W103" s="4"/>
      <c r="X103" s="4"/>
      <c r="Y103" s="4"/>
      <c r="Z103" s="4"/>
    </row>
    <row r="104" spans="1:26" ht="15.75" customHeight="1" x14ac:dyDescent="0.4">
      <c r="A104" s="67"/>
      <c r="B104" s="136"/>
      <c r="C104" s="101"/>
      <c r="D104" s="101"/>
      <c r="E104" s="101"/>
      <c r="F104" s="102"/>
      <c r="G104" s="148"/>
      <c r="H104" s="101"/>
      <c r="I104" s="101"/>
      <c r="J104" s="101"/>
      <c r="K104" s="102"/>
      <c r="L104" s="21"/>
      <c r="M104" s="45"/>
      <c r="N104" s="4"/>
      <c r="O104" s="4"/>
      <c r="P104" s="4"/>
      <c r="Q104" s="4"/>
      <c r="R104" s="4"/>
      <c r="S104" s="4"/>
      <c r="T104" s="4"/>
      <c r="U104" s="4"/>
      <c r="V104" s="4"/>
      <c r="W104" s="4"/>
      <c r="X104" s="4"/>
      <c r="Y104" s="4"/>
      <c r="Z104" s="4"/>
    </row>
    <row r="105" spans="1:26" ht="15.75" customHeight="1" x14ac:dyDescent="0.4">
      <c r="A105" s="67"/>
      <c r="B105" s="136"/>
      <c r="C105" s="101"/>
      <c r="D105" s="101"/>
      <c r="E105" s="101"/>
      <c r="F105" s="102"/>
      <c r="G105" s="148"/>
      <c r="H105" s="101"/>
      <c r="I105" s="101"/>
      <c r="J105" s="101"/>
      <c r="K105" s="102"/>
      <c r="L105" s="21"/>
      <c r="M105" s="45"/>
      <c r="N105" s="4"/>
      <c r="O105" s="4"/>
      <c r="P105" s="4"/>
      <c r="Q105" s="4"/>
      <c r="R105" s="4"/>
      <c r="S105" s="4"/>
      <c r="T105" s="4"/>
      <c r="U105" s="4"/>
      <c r="V105" s="4"/>
      <c r="W105" s="4"/>
      <c r="X105" s="4"/>
      <c r="Y105" s="4"/>
      <c r="Z105" s="4"/>
    </row>
    <row r="106" spans="1:26" ht="15.75" customHeight="1" x14ac:dyDescent="0.4">
      <c r="A106" s="67"/>
      <c r="B106" s="136"/>
      <c r="C106" s="101"/>
      <c r="D106" s="101"/>
      <c r="E106" s="101"/>
      <c r="F106" s="102"/>
      <c r="G106" s="148"/>
      <c r="H106" s="101"/>
      <c r="I106" s="101"/>
      <c r="J106" s="101"/>
      <c r="K106" s="102"/>
      <c r="L106" s="21"/>
      <c r="M106" s="45"/>
      <c r="N106" s="4"/>
      <c r="O106" s="4"/>
      <c r="P106" s="4"/>
      <c r="Q106" s="4"/>
      <c r="R106" s="4"/>
      <c r="S106" s="4"/>
      <c r="T106" s="4"/>
      <c r="U106" s="4"/>
      <c r="V106" s="4"/>
      <c r="W106" s="4"/>
      <c r="X106" s="4"/>
      <c r="Y106" s="4"/>
      <c r="Z106" s="4"/>
    </row>
    <row r="107" spans="1:26" ht="15.75" customHeight="1" x14ac:dyDescent="0.4">
      <c r="A107" s="67"/>
      <c r="B107" s="137"/>
      <c r="C107" s="131"/>
      <c r="D107" s="131"/>
      <c r="E107" s="131"/>
      <c r="F107" s="138"/>
      <c r="G107" s="149"/>
      <c r="H107" s="131"/>
      <c r="I107" s="131"/>
      <c r="J107" s="131"/>
      <c r="K107" s="138"/>
      <c r="L107" s="71"/>
      <c r="M107" s="72"/>
      <c r="N107" s="4"/>
      <c r="O107" s="4"/>
      <c r="P107" s="4"/>
      <c r="Q107" s="4"/>
      <c r="R107" s="4"/>
      <c r="S107" s="4"/>
      <c r="T107" s="4"/>
      <c r="U107" s="4"/>
      <c r="V107" s="4"/>
      <c r="W107" s="4"/>
      <c r="X107" s="4"/>
      <c r="Y107" s="4"/>
      <c r="Z107" s="4"/>
    </row>
    <row r="108" spans="1:26" ht="15.75" customHeight="1" x14ac:dyDescent="0.4">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4">
      <c r="A109" s="4"/>
      <c r="B109" s="139" t="s">
        <v>188</v>
      </c>
      <c r="C109" s="121"/>
      <c r="D109" s="121"/>
      <c r="E109" s="121"/>
      <c r="F109" s="121"/>
      <c r="G109" s="121"/>
      <c r="H109" s="121"/>
      <c r="I109" s="121"/>
      <c r="J109" s="121"/>
      <c r="K109" s="121"/>
      <c r="L109" s="121"/>
      <c r="M109" s="122"/>
      <c r="N109" s="4"/>
      <c r="O109" s="4"/>
      <c r="P109" s="4"/>
      <c r="Q109" s="4"/>
      <c r="R109" s="4"/>
      <c r="S109" s="4"/>
      <c r="T109" s="4"/>
      <c r="U109" s="4"/>
      <c r="V109" s="4"/>
      <c r="W109" s="4"/>
      <c r="X109" s="4"/>
      <c r="Y109" s="4"/>
      <c r="Z109" s="4"/>
    </row>
    <row r="110" spans="1:26" ht="15.75" customHeight="1" x14ac:dyDescent="0.4">
      <c r="A110" s="4"/>
      <c r="B110" s="140" t="s">
        <v>190</v>
      </c>
      <c r="C110" s="104"/>
      <c r="D110" s="104"/>
      <c r="E110" s="104"/>
      <c r="F110" s="104"/>
      <c r="G110" s="104"/>
      <c r="H110" s="104"/>
      <c r="I110" s="104"/>
      <c r="J110" s="104"/>
      <c r="K110" s="104"/>
      <c r="L110" s="104"/>
      <c r="M110" s="124"/>
      <c r="N110" s="4"/>
      <c r="O110" s="4"/>
      <c r="P110" s="4"/>
      <c r="Q110" s="4"/>
      <c r="R110" s="4"/>
      <c r="S110" s="4"/>
      <c r="T110" s="4"/>
      <c r="U110" s="4"/>
      <c r="V110" s="4"/>
      <c r="W110" s="4"/>
      <c r="X110" s="4"/>
      <c r="Y110" s="4"/>
      <c r="Z110" s="4"/>
    </row>
    <row r="111" spans="1:26" ht="15.75" customHeight="1" x14ac:dyDescent="0.4">
      <c r="A111" s="4"/>
      <c r="B111" s="141" t="s">
        <v>192</v>
      </c>
      <c r="C111" s="142"/>
      <c r="D111" s="142"/>
      <c r="E111" s="142"/>
      <c r="F111" s="142"/>
      <c r="G111" s="142"/>
      <c r="H111" s="142"/>
      <c r="I111" s="143"/>
      <c r="J111" s="147" t="s">
        <v>193</v>
      </c>
      <c r="K111" s="102"/>
      <c r="L111" s="147" t="s">
        <v>194</v>
      </c>
      <c r="M111" s="129"/>
      <c r="N111" s="4"/>
      <c r="O111" s="4"/>
      <c r="P111" s="4"/>
      <c r="Q111" s="4"/>
      <c r="R111" s="4"/>
      <c r="S111" s="4"/>
      <c r="T111" s="4"/>
      <c r="U111" s="4"/>
      <c r="V111" s="4"/>
      <c r="W111" s="4"/>
      <c r="X111" s="4"/>
      <c r="Y111" s="4"/>
      <c r="Z111" s="4"/>
    </row>
    <row r="112" spans="1:26" ht="15.75" customHeight="1" x14ac:dyDescent="0.4">
      <c r="A112" s="4"/>
      <c r="B112" s="144"/>
      <c r="C112" s="145"/>
      <c r="D112" s="145"/>
      <c r="E112" s="145"/>
      <c r="F112" s="145"/>
      <c r="G112" s="145"/>
      <c r="H112" s="145"/>
      <c r="I112" s="146"/>
      <c r="J112" s="73" t="s">
        <v>195</v>
      </c>
      <c r="K112" s="73" t="s">
        <v>196</v>
      </c>
      <c r="L112" s="73" t="s">
        <v>195</v>
      </c>
      <c r="M112" s="74" t="s">
        <v>196</v>
      </c>
      <c r="N112" s="4"/>
      <c r="O112" s="4"/>
      <c r="P112" s="4"/>
      <c r="Q112" s="4"/>
      <c r="R112" s="4"/>
      <c r="S112" s="4"/>
      <c r="T112" s="4"/>
      <c r="U112" s="4"/>
      <c r="V112" s="4"/>
      <c r="W112" s="4"/>
      <c r="X112" s="4"/>
      <c r="Y112" s="4"/>
      <c r="Z112" s="4"/>
    </row>
    <row r="113" spans="1:26" ht="15.75" customHeight="1" x14ac:dyDescent="0.4">
      <c r="A113" s="4"/>
      <c r="B113" s="136" t="s">
        <v>197</v>
      </c>
      <c r="C113" s="101"/>
      <c r="D113" s="101"/>
      <c r="E113" s="101"/>
      <c r="F113" s="101"/>
      <c r="G113" s="101"/>
      <c r="H113" s="101"/>
      <c r="I113" s="102"/>
      <c r="J113" s="75"/>
      <c r="K113" s="75"/>
      <c r="L113" s="75"/>
      <c r="M113" s="76"/>
      <c r="N113" s="4"/>
      <c r="O113" s="4"/>
      <c r="P113" s="4"/>
      <c r="Q113" s="4"/>
      <c r="R113" s="4"/>
      <c r="S113" s="4"/>
      <c r="T113" s="4"/>
      <c r="U113" s="4"/>
      <c r="V113" s="4"/>
      <c r="W113" s="4"/>
      <c r="X113" s="4"/>
      <c r="Y113" s="4"/>
      <c r="Z113" s="4"/>
    </row>
    <row r="114" spans="1:26" ht="15.75" customHeight="1" x14ac:dyDescent="0.4">
      <c r="A114" s="4"/>
      <c r="B114" s="136" t="s">
        <v>198</v>
      </c>
      <c r="C114" s="101"/>
      <c r="D114" s="101"/>
      <c r="E114" s="101"/>
      <c r="F114" s="101"/>
      <c r="G114" s="101"/>
      <c r="H114" s="101"/>
      <c r="I114" s="102"/>
      <c r="J114" s="77"/>
      <c r="K114" s="77"/>
      <c r="L114" s="77"/>
      <c r="M114" s="78"/>
      <c r="N114" s="4"/>
      <c r="O114" s="4"/>
      <c r="P114" s="4"/>
      <c r="Q114" s="4"/>
      <c r="R114" s="4"/>
      <c r="S114" s="4"/>
      <c r="T114" s="4"/>
      <c r="U114" s="4"/>
      <c r="V114" s="4"/>
      <c r="W114" s="4"/>
      <c r="X114" s="4"/>
      <c r="Y114" s="4"/>
      <c r="Z114" s="4"/>
    </row>
    <row r="115" spans="1:26" ht="15.75" customHeight="1" x14ac:dyDescent="0.4">
      <c r="A115" s="4"/>
      <c r="B115" s="136" t="s">
        <v>199</v>
      </c>
      <c r="C115" s="101"/>
      <c r="D115" s="101"/>
      <c r="E115" s="101"/>
      <c r="F115" s="101"/>
      <c r="G115" s="101"/>
      <c r="H115" s="101"/>
      <c r="I115" s="102"/>
      <c r="J115" s="77"/>
      <c r="K115" s="77"/>
      <c r="L115" s="77"/>
      <c r="M115" s="78"/>
      <c r="N115" s="4"/>
      <c r="O115" s="4"/>
      <c r="P115" s="4"/>
      <c r="Q115" s="4"/>
      <c r="R115" s="4"/>
      <c r="S115" s="4"/>
      <c r="T115" s="4"/>
      <c r="U115" s="4"/>
      <c r="V115" s="4"/>
      <c r="W115" s="4"/>
      <c r="X115" s="4"/>
      <c r="Y115" s="4"/>
      <c r="Z115" s="4"/>
    </row>
    <row r="116" spans="1:26" ht="15.75" customHeight="1" x14ac:dyDescent="0.4">
      <c r="A116" s="4"/>
      <c r="B116" s="136" t="s">
        <v>200</v>
      </c>
      <c r="C116" s="101"/>
      <c r="D116" s="101"/>
      <c r="E116" s="101"/>
      <c r="F116" s="101"/>
      <c r="G116" s="101"/>
      <c r="H116" s="101"/>
      <c r="I116" s="102"/>
      <c r="J116" s="77"/>
      <c r="K116" s="77"/>
      <c r="L116" s="77"/>
      <c r="M116" s="78"/>
      <c r="N116" s="4"/>
      <c r="O116" s="4"/>
      <c r="P116" s="4"/>
      <c r="Q116" s="4"/>
      <c r="R116" s="4"/>
      <c r="S116" s="4"/>
      <c r="T116" s="4"/>
      <c r="U116" s="4"/>
      <c r="V116" s="4"/>
      <c r="W116" s="4"/>
      <c r="X116" s="4"/>
      <c r="Y116" s="4"/>
      <c r="Z116" s="4"/>
    </row>
    <row r="117" spans="1:26" ht="15.75" customHeight="1" x14ac:dyDescent="0.4">
      <c r="A117" s="4"/>
      <c r="B117" s="136" t="s">
        <v>202</v>
      </c>
      <c r="C117" s="101"/>
      <c r="D117" s="101"/>
      <c r="E117" s="101"/>
      <c r="F117" s="101"/>
      <c r="G117" s="101"/>
      <c r="H117" s="101"/>
      <c r="I117" s="102"/>
      <c r="J117" s="77"/>
      <c r="K117" s="77"/>
      <c r="L117" s="77"/>
      <c r="M117" s="78"/>
      <c r="N117" s="4"/>
      <c r="O117" s="4"/>
      <c r="P117" s="4"/>
      <c r="Q117" s="4"/>
      <c r="R117" s="4"/>
      <c r="S117" s="4"/>
      <c r="T117" s="4"/>
      <c r="U117" s="4"/>
      <c r="V117" s="4"/>
      <c r="W117" s="4"/>
      <c r="X117" s="4"/>
      <c r="Y117" s="4"/>
      <c r="Z117" s="4"/>
    </row>
    <row r="118" spans="1:26" ht="15.75" customHeight="1" x14ac:dyDescent="0.4">
      <c r="A118" s="4"/>
      <c r="B118" s="136" t="s">
        <v>203</v>
      </c>
      <c r="C118" s="101"/>
      <c r="D118" s="101"/>
      <c r="E118" s="101"/>
      <c r="F118" s="101"/>
      <c r="G118" s="101"/>
      <c r="H118" s="101"/>
      <c r="I118" s="102"/>
      <c r="J118" s="77"/>
      <c r="K118" s="77"/>
      <c r="L118" s="77"/>
      <c r="M118" s="78"/>
      <c r="N118" s="4"/>
      <c r="O118" s="4"/>
      <c r="P118" s="4"/>
      <c r="Q118" s="4"/>
      <c r="R118" s="4"/>
      <c r="S118" s="4"/>
      <c r="T118" s="4"/>
      <c r="U118" s="4"/>
      <c r="V118" s="4"/>
      <c r="W118" s="4"/>
      <c r="X118" s="4"/>
      <c r="Y118" s="4"/>
      <c r="Z118" s="4"/>
    </row>
    <row r="119" spans="1:26" ht="15.75" customHeight="1" x14ac:dyDescent="0.4">
      <c r="A119" s="4"/>
      <c r="B119" s="136" t="s">
        <v>205</v>
      </c>
      <c r="C119" s="101"/>
      <c r="D119" s="101"/>
      <c r="E119" s="101"/>
      <c r="F119" s="101"/>
      <c r="G119" s="101"/>
      <c r="H119" s="101"/>
      <c r="I119" s="102"/>
      <c r="J119" s="77"/>
      <c r="K119" s="77"/>
      <c r="L119" s="77"/>
      <c r="M119" s="78"/>
      <c r="N119" s="4"/>
      <c r="O119" s="4"/>
      <c r="P119" s="4"/>
      <c r="Q119" s="4"/>
      <c r="R119" s="4"/>
      <c r="S119" s="4"/>
      <c r="T119" s="4"/>
      <c r="U119" s="4"/>
      <c r="V119" s="4"/>
      <c r="W119" s="4"/>
      <c r="X119" s="4"/>
      <c r="Y119" s="4"/>
      <c r="Z119" s="4"/>
    </row>
    <row r="120" spans="1:26" ht="15.75" customHeight="1" x14ac:dyDescent="0.4">
      <c r="A120" s="4"/>
      <c r="B120" s="136" t="s">
        <v>207</v>
      </c>
      <c r="C120" s="101"/>
      <c r="D120" s="101"/>
      <c r="E120" s="101"/>
      <c r="F120" s="101"/>
      <c r="G120" s="101"/>
      <c r="H120" s="101"/>
      <c r="I120" s="102"/>
      <c r="J120" s="77"/>
      <c r="K120" s="77"/>
      <c r="L120" s="77"/>
      <c r="M120" s="78"/>
      <c r="N120" s="4"/>
      <c r="O120" s="4"/>
      <c r="P120" s="4"/>
      <c r="Q120" s="4"/>
      <c r="R120" s="4"/>
      <c r="S120" s="4"/>
      <c r="T120" s="4"/>
      <c r="U120" s="4"/>
      <c r="V120" s="4"/>
      <c r="W120" s="4"/>
      <c r="X120" s="4"/>
      <c r="Y120" s="4"/>
      <c r="Z120" s="4"/>
    </row>
    <row r="121" spans="1:26" ht="15.75" customHeight="1" x14ac:dyDescent="0.4">
      <c r="A121" s="4"/>
      <c r="B121" s="137" t="s">
        <v>208</v>
      </c>
      <c r="C121" s="131"/>
      <c r="D121" s="131"/>
      <c r="E121" s="131"/>
      <c r="F121" s="131"/>
      <c r="G121" s="131"/>
      <c r="H121" s="131"/>
      <c r="I121" s="138"/>
      <c r="J121" s="79"/>
      <c r="K121" s="79"/>
      <c r="L121" s="79"/>
      <c r="M121" s="80"/>
      <c r="N121" s="4"/>
      <c r="O121" s="4"/>
      <c r="P121" s="4"/>
      <c r="Q121" s="4"/>
      <c r="R121" s="4"/>
      <c r="S121" s="4"/>
      <c r="T121" s="4"/>
      <c r="U121" s="4"/>
      <c r="V121" s="4"/>
      <c r="W121" s="4"/>
      <c r="X121" s="4"/>
      <c r="Y121" s="4"/>
      <c r="Z121" s="4"/>
    </row>
    <row r="122" spans="1:26" ht="15.75" customHeight="1" x14ac:dyDescent="0.4">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4">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4">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4">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4">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4">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4">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4">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4">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4">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4">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4">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4">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4">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4">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4">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4">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4">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4">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4">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4">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4">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4">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4">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4">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4">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4">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4">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4">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4">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4">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4">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4">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4">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4">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4">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4">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4">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4">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4">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4">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4">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4">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4">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4">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4">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4">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4">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4">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4">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4">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4">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4">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4">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4">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4">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4">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4">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4">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4">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4">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4">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4">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4">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4">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4">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4">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4">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4">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4">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4">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4">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4">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4">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4">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4">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4">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4">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4">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4">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4">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4">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4">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4">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4">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4">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4">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4">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4">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4">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4">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4">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4">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4">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4">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4">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4">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4">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4">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4">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4">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4">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4">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4">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4">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4">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4">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4">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4">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4">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4">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4">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4">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4">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4">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4">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4">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4">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4">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4">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4">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4">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4">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4">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4">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4">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4">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4">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4">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4">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4">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4">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4">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4">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4">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4">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4">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4">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4">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4">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4">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4">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4">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4">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4">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4">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4">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4">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4">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4">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4">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4">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4">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4">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4">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4">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4">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4">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4">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4">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4">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4">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4">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4">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4">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4">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4">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4">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4">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4">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4">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4">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4">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4">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4">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4">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4">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4">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4">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4">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4">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4">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4">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4">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4">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4">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4">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4">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4">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4">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4">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4">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4">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4">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4">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4">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4">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4">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4">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4">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4">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4">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4">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4">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4">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4">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4">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4">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4">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4">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4">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4">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4">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4">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4">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4">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4">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4">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4">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4">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4">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4">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4">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4">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4">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4">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4">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4">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4">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4">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4">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4">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4">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4">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4">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4">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4">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4">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4">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4">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4">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4">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4">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4">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4">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4">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4">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4">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4">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4">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4">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4">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4">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4">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4">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4">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4">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4">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4">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4">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4">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4">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4">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4">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4">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4">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4">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4">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4">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4">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4">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4">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4">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4">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4">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4">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4">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4">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4">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4">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4">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4">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4">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4">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4">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4">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4">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4">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4">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4">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4">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4">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4">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4">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4">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4">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4">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4">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4">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4">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4">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4">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4">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4">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4">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4">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4">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4">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4">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4">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4">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4">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4">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4">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4">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4">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4">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4">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4">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4">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4">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4">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4">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4">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4">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4">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4">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4">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4">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4">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4">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4">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4">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4">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4">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4">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4">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4">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4">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4">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4">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4">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4">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4">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4">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4">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4">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4">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4">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4">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4">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4">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4">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4">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4">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4">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4">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4">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4">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4">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4">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4">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4">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4">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4">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4">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4">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4">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4">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4">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4">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4">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4">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4">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4">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4">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4">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4">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4">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4">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4">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4">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4">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4">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4">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4">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4">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4">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4">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4">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4">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4">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4">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4">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4">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4">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4">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4">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4">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4">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4">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4">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4">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4">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4">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4">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4">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4">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4">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4">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4">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4">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4">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4">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4">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4">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4">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4">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4">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4">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4">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4">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4">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4">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4">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4">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4">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4">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4">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4">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4">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4">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4">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4">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4">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4">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4">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4">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4">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4">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4">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4">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4">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4">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4">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4">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4">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4">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4">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4">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4">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4">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4">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4">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4">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4">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4">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4">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4">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4">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4">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4">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4">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4">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4">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4">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4">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4">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4">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4">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4">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4">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4">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4">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4">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4">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4">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4">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4">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4">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4">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4">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4">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4">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4">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4">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4">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4">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4">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4">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4">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4">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4">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4">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4">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4">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4">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4">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4">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4">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4">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4">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4">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4">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4">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4">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4">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4">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4">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4">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4">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4">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4">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4">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4">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4">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4">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4">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4">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4">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4">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4">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4">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4">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4">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4">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4">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4">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4">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4">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4">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4">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4">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4">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4">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4">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4">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4">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4">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4">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4">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4">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4">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4">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4">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4">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4">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4">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4">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4">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4">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4">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4">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4">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4">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4">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4">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4">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4">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4">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4">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4">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4">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4">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4">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4">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4">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4">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4">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4">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4">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4">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4">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4">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4">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4">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4">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4">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4">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4">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4">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4">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4">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4">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4">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4">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4">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4">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4">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4">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4">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4">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4">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4">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4">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4">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4">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4">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4">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4">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4">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4">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4">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4">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4">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4">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4">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4">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4">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4">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4">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4">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4">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4">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4">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4">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4">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4">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4">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4">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4">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4">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4">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4">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4">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4">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4">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4">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4">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4">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4">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4">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4">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4">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4">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4">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4">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4">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4">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4">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4">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4">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4">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4">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4">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4">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4">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4">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4">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4">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4">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4">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4">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4">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4">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4">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4">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4">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4">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4">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4">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4">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4">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4">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4">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4">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4">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4">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4">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4">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4">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4">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4">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4">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4">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4">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4">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4">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4">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4">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4">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4">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4">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4">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4">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4">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4">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4">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4">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4">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4">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4">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4">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4">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4">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4">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4">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4">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4">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4">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4">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4">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4">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4">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4">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4">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4">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4">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4">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4">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4">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4">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4">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4">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4">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4">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4">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4">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4">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4">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4">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4">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4">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4">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4">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4">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4">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4">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4">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4">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4">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4">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4">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4">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4">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4">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4">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4">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4">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4">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4">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4">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4">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4">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4">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4">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4">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4">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4">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4">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4">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4">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4">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4">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4">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4">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4">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4">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4">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4">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4">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4">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4">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4">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4">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4">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4">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4">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4">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4">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4">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4">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4">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4">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4">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4">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4">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4">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4">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4">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4">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4">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4">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4">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4">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4">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4">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4">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4">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4">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4">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32">
    <mergeCell ref="C25:M25"/>
    <mergeCell ref="C28:M28"/>
    <mergeCell ref="C29:M29"/>
    <mergeCell ref="E30:M30"/>
    <mergeCell ref="B31:B32"/>
    <mergeCell ref="E31:M31"/>
    <mergeCell ref="E32:M32"/>
    <mergeCell ref="B33:B36"/>
    <mergeCell ref="C35:M35"/>
    <mergeCell ref="C36:M36"/>
    <mergeCell ref="C16:M16"/>
    <mergeCell ref="C17:M17"/>
    <mergeCell ref="C18:M18"/>
    <mergeCell ref="C19:M19"/>
    <mergeCell ref="C20:M20"/>
    <mergeCell ref="C21:M21"/>
    <mergeCell ref="C22:M22"/>
    <mergeCell ref="C23:M23"/>
    <mergeCell ref="C24:M24"/>
    <mergeCell ref="B7:M7"/>
    <mergeCell ref="B8:M8"/>
    <mergeCell ref="B9:E9"/>
    <mergeCell ref="B10:M10"/>
    <mergeCell ref="C11:M11"/>
    <mergeCell ref="C12:M12"/>
    <mergeCell ref="C13:M13"/>
    <mergeCell ref="C14:M14"/>
    <mergeCell ref="C15:M15"/>
    <mergeCell ref="C26:M26"/>
    <mergeCell ref="C27:M27"/>
    <mergeCell ref="C33:M33"/>
    <mergeCell ref="C34:M34"/>
    <mergeCell ref="F41:F42"/>
    <mergeCell ref="H41:H42"/>
    <mergeCell ref="D44:D45"/>
    <mergeCell ref="F44:F45"/>
    <mergeCell ref="H44:H45"/>
    <mergeCell ref="J41:J42"/>
    <mergeCell ref="L41:L42"/>
    <mergeCell ref="J44:J45"/>
    <mergeCell ref="L44:L45"/>
    <mergeCell ref="C43:M43"/>
    <mergeCell ref="C37:M37"/>
    <mergeCell ref="C38:M38"/>
    <mergeCell ref="C39:M39"/>
    <mergeCell ref="C40:M40"/>
    <mergeCell ref="D41:D42"/>
    <mergeCell ref="C46:M46"/>
    <mergeCell ref="K47:M47"/>
    <mergeCell ref="C48:M48"/>
    <mergeCell ref="C49:M49"/>
    <mergeCell ref="C50:M50"/>
    <mergeCell ref="C51:M51"/>
    <mergeCell ref="B95:G95"/>
    <mergeCell ref="H95:M95"/>
    <mergeCell ref="B96:G96"/>
    <mergeCell ref="H96:M96"/>
    <mergeCell ref="C52:M52"/>
    <mergeCell ref="C53:M53"/>
    <mergeCell ref="C54:M54"/>
    <mergeCell ref="C55:M55"/>
    <mergeCell ref="C56:M56"/>
    <mergeCell ref="C57:M57"/>
    <mergeCell ref="C58:M58"/>
    <mergeCell ref="C59:M59"/>
    <mergeCell ref="C60:M60"/>
    <mergeCell ref="C61:M61"/>
    <mergeCell ref="C62:M62"/>
    <mergeCell ref="C63:M63"/>
    <mergeCell ref="C64:M64"/>
    <mergeCell ref="B66:M66"/>
    <mergeCell ref="B97:G97"/>
    <mergeCell ref="H97:M97"/>
    <mergeCell ref="H98:M98"/>
    <mergeCell ref="H99:M99"/>
    <mergeCell ref="B101:M101"/>
    <mergeCell ref="B102:F102"/>
    <mergeCell ref="G102:K102"/>
    <mergeCell ref="B103:F103"/>
    <mergeCell ref="G103:K103"/>
    <mergeCell ref="B98:G98"/>
    <mergeCell ref="B99:G99"/>
    <mergeCell ref="G104:K104"/>
    <mergeCell ref="B104:F104"/>
    <mergeCell ref="B105:F105"/>
    <mergeCell ref="G105:K105"/>
    <mergeCell ref="B106:F106"/>
    <mergeCell ref="G106:K106"/>
    <mergeCell ref="B107:F107"/>
    <mergeCell ref="G107:K107"/>
    <mergeCell ref="B115:I115"/>
    <mergeCell ref="B116:I116"/>
    <mergeCell ref="B117:I117"/>
    <mergeCell ref="B118:I118"/>
    <mergeCell ref="B119:I119"/>
    <mergeCell ref="B120:I120"/>
    <mergeCell ref="B121:I121"/>
    <mergeCell ref="B109:M109"/>
    <mergeCell ref="B110:M110"/>
    <mergeCell ref="B111:I112"/>
    <mergeCell ref="J111:K111"/>
    <mergeCell ref="L111:M111"/>
    <mergeCell ref="B113:I113"/>
    <mergeCell ref="B114:I114"/>
    <mergeCell ref="C67:M67"/>
    <mergeCell ref="C68:M68"/>
    <mergeCell ref="C69:M69"/>
    <mergeCell ref="C70:M70"/>
    <mergeCell ref="C71:M71"/>
    <mergeCell ref="C72:M72"/>
    <mergeCell ref="C73:M73"/>
    <mergeCell ref="C74:M74"/>
    <mergeCell ref="C75:M75"/>
    <mergeCell ref="C76:M76"/>
    <mergeCell ref="C77:M77"/>
    <mergeCell ref="C78:M78"/>
    <mergeCell ref="C79:M79"/>
    <mergeCell ref="C80:M80"/>
    <mergeCell ref="C81:M81"/>
    <mergeCell ref="C82:M82"/>
    <mergeCell ref="C83:M83"/>
    <mergeCell ref="C84:M84"/>
    <mergeCell ref="C85:M85"/>
    <mergeCell ref="C86:M86"/>
    <mergeCell ref="C87:M87"/>
    <mergeCell ref="C88:M88"/>
    <mergeCell ref="C89:M89"/>
    <mergeCell ref="C90:M90"/>
    <mergeCell ref="C91:M91"/>
    <mergeCell ref="B93:M93"/>
    <mergeCell ref="B94:G94"/>
    <mergeCell ref="H94:M94"/>
  </mergeCells>
  <pageMargins left="0.75" right="0.75" top="1" bottom="1" header="0" footer="0"/>
  <pageSetup fitToHeight="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BD4B4"/>
    <pageSetUpPr fitToPage="1"/>
  </sheetPr>
  <dimension ref="A1:Z1000"/>
  <sheetViews>
    <sheetView topLeftCell="B143" workbookViewId="0">
      <selection activeCell="D134" sqref="D134"/>
    </sheetView>
  </sheetViews>
  <sheetFormatPr baseColWidth="10" defaultColWidth="12.6328125" defaultRowHeight="15" customHeight="1" x14ac:dyDescent="0.25"/>
  <cols>
    <col min="1" max="1" width="11.453125" customWidth="1"/>
    <col min="2" max="2" width="7" customWidth="1"/>
    <col min="3" max="3" width="108.7265625" customWidth="1"/>
    <col min="4" max="4" width="12.7265625" customWidth="1"/>
    <col min="5" max="5" width="11.7265625" customWidth="1"/>
    <col min="6" max="6" width="25.08984375" customWidth="1"/>
    <col min="7" max="7" width="13.453125" customWidth="1"/>
    <col min="8" max="8" width="63.08984375" customWidth="1"/>
    <col min="9" max="9" width="11.453125" customWidth="1"/>
    <col min="10" max="26" width="9.08984375" customWidth="1"/>
  </cols>
  <sheetData>
    <row r="1" spans="1:26" ht="14.25" customHeight="1" x14ac:dyDescent="0.35">
      <c r="A1" s="3"/>
      <c r="B1" s="3"/>
      <c r="C1" s="3"/>
      <c r="D1" s="3"/>
      <c r="E1" s="3"/>
      <c r="F1" s="3"/>
      <c r="G1" s="3"/>
      <c r="H1" s="3"/>
      <c r="I1" s="3"/>
      <c r="J1" s="3"/>
      <c r="K1" s="3"/>
      <c r="L1" s="3"/>
      <c r="M1" s="3"/>
      <c r="N1" s="3"/>
      <c r="O1" s="3"/>
      <c r="P1" s="3"/>
      <c r="Q1" s="3"/>
      <c r="R1" s="3"/>
      <c r="S1" s="3"/>
      <c r="T1" s="3"/>
      <c r="U1" s="3"/>
      <c r="V1" s="3"/>
      <c r="W1" s="3"/>
      <c r="X1" s="3"/>
      <c r="Y1" s="3"/>
      <c r="Z1" s="3"/>
    </row>
    <row r="2" spans="1:26" ht="14.25" customHeight="1" x14ac:dyDescent="0.35">
      <c r="A2" s="3"/>
      <c r="B2" s="3"/>
      <c r="C2" s="3"/>
      <c r="D2" s="3"/>
      <c r="E2" s="3"/>
      <c r="F2" s="3"/>
      <c r="G2" s="3"/>
      <c r="H2" s="3"/>
      <c r="I2" s="3"/>
      <c r="J2" s="3"/>
      <c r="K2" s="3"/>
      <c r="L2" s="3"/>
      <c r="M2" s="3"/>
      <c r="N2" s="3"/>
      <c r="O2" s="3"/>
      <c r="P2" s="3"/>
      <c r="Q2" s="3"/>
      <c r="R2" s="3"/>
      <c r="S2" s="3"/>
      <c r="T2" s="3"/>
      <c r="U2" s="3"/>
      <c r="V2" s="3"/>
      <c r="W2" s="3"/>
      <c r="X2" s="3"/>
      <c r="Y2" s="3"/>
      <c r="Z2" s="3"/>
    </row>
    <row r="3" spans="1:26" ht="14.25" customHeight="1" x14ac:dyDescent="0.35">
      <c r="A3" s="3"/>
      <c r="B3" s="3"/>
      <c r="C3" s="3"/>
      <c r="D3" s="3"/>
      <c r="E3" s="3"/>
      <c r="F3" s="3"/>
      <c r="G3" s="3"/>
      <c r="H3" s="3"/>
      <c r="I3" s="3"/>
      <c r="J3" s="3"/>
      <c r="K3" s="3"/>
      <c r="L3" s="3"/>
      <c r="M3" s="3"/>
      <c r="N3" s="3"/>
      <c r="O3" s="3"/>
      <c r="P3" s="3"/>
      <c r="Q3" s="3"/>
      <c r="R3" s="3"/>
      <c r="S3" s="3"/>
      <c r="T3" s="3"/>
      <c r="U3" s="3"/>
      <c r="V3" s="3"/>
      <c r="W3" s="3"/>
      <c r="X3" s="3"/>
      <c r="Y3" s="3"/>
      <c r="Z3" s="3"/>
    </row>
    <row r="4" spans="1:26" ht="14.25" customHeight="1" x14ac:dyDescent="0.35">
      <c r="A4" s="3"/>
      <c r="B4" s="3"/>
      <c r="C4" s="3"/>
      <c r="D4" s="3"/>
      <c r="E4" s="3"/>
      <c r="F4" s="3"/>
      <c r="G4" s="3"/>
      <c r="H4" s="3"/>
      <c r="I4" s="3"/>
      <c r="J4" s="3"/>
      <c r="K4" s="3"/>
      <c r="L4" s="3"/>
      <c r="M4" s="3"/>
      <c r="N4" s="3"/>
      <c r="O4" s="3"/>
      <c r="P4" s="3"/>
      <c r="Q4" s="3"/>
      <c r="R4" s="3"/>
      <c r="S4" s="3"/>
      <c r="T4" s="3"/>
      <c r="U4" s="3"/>
      <c r="V4" s="3"/>
      <c r="W4" s="3"/>
      <c r="X4" s="3"/>
      <c r="Y4" s="3"/>
      <c r="Z4" s="3"/>
    </row>
    <row r="5" spans="1:26" ht="14.25" customHeight="1" x14ac:dyDescent="0.35">
      <c r="A5" s="3"/>
      <c r="B5" s="3"/>
      <c r="C5" s="3"/>
      <c r="D5" s="3"/>
      <c r="E5" s="3"/>
      <c r="F5" s="3"/>
      <c r="G5" s="3"/>
      <c r="H5" s="3"/>
      <c r="I5" s="3"/>
      <c r="J5" s="3"/>
      <c r="K5" s="3"/>
      <c r="L5" s="3"/>
      <c r="M5" s="3"/>
      <c r="N5" s="3"/>
      <c r="O5" s="3"/>
      <c r="P5" s="3"/>
      <c r="Q5" s="3"/>
      <c r="R5" s="3"/>
      <c r="S5" s="3"/>
      <c r="T5" s="3"/>
      <c r="U5" s="3"/>
      <c r="V5" s="3"/>
      <c r="W5" s="3"/>
      <c r="X5" s="3"/>
      <c r="Y5" s="3"/>
      <c r="Z5" s="3"/>
    </row>
    <row r="6" spans="1:26" ht="14.25" customHeight="1" x14ac:dyDescent="0.35">
      <c r="A6" s="3"/>
      <c r="B6" s="3"/>
      <c r="C6" s="3"/>
      <c r="D6" s="3"/>
      <c r="E6" s="3"/>
      <c r="F6" s="3"/>
      <c r="G6" s="3"/>
      <c r="H6" s="3"/>
      <c r="I6" s="3"/>
      <c r="J6" s="3"/>
      <c r="K6" s="3"/>
      <c r="L6" s="3"/>
      <c r="M6" s="3"/>
      <c r="N6" s="3"/>
      <c r="O6" s="3"/>
      <c r="P6" s="3"/>
      <c r="Q6" s="3"/>
      <c r="R6" s="3"/>
      <c r="S6" s="3"/>
      <c r="T6" s="3"/>
      <c r="U6" s="3"/>
      <c r="V6" s="3"/>
      <c r="W6" s="3"/>
      <c r="X6" s="3"/>
      <c r="Y6" s="3"/>
      <c r="Z6" s="3"/>
    </row>
    <row r="7" spans="1:26" ht="33" customHeight="1" x14ac:dyDescent="0.35">
      <c r="A7" s="3"/>
      <c r="B7" s="173" t="s">
        <v>7</v>
      </c>
      <c r="C7" s="104"/>
      <c r="D7" s="104"/>
      <c r="E7" s="104"/>
      <c r="F7" s="105"/>
      <c r="G7" s="3"/>
      <c r="H7" s="3"/>
      <c r="I7" s="3"/>
      <c r="J7" s="3"/>
      <c r="K7" s="3"/>
      <c r="L7" s="3"/>
      <c r="M7" s="3"/>
      <c r="N7" s="3"/>
      <c r="O7" s="3"/>
      <c r="P7" s="3"/>
      <c r="Q7" s="3"/>
      <c r="R7" s="3"/>
      <c r="S7" s="3"/>
      <c r="T7" s="3"/>
      <c r="U7" s="3"/>
      <c r="V7" s="3"/>
      <c r="W7" s="3"/>
      <c r="X7" s="3"/>
      <c r="Y7" s="3"/>
      <c r="Z7" s="3"/>
    </row>
    <row r="8" spans="1:26" ht="14.25" customHeight="1" x14ac:dyDescent="0.35">
      <c r="A8" s="3"/>
      <c r="B8" s="3"/>
      <c r="C8" s="3"/>
      <c r="D8" s="3"/>
      <c r="E8" s="3"/>
      <c r="F8" s="3"/>
      <c r="G8" s="3"/>
      <c r="H8" s="3"/>
      <c r="I8" s="3"/>
      <c r="J8" s="3"/>
      <c r="K8" s="3"/>
      <c r="L8" s="3"/>
      <c r="M8" s="3"/>
      <c r="N8" s="3"/>
      <c r="O8" s="3"/>
      <c r="P8" s="3"/>
      <c r="Q8" s="3"/>
      <c r="R8" s="3"/>
      <c r="S8" s="3"/>
      <c r="T8" s="3"/>
      <c r="U8" s="3"/>
      <c r="V8" s="3"/>
      <c r="W8" s="3"/>
      <c r="X8" s="3"/>
      <c r="Y8" s="3"/>
      <c r="Z8" s="3"/>
    </row>
    <row r="9" spans="1:26" ht="61.5" customHeight="1" x14ac:dyDescent="0.35">
      <c r="A9" s="3"/>
      <c r="B9" s="174" t="s">
        <v>13</v>
      </c>
      <c r="C9" s="104"/>
      <c r="D9" s="104"/>
      <c r="E9" s="104"/>
      <c r="F9" s="105"/>
      <c r="G9" s="3"/>
      <c r="H9" s="3"/>
      <c r="I9" s="3"/>
      <c r="J9" s="3"/>
      <c r="K9" s="3"/>
      <c r="L9" s="3"/>
      <c r="M9" s="3"/>
      <c r="N9" s="3"/>
      <c r="O9" s="3"/>
      <c r="P9" s="3"/>
      <c r="Q9" s="3"/>
      <c r="R9" s="3"/>
      <c r="S9" s="3"/>
      <c r="T9" s="3"/>
      <c r="U9" s="3"/>
      <c r="V9" s="3"/>
      <c r="W9" s="3"/>
      <c r="X9" s="3"/>
      <c r="Y9" s="3"/>
      <c r="Z9" s="3"/>
    </row>
    <row r="10" spans="1:26" ht="6.75" customHeight="1" x14ac:dyDescent="0.35">
      <c r="A10" s="3"/>
      <c r="B10" s="18"/>
      <c r="C10" s="3"/>
      <c r="D10" s="3"/>
      <c r="E10" s="3"/>
      <c r="F10" s="3"/>
      <c r="G10" s="3"/>
      <c r="H10" s="3"/>
      <c r="I10" s="3"/>
      <c r="J10" s="3"/>
      <c r="K10" s="3"/>
      <c r="L10" s="3"/>
      <c r="M10" s="3"/>
      <c r="N10" s="3"/>
      <c r="O10" s="3"/>
      <c r="P10" s="3"/>
      <c r="Q10" s="3"/>
      <c r="R10" s="3"/>
      <c r="S10" s="3"/>
      <c r="T10" s="3"/>
      <c r="U10" s="3"/>
      <c r="V10" s="3"/>
      <c r="W10" s="3"/>
      <c r="X10" s="3"/>
      <c r="Y10" s="3"/>
      <c r="Z10" s="3"/>
    </row>
    <row r="11" spans="1:26" ht="80.25" customHeight="1" x14ac:dyDescent="0.35">
      <c r="A11" s="3"/>
      <c r="B11" s="174" t="s">
        <v>25</v>
      </c>
      <c r="C11" s="104"/>
      <c r="D11" s="104"/>
      <c r="E11" s="104"/>
      <c r="F11" s="105"/>
      <c r="G11" s="3"/>
      <c r="H11" s="3"/>
      <c r="I11" s="3"/>
      <c r="J11" s="3"/>
      <c r="K11" s="3"/>
      <c r="L11" s="3"/>
      <c r="M11" s="3"/>
      <c r="N11" s="3"/>
      <c r="O11" s="3"/>
      <c r="P11" s="3"/>
      <c r="Q11" s="3"/>
      <c r="R11" s="3"/>
      <c r="S11" s="3"/>
      <c r="T11" s="3"/>
      <c r="U11" s="3"/>
      <c r="V11" s="3"/>
      <c r="W11" s="3"/>
      <c r="X11" s="3"/>
      <c r="Y11" s="3"/>
      <c r="Z11" s="3"/>
    </row>
    <row r="12" spans="1:26" ht="14.25" customHeight="1" x14ac:dyDescent="0.35">
      <c r="A12" s="3"/>
      <c r="B12" s="23"/>
      <c r="C12" s="23"/>
      <c r="D12" s="23"/>
      <c r="E12" s="3"/>
      <c r="F12" s="3"/>
      <c r="G12" s="3"/>
      <c r="H12" s="3"/>
      <c r="I12" s="3"/>
      <c r="J12" s="3"/>
      <c r="K12" s="3"/>
      <c r="L12" s="3"/>
      <c r="M12" s="3"/>
      <c r="N12" s="3"/>
      <c r="O12" s="3"/>
      <c r="P12" s="3"/>
      <c r="Q12" s="3"/>
      <c r="R12" s="3"/>
      <c r="S12" s="3"/>
      <c r="T12" s="3"/>
      <c r="U12" s="3"/>
      <c r="V12" s="3"/>
      <c r="W12" s="3"/>
      <c r="X12" s="3"/>
      <c r="Y12" s="3"/>
      <c r="Z12" s="3"/>
    </row>
    <row r="13" spans="1:26" ht="39" customHeight="1" x14ac:dyDescent="0.25">
      <c r="A13" s="24"/>
      <c r="B13" s="170" t="s">
        <v>31</v>
      </c>
      <c r="C13" s="121"/>
      <c r="D13" s="121"/>
      <c r="E13" s="121"/>
      <c r="F13" s="122"/>
      <c r="G13" s="24"/>
      <c r="H13" s="24"/>
      <c r="I13" s="24"/>
      <c r="J13" s="24"/>
      <c r="K13" s="24"/>
      <c r="L13" s="24"/>
      <c r="M13" s="24"/>
      <c r="N13" s="24"/>
      <c r="O13" s="24"/>
      <c r="P13" s="24"/>
      <c r="Q13" s="24"/>
      <c r="R13" s="24"/>
      <c r="S13" s="24"/>
      <c r="T13" s="24"/>
      <c r="U13" s="24"/>
      <c r="V13" s="24"/>
      <c r="W13" s="24"/>
      <c r="X13" s="24"/>
      <c r="Y13" s="24"/>
      <c r="Z13" s="24"/>
    </row>
    <row r="14" spans="1:26" ht="39" customHeight="1" x14ac:dyDescent="0.25">
      <c r="A14" s="24"/>
      <c r="B14" s="169"/>
      <c r="C14" s="102"/>
      <c r="D14" s="25" t="s">
        <v>23</v>
      </c>
      <c r="E14" s="25" t="s">
        <v>34</v>
      </c>
      <c r="F14" s="26" t="s">
        <v>35</v>
      </c>
      <c r="G14" s="24"/>
      <c r="H14" s="24"/>
      <c r="I14" s="24"/>
      <c r="J14" s="24"/>
      <c r="K14" s="24"/>
      <c r="L14" s="24"/>
      <c r="M14" s="24"/>
      <c r="N14" s="24"/>
      <c r="O14" s="24"/>
      <c r="P14" s="24"/>
      <c r="Q14" s="24"/>
      <c r="R14" s="24"/>
      <c r="S14" s="24"/>
      <c r="T14" s="24"/>
      <c r="U14" s="24"/>
      <c r="V14" s="24"/>
      <c r="W14" s="24"/>
      <c r="X14" s="24"/>
      <c r="Y14" s="24"/>
      <c r="Z14" s="24"/>
    </row>
    <row r="15" spans="1:26" ht="39" customHeight="1" x14ac:dyDescent="0.25">
      <c r="A15" s="24"/>
      <c r="B15" s="27">
        <v>1</v>
      </c>
      <c r="C15" s="28" t="s">
        <v>38</v>
      </c>
      <c r="D15" s="29">
        <v>10</v>
      </c>
      <c r="E15" s="30">
        <v>1</v>
      </c>
      <c r="F15" s="31"/>
      <c r="G15" s="24"/>
      <c r="H15" s="24"/>
      <c r="I15" s="24"/>
      <c r="J15" s="24"/>
      <c r="K15" s="24"/>
      <c r="L15" s="24"/>
      <c r="M15" s="24"/>
      <c r="N15" s="24"/>
      <c r="O15" s="24"/>
      <c r="P15" s="24"/>
      <c r="Q15" s="24"/>
      <c r="R15" s="24"/>
      <c r="S15" s="24"/>
      <c r="T15" s="24"/>
      <c r="U15" s="24"/>
      <c r="V15" s="24"/>
      <c r="W15" s="24"/>
      <c r="X15" s="24"/>
      <c r="Y15" s="24"/>
      <c r="Z15" s="24"/>
    </row>
    <row r="16" spans="1:26" ht="39" customHeight="1" x14ac:dyDescent="0.25">
      <c r="A16" s="24"/>
      <c r="B16" s="27">
        <v>2</v>
      </c>
      <c r="C16" s="28" t="s">
        <v>42</v>
      </c>
      <c r="D16" s="29">
        <v>9</v>
      </c>
      <c r="E16" s="30">
        <f t="shared" ref="E16:E18" si="0">1+E15</f>
        <v>2</v>
      </c>
      <c r="F16" s="31"/>
      <c r="G16" s="24"/>
      <c r="H16" s="24"/>
      <c r="I16" s="24"/>
      <c r="J16" s="24"/>
      <c r="K16" s="24"/>
      <c r="L16" s="24"/>
      <c r="M16" s="24"/>
      <c r="N16" s="24"/>
      <c r="O16" s="24"/>
      <c r="P16" s="24"/>
      <c r="Q16" s="24"/>
      <c r="R16" s="24"/>
      <c r="S16" s="24"/>
      <c r="T16" s="24"/>
      <c r="U16" s="24"/>
      <c r="V16" s="24"/>
      <c r="W16" s="24"/>
      <c r="X16" s="24"/>
      <c r="Y16" s="24"/>
      <c r="Z16" s="24"/>
    </row>
    <row r="17" spans="1:26" ht="39" customHeight="1" x14ac:dyDescent="0.25">
      <c r="A17" s="24"/>
      <c r="B17" s="27">
        <v>3</v>
      </c>
      <c r="C17" s="28" t="s">
        <v>47</v>
      </c>
      <c r="D17" s="29">
        <v>5</v>
      </c>
      <c r="E17" s="30">
        <f t="shared" si="0"/>
        <v>3</v>
      </c>
      <c r="F17" s="31"/>
      <c r="G17" s="24"/>
      <c r="H17" s="24"/>
      <c r="I17" s="24"/>
      <c r="J17" s="24"/>
      <c r="K17" s="24"/>
      <c r="L17" s="24"/>
      <c r="M17" s="24"/>
      <c r="N17" s="24"/>
      <c r="O17" s="24"/>
      <c r="P17" s="24"/>
      <c r="Q17" s="24"/>
      <c r="R17" s="24"/>
      <c r="S17" s="24"/>
      <c r="T17" s="24"/>
      <c r="U17" s="24"/>
      <c r="V17" s="24"/>
      <c r="W17" s="24"/>
      <c r="X17" s="24"/>
      <c r="Y17" s="24"/>
      <c r="Z17" s="24"/>
    </row>
    <row r="18" spans="1:26" ht="39" customHeight="1" x14ac:dyDescent="0.25">
      <c r="A18" s="24"/>
      <c r="B18" s="33">
        <v>4</v>
      </c>
      <c r="C18" s="34" t="s">
        <v>50</v>
      </c>
      <c r="D18" s="35">
        <v>1</v>
      </c>
      <c r="E18" s="36">
        <f t="shared" si="0"/>
        <v>4</v>
      </c>
      <c r="F18" s="37"/>
      <c r="G18" s="24"/>
      <c r="H18" s="24"/>
      <c r="I18" s="24"/>
      <c r="J18" s="24"/>
      <c r="K18" s="24"/>
      <c r="L18" s="24"/>
      <c r="M18" s="24"/>
      <c r="N18" s="24"/>
      <c r="O18" s="24"/>
      <c r="P18" s="24"/>
      <c r="Q18" s="24"/>
      <c r="R18" s="24"/>
      <c r="S18" s="24"/>
      <c r="T18" s="24"/>
      <c r="U18" s="24"/>
      <c r="V18" s="24"/>
      <c r="W18" s="24"/>
      <c r="X18" s="24"/>
      <c r="Y18" s="24"/>
      <c r="Z18" s="24"/>
    </row>
    <row r="19" spans="1:26" ht="39" customHeight="1" x14ac:dyDescent="0.25">
      <c r="A19" s="24"/>
      <c r="B19" s="38"/>
      <c r="C19" s="39" t="s">
        <v>53</v>
      </c>
      <c r="D19" s="40">
        <f>AVERAGE(D15:D18)</f>
        <v>6.25</v>
      </c>
      <c r="E19" s="24"/>
      <c r="F19" s="24"/>
      <c r="G19" s="24"/>
      <c r="H19" s="24"/>
      <c r="I19" s="24"/>
      <c r="J19" s="24"/>
      <c r="K19" s="24"/>
      <c r="L19" s="24"/>
      <c r="M19" s="24"/>
      <c r="N19" s="24"/>
      <c r="O19" s="24"/>
      <c r="P19" s="24"/>
      <c r="Q19" s="24"/>
      <c r="R19" s="24"/>
      <c r="S19" s="24"/>
      <c r="T19" s="24"/>
      <c r="U19" s="24"/>
      <c r="V19" s="24"/>
      <c r="W19" s="24"/>
      <c r="X19" s="24"/>
      <c r="Y19" s="24"/>
      <c r="Z19" s="24"/>
    </row>
    <row r="20" spans="1:26" ht="39" customHeight="1" x14ac:dyDescent="0.25">
      <c r="A20" s="24"/>
      <c r="B20" s="38"/>
      <c r="C20" s="39"/>
      <c r="D20" s="40"/>
      <c r="E20" s="24"/>
      <c r="F20" s="24"/>
      <c r="G20" s="24"/>
      <c r="H20" s="24"/>
      <c r="I20" s="24"/>
      <c r="J20" s="24"/>
      <c r="K20" s="24"/>
      <c r="L20" s="24"/>
      <c r="M20" s="24"/>
      <c r="N20" s="24"/>
      <c r="O20" s="24"/>
      <c r="P20" s="24"/>
      <c r="Q20" s="24"/>
      <c r="R20" s="24"/>
      <c r="S20" s="24"/>
      <c r="T20" s="24"/>
      <c r="U20" s="24"/>
      <c r="V20" s="24"/>
      <c r="W20" s="24"/>
      <c r="X20" s="24"/>
      <c r="Y20" s="24"/>
      <c r="Z20" s="24"/>
    </row>
    <row r="21" spans="1:26" ht="39" customHeight="1" x14ac:dyDescent="0.25">
      <c r="A21" s="24"/>
      <c r="B21" s="170" t="s">
        <v>32</v>
      </c>
      <c r="C21" s="121"/>
      <c r="D21" s="121"/>
      <c r="E21" s="121"/>
      <c r="F21" s="122"/>
      <c r="G21" s="24"/>
      <c r="H21" s="24"/>
      <c r="I21" s="24"/>
      <c r="J21" s="24"/>
      <c r="K21" s="24"/>
      <c r="L21" s="24"/>
      <c r="M21" s="24"/>
      <c r="N21" s="24"/>
      <c r="O21" s="24"/>
      <c r="P21" s="24"/>
      <c r="Q21" s="24"/>
      <c r="R21" s="24"/>
      <c r="S21" s="24"/>
      <c r="T21" s="24"/>
      <c r="U21" s="24"/>
      <c r="V21" s="24"/>
      <c r="W21" s="24"/>
      <c r="X21" s="24"/>
      <c r="Y21" s="24"/>
      <c r="Z21" s="24"/>
    </row>
    <row r="22" spans="1:26" ht="39" customHeight="1" x14ac:dyDescent="0.25">
      <c r="A22" s="24"/>
      <c r="B22" s="169"/>
      <c r="C22" s="102"/>
      <c r="D22" s="25" t="s">
        <v>23</v>
      </c>
      <c r="E22" s="25" t="s">
        <v>34</v>
      </c>
      <c r="F22" s="26" t="s">
        <v>35</v>
      </c>
      <c r="G22" s="24"/>
      <c r="H22" s="24"/>
      <c r="I22" s="24"/>
      <c r="J22" s="24"/>
      <c r="K22" s="24"/>
      <c r="L22" s="24"/>
      <c r="M22" s="24"/>
      <c r="N22" s="24"/>
      <c r="O22" s="24"/>
      <c r="P22" s="24"/>
      <c r="Q22" s="24"/>
      <c r="R22" s="24"/>
      <c r="S22" s="24"/>
      <c r="T22" s="24"/>
      <c r="U22" s="24"/>
      <c r="V22" s="24"/>
      <c r="W22" s="24"/>
      <c r="X22" s="24"/>
      <c r="Y22" s="24"/>
      <c r="Z22" s="24"/>
    </row>
    <row r="23" spans="1:26" ht="39" customHeight="1" x14ac:dyDescent="0.25">
      <c r="A23" s="24"/>
      <c r="B23" s="27">
        <v>1</v>
      </c>
      <c r="C23" s="28" t="s">
        <v>56</v>
      </c>
      <c r="D23" s="41">
        <v>4</v>
      </c>
      <c r="E23" s="30">
        <f>1+E18</f>
        <v>5</v>
      </c>
      <c r="F23" s="31"/>
      <c r="G23" s="24"/>
      <c r="H23" s="24"/>
      <c r="I23" s="24"/>
      <c r="J23" s="24"/>
      <c r="K23" s="24"/>
      <c r="L23" s="24"/>
      <c r="M23" s="24"/>
      <c r="N23" s="24"/>
      <c r="O23" s="24"/>
      <c r="P23" s="24"/>
      <c r="Q23" s="24"/>
      <c r="R23" s="24"/>
      <c r="S23" s="24"/>
      <c r="T23" s="24"/>
      <c r="U23" s="24"/>
      <c r="V23" s="24"/>
      <c r="W23" s="24"/>
      <c r="X23" s="24"/>
      <c r="Y23" s="24"/>
      <c r="Z23" s="24"/>
    </row>
    <row r="24" spans="1:26" ht="39" customHeight="1" x14ac:dyDescent="0.25">
      <c r="A24" s="24"/>
      <c r="B24" s="27">
        <v>2</v>
      </c>
      <c r="C24" s="28" t="s">
        <v>58</v>
      </c>
      <c r="D24" s="41">
        <v>4</v>
      </c>
      <c r="E24" s="30">
        <f t="shared" ref="E24:E47" si="1">1+E23</f>
        <v>6</v>
      </c>
      <c r="F24" s="31"/>
      <c r="G24" s="24"/>
      <c r="H24" s="24"/>
      <c r="I24" s="24"/>
      <c r="J24" s="24"/>
      <c r="K24" s="24"/>
      <c r="L24" s="24"/>
      <c r="M24" s="24"/>
      <c r="N24" s="24"/>
      <c r="O24" s="24"/>
      <c r="P24" s="24"/>
      <c r="Q24" s="24"/>
      <c r="R24" s="24"/>
      <c r="S24" s="24"/>
      <c r="T24" s="24"/>
      <c r="U24" s="24"/>
      <c r="V24" s="24"/>
      <c r="W24" s="24"/>
      <c r="X24" s="24"/>
      <c r="Y24" s="24"/>
      <c r="Z24" s="24"/>
    </row>
    <row r="25" spans="1:26" ht="39" customHeight="1" x14ac:dyDescent="0.25">
      <c r="A25" s="24"/>
      <c r="B25" s="27">
        <v>3</v>
      </c>
      <c r="C25" s="28" t="s">
        <v>60</v>
      </c>
      <c r="D25" s="41">
        <v>4</v>
      </c>
      <c r="E25" s="30">
        <f t="shared" si="1"/>
        <v>7</v>
      </c>
      <c r="F25" s="31"/>
      <c r="G25" s="24"/>
      <c r="H25" s="24"/>
      <c r="I25" s="24"/>
      <c r="J25" s="24"/>
      <c r="K25" s="24"/>
      <c r="L25" s="24"/>
      <c r="M25" s="24"/>
      <c r="N25" s="24"/>
      <c r="O25" s="24"/>
      <c r="P25" s="24"/>
      <c r="Q25" s="24"/>
      <c r="R25" s="24"/>
      <c r="S25" s="24"/>
      <c r="T25" s="24"/>
      <c r="U25" s="24"/>
      <c r="V25" s="24"/>
      <c r="W25" s="24"/>
      <c r="X25" s="24"/>
      <c r="Y25" s="24"/>
      <c r="Z25" s="24"/>
    </row>
    <row r="26" spans="1:26" ht="39" customHeight="1" x14ac:dyDescent="0.25">
      <c r="A26" s="24"/>
      <c r="B26" s="27">
        <v>4</v>
      </c>
      <c r="C26" s="28" t="s">
        <v>62</v>
      </c>
      <c r="D26" s="41">
        <v>4</v>
      </c>
      <c r="E26" s="30">
        <f t="shared" si="1"/>
        <v>8</v>
      </c>
      <c r="F26" s="31"/>
      <c r="G26" s="24"/>
      <c r="H26" s="24"/>
      <c r="I26" s="24"/>
      <c r="J26" s="24"/>
      <c r="K26" s="24"/>
      <c r="L26" s="24"/>
      <c r="M26" s="24"/>
      <c r="N26" s="24"/>
      <c r="O26" s="24"/>
      <c r="P26" s="24"/>
      <c r="Q26" s="24"/>
      <c r="R26" s="24"/>
      <c r="S26" s="24"/>
      <c r="T26" s="24"/>
      <c r="U26" s="24"/>
      <c r="V26" s="24"/>
      <c r="W26" s="24"/>
      <c r="X26" s="24"/>
      <c r="Y26" s="24"/>
      <c r="Z26" s="24"/>
    </row>
    <row r="27" spans="1:26" ht="39" customHeight="1" x14ac:dyDescent="0.25">
      <c r="A27" s="24"/>
      <c r="B27" s="27">
        <v>5</v>
      </c>
      <c r="C27" s="28" t="s">
        <v>64</v>
      </c>
      <c r="D27" s="41">
        <v>4</v>
      </c>
      <c r="E27" s="30">
        <f t="shared" si="1"/>
        <v>9</v>
      </c>
      <c r="F27" s="31"/>
      <c r="G27" s="24"/>
      <c r="H27" s="24"/>
      <c r="I27" s="24"/>
      <c r="J27" s="24"/>
      <c r="K27" s="24"/>
      <c r="L27" s="24"/>
      <c r="M27" s="24"/>
      <c r="N27" s="24"/>
      <c r="O27" s="24"/>
      <c r="P27" s="24"/>
      <c r="Q27" s="24"/>
      <c r="R27" s="24"/>
      <c r="S27" s="24"/>
      <c r="T27" s="24"/>
      <c r="U27" s="24"/>
      <c r="V27" s="24"/>
      <c r="W27" s="24"/>
      <c r="X27" s="24"/>
      <c r="Y27" s="24"/>
      <c r="Z27" s="24"/>
    </row>
    <row r="28" spans="1:26" ht="39" customHeight="1" x14ac:dyDescent="0.25">
      <c r="A28" s="24"/>
      <c r="B28" s="27">
        <v>6</v>
      </c>
      <c r="C28" s="28" t="s">
        <v>67</v>
      </c>
      <c r="D28" s="41">
        <v>4</v>
      </c>
      <c r="E28" s="30">
        <f t="shared" si="1"/>
        <v>10</v>
      </c>
      <c r="F28" s="31"/>
      <c r="G28" s="24"/>
      <c r="H28" s="24"/>
      <c r="I28" s="24"/>
      <c r="J28" s="24"/>
      <c r="K28" s="24"/>
      <c r="L28" s="24"/>
      <c r="M28" s="24"/>
      <c r="N28" s="24"/>
      <c r="O28" s="24"/>
      <c r="P28" s="24"/>
      <c r="Q28" s="24"/>
      <c r="R28" s="24"/>
      <c r="S28" s="24"/>
      <c r="T28" s="24"/>
      <c r="U28" s="24"/>
      <c r="V28" s="24"/>
      <c r="W28" s="24"/>
      <c r="X28" s="24"/>
      <c r="Y28" s="24"/>
      <c r="Z28" s="24"/>
    </row>
    <row r="29" spans="1:26" ht="39" customHeight="1" x14ac:dyDescent="0.25">
      <c r="A29" s="24"/>
      <c r="B29" s="27">
        <v>7</v>
      </c>
      <c r="C29" s="28" t="s">
        <v>68</v>
      </c>
      <c r="D29" s="41">
        <v>4</v>
      </c>
      <c r="E29" s="30">
        <f t="shared" si="1"/>
        <v>11</v>
      </c>
      <c r="F29" s="31"/>
      <c r="G29" s="24"/>
      <c r="H29" s="24"/>
      <c r="I29" s="24"/>
      <c r="J29" s="24"/>
      <c r="K29" s="24"/>
      <c r="L29" s="24"/>
      <c r="M29" s="24"/>
      <c r="N29" s="24"/>
      <c r="O29" s="24"/>
      <c r="P29" s="24"/>
      <c r="Q29" s="24"/>
      <c r="R29" s="24"/>
      <c r="S29" s="24"/>
      <c r="T29" s="24"/>
      <c r="U29" s="24"/>
      <c r="V29" s="24"/>
      <c r="W29" s="24"/>
      <c r="X29" s="24"/>
      <c r="Y29" s="24"/>
      <c r="Z29" s="24"/>
    </row>
    <row r="30" spans="1:26" ht="39" customHeight="1" x14ac:dyDescent="0.25">
      <c r="A30" s="24"/>
      <c r="B30" s="27">
        <v>8</v>
      </c>
      <c r="C30" s="28" t="s">
        <v>73</v>
      </c>
      <c r="D30" s="41">
        <v>4</v>
      </c>
      <c r="E30" s="30">
        <f t="shared" si="1"/>
        <v>12</v>
      </c>
      <c r="F30" s="31"/>
      <c r="G30" s="24"/>
      <c r="H30" s="24"/>
      <c r="I30" s="24"/>
      <c r="J30" s="24"/>
      <c r="K30" s="24"/>
      <c r="L30" s="24"/>
      <c r="M30" s="24"/>
      <c r="N30" s="24"/>
      <c r="O30" s="24"/>
      <c r="P30" s="24"/>
      <c r="Q30" s="24"/>
      <c r="R30" s="24"/>
      <c r="S30" s="24"/>
      <c r="T30" s="24"/>
      <c r="U30" s="24"/>
      <c r="V30" s="24"/>
      <c r="W30" s="24"/>
      <c r="X30" s="24"/>
      <c r="Y30" s="24"/>
      <c r="Z30" s="24"/>
    </row>
    <row r="31" spans="1:26" ht="39" customHeight="1" x14ac:dyDescent="0.25">
      <c r="A31" s="24"/>
      <c r="B31" s="27">
        <v>9</v>
      </c>
      <c r="C31" s="28" t="s">
        <v>74</v>
      </c>
      <c r="D31" s="41">
        <v>4</v>
      </c>
      <c r="E31" s="30">
        <f t="shared" si="1"/>
        <v>13</v>
      </c>
      <c r="F31" s="31"/>
      <c r="G31" s="24"/>
      <c r="H31" s="24"/>
      <c r="I31" s="24"/>
      <c r="J31" s="24"/>
      <c r="K31" s="24"/>
      <c r="L31" s="24"/>
      <c r="M31" s="24"/>
      <c r="N31" s="24"/>
      <c r="O31" s="24"/>
      <c r="P31" s="24"/>
      <c r="Q31" s="24"/>
      <c r="R31" s="24"/>
      <c r="S31" s="24"/>
      <c r="T31" s="24"/>
      <c r="U31" s="24"/>
      <c r="V31" s="24"/>
      <c r="W31" s="24"/>
      <c r="X31" s="24"/>
      <c r="Y31" s="24"/>
      <c r="Z31" s="24"/>
    </row>
    <row r="32" spans="1:26" ht="39" customHeight="1" x14ac:dyDescent="0.25">
      <c r="A32" s="24"/>
      <c r="B32" s="27">
        <v>10</v>
      </c>
      <c r="C32" s="28" t="s">
        <v>76</v>
      </c>
      <c r="D32" s="41">
        <v>4</v>
      </c>
      <c r="E32" s="30">
        <f t="shared" si="1"/>
        <v>14</v>
      </c>
      <c r="F32" s="31"/>
      <c r="G32" s="24"/>
      <c r="H32" s="24"/>
      <c r="I32" s="24"/>
      <c r="J32" s="24"/>
      <c r="K32" s="24"/>
      <c r="L32" s="24"/>
      <c r="M32" s="24"/>
      <c r="N32" s="24"/>
      <c r="O32" s="24"/>
      <c r="P32" s="24"/>
      <c r="Q32" s="24"/>
      <c r="R32" s="24"/>
      <c r="S32" s="24"/>
      <c r="T32" s="24"/>
      <c r="U32" s="24"/>
      <c r="V32" s="24"/>
      <c r="W32" s="24"/>
      <c r="X32" s="24"/>
      <c r="Y32" s="24"/>
      <c r="Z32" s="24"/>
    </row>
    <row r="33" spans="1:26" ht="39" customHeight="1" x14ac:dyDescent="0.25">
      <c r="A33" s="24"/>
      <c r="B33" s="27">
        <v>11</v>
      </c>
      <c r="C33" s="28" t="s">
        <v>77</v>
      </c>
      <c r="D33" s="41">
        <v>4</v>
      </c>
      <c r="E33" s="30">
        <f t="shared" si="1"/>
        <v>15</v>
      </c>
      <c r="F33" s="31"/>
      <c r="G33" s="24"/>
      <c r="H33" s="24"/>
      <c r="I33" s="24"/>
      <c r="J33" s="24"/>
      <c r="K33" s="24"/>
      <c r="L33" s="24"/>
      <c r="M33" s="24"/>
      <c r="N33" s="24"/>
      <c r="O33" s="24"/>
      <c r="P33" s="24"/>
      <c r="Q33" s="24"/>
      <c r="R33" s="24"/>
      <c r="S33" s="24"/>
      <c r="T33" s="24"/>
      <c r="U33" s="24"/>
      <c r="V33" s="24"/>
      <c r="W33" s="24"/>
      <c r="X33" s="24"/>
      <c r="Y33" s="24"/>
      <c r="Z33" s="24"/>
    </row>
    <row r="34" spans="1:26" ht="39" customHeight="1" x14ac:dyDescent="0.25">
      <c r="A34" s="24"/>
      <c r="B34" s="27">
        <v>12</v>
      </c>
      <c r="C34" s="28" t="s">
        <v>78</v>
      </c>
      <c r="D34" s="41">
        <v>4</v>
      </c>
      <c r="E34" s="30">
        <f t="shared" si="1"/>
        <v>16</v>
      </c>
      <c r="F34" s="31"/>
      <c r="G34" s="24"/>
      <c r="H34" s="24"/>
      <c r="I34" s="24"/>
      <c r="J34" s="24"/>
      <c r="K34" s="24"/>
      <c r="L34" s="24"/>
      <c r="M34" s="24"/>
      <c r="N34" s="24"/>
      <c r="O34" s="24"/>
      <c r="P34" s="24"/>
      <c r="Q34" s="24"/>
      <c r="R34" s="24"/>
      <c r="S34" s="24"/>
      <c r="T34" s="24"/>
      <c r="U34" s="24"/>
      <c r="V34" s="24"/>
      <c r="W34" s="24"/>
      <c r="X34" s="24"/>
      <c r="Y34" s="24"/>
      <c r="Z34" s="24"/>
    </row>
    <row r="35" spans="1:26" ht="39" customHeight="1" x14ac:dyDescent="0.25">
      <c r="A35" s="24"/>
      <c r="B35" s="27">
        <v>13</v>
      </c>
      <c r="C35" s="28" t="s">
        <v>79</v>
      </c>
      <c r="D35" s="41">
        <v>4</v>
      </c>
      <c r="E35" s="30">
        <f t="shared" si="1"/>
        <v>17</v>
      </c>
      <c r="F35" s="31"/>
      <c r="G35" s="24"/>
      <c r="H35" s="24"/>
      <c r="I35" s="24"/>
      <c r="J35" s="24"/>
      <c r="K35" s="24"/>
      <c r="L35" s="24"/>
      <c r="M35" s="24"/>
      <c r="N35" s="24"/>
      <c r="O35" s="24"/>
      <c r="P35" s="24"/>
      <c r="Q35" s="24"/>
      <c r="R35" s="24"/>
      <c r="S35" s="24"/>
      <c r="T35" s="24"/>
      <c r="U35" s="24"/>
      <c r="V35" s="24"/>
      <c r="W35" s="24"/>
      <c r="X35" s="24"/>
      <c r="Y35" s="24"/>
      <c r="Z35" s="24"/>
    </row>
    <row r="36" spans="1:26" ht="39" customHeight="1" x14ac:dyDescent="0.25">
      <c r="A36" s="24"/>
      <c r="B36" s="27">
        <v>14</v>
      </c>
      <c r="C36" s="28" t="s">
        <v>80</v>
      </c>
      <c r="D36" s="41">
        <v>4</v>
      </c>
      <c r="E36" s="30">
        <f t="shared" si="1"/>
        <v>18</v>
      </c>
      <c r="F36" s="31"/>
      <c r="G36" s="24"/>
      <c r="H36" s="24"/>
      <c r="I36" s="24"/>
      <c r="J36" s="24"/>
      <c r="K36" s="24"/>
      <c r="L36" s="24"/>
      <c r="M36" s="24"/>
      <c r="N36" s="24"/>
      <c r="O36" s="24"/>
      <c r="P36" s="24"/>
      <c r="Q36" s="24"/>
      <c r="R36" s="24"/>
      <c r="S36" s="24"/>
      <c r="T36" s="24"/>
      <c r="U36" s="24"/>
      <c r="V36" s="24"/>
      <c r="W36" s="24"/>
      <c r="X36" s="24"/>
      <c r="Y36" s="24"/>
      <c r="Z36" s="24"/>
    </row>
    <row r="37" spans="1:26" ht="39" customHeight="1" x14ac:dyDescent="0.25">
      <c r="A37" s="24"/>
      <c r="B37" s="27">
        <v>15</v>
      </c>
      <c r="C37" s="28" t="s">
        <v>82</v>
      </c>
      <c r="D37" s="41">
        <v>4</v>
      </c>
      <c r="E37" s="30">
        <f t="shared" si="1"/>
        <v>19</v>
      </c>
      <c r="F37" s="31"/>
      <c r="G37" s="24"/>
      <c r="H37" s="24"/>
      <c r="I37" s="24"/>
      <c r="J37" s="24"/>
      <c r="K37" s="24"/>
      <c r="L37" s="24"/>
      <c r="M37" s="24"/>
      <c r="N37" s="24"/>
      <c r="O37" s="24"/>
      <c r="P37" s="24"/>
      <c r="Q37" s="24"/>
      <c r="R37" s="24"/>
      <c r="S37" s="24"/>
      <c r="T37" s="24"/>
      <c r="U37" s="24"/>
      <c r="V37" s="24"/>
      <c r="W37" s="24"/>
      <c r="X37" s="24"/>
      <c r="Y37" s="24"/>
      <c r="Z37" s="24"/>
    </row>
    <row r="38" spans="1:26" ht="39" customHeight="1" x14ac:dyDescent="0.25">
      <c r="A38" s="24"/>
      <c r="B38" s="27">
        <v>16</v>
      </c>
      <c r="C38" s="28" t="s">
        <v>85</v>
      </c>
      <c r="D38" s="41">
        <v>4</v>
      </c>
      <c r="E38" s="30">
        <f t="shared" si="1"/>
        <v>20</v>
      </c>
      <c r="F38" s="31"/>
      <c r="G38" s="24"/>
      <c r="H38" s="24"/>
      <c r="I38" s="24"/>
      <c r="J38" s="24"/>
      <c r="K38" s="24"/>
      <c r="L38" s="24"/>
      <c r="M38" s="24"/>
      <c r="N38" s="24"/>
      <c r="O38" s="24"/>
      <c r="P38" s="24"/>
      <c r="Q38" s="24"/>
      <c r="R38" s="24"/>
      <c r="S38" s="24"/>
      <c r="T38" s="24"/>
      <c r="U38" s="24"/>
      <c r="V38" s="24"/>
      <c r="W38" s="24"/>
      <c r="X38" s="24"/>
      <c r="Y38" s="24"/>
      <c r="Z38" s="24"/>
    </row>
    <row r="39" spans="1:26" ht="39" customHeight="1" x14ac:dyDescent="0.25">
      <c r="A39" s="24"/>
      <c r="B39" s="27">
        <v>17</v>
      </c>
      <c r="C39" s="28" t="s">
        <v>87</v>
      </c>
      <c r="D39" s="41">
        <v>4</v>
      </c>
      <c r="E39" s="30">
        <f t="shared" si="1"/>
        <v>21</v>
      </c>
      <c r="F39" s="31"/>
      <c r="G39" s="24"/>
      <c r="H39" s="24"/>
      <c r="I39" s="24"/>
      <c r="J39" s="24"/>
      <c r="K39" s="24"/>
      <c r="L39" s="24"/>
      <c r="M39" s="24"/>
      <c r="N39" s="24"/>
      <c r="O39" s="24"/>
      <c r="P39" s="24"/>
      <c r="Q39" s="24"/>
      <c r="R39" s="24"/>
      <c r="S39" s="24"/>
      <c r="T39" s="24"/>
      <c r="U39" s="24"/>
      <c r="V39" s="24"/>
      <c r="W39" s="24"/>
      <c r="X39" s="24"/>
      <c r="Y39" s="24"/>
      <c r="Z39" s="24"/>
    </row>
    <row r="40" spans="1:26" ht="39" customHeight="1" x14ac:dyDescent="0.25">
      <c r="A40" s="24"/>
      <c r="B40" s="27">
        <v>18</v>
      </c>
      <c r="C40" s="28" t="s">
        <v>93</v>
      </c>
      <c r="D40" s="41">
        <v>4</v>
      </c>
      <c r="E40" s="30">
        <f t="shared" si="1"/>
        <v>22</v>
      </c>
      <c r="F40" s="31"/>
      <c r="G40" s="24"/>
      <c r="H40" s="24"/>
      <c r="I40" s="24"/>
      <c r="J40" s="24"/>
      <c r="K40" s="24"/>
      <c r="L40" s="24"/>
      <c r="M40" s="24"/>
      <c r="N40" s="24"/>
      <c r="O40" s="24"/>
      <c r="P40" s="24"/>
      <c r="Q40" s="24"/>
      <c r="R40" s="24"/>
      <c r="S40" s="24"/>
      <c r="T40" s="24"/>
      <c r="U40" s="24"/>
      <c r="V40" s="24"/>
      <c r="W40" s="24"/>
      <c r="X40" s="24"/>
      <c r="Y40" s="24"/>
      <c r="Z40" s="24"/>
    </row>
    <row r="41" spans="1:26" ht="39" customHeight="1" x14ac:dyDescent="0.25">
      <c r="A41" s="24"/>
      <c r="B41" s="27">
        <v>19</v>
      </c>
      <c r="C41" s="28" t="s">
        <v>96</v>
      </c>
      <c r="D41" s="41">
        <v>4</v>
      </c>
      <c r="E41" s="30">
        <f t="shared" si="1"/>
        <v>23</v>
      </c>
      <c r="F41" s="31"/>
      <c r="G41" s="24"/>
      <c r="H41" s="24"/>
      <c r="I41" s="24"/>
      <c r="J41" s="24"/>
      <c r="K41" s="24"/>
      <c r="L41" s="24"/>
      <c r="M41" s="24"/>
      <c r="N41" s="24"/>
      <c r="O41" s="24"/>
      <c r="P41" s="24"/>
      <c r="Q41" s="24"/>
      <c r="R41" s="24"/>
      <c r="S41" s="24"/>
      <c r="T41" s="24"/>
      <c r="U41" s="24"/>
      <c r="V41" s="24"/>
      <c r="W41" s="24"/>
      <c r="X41" s="24"/>
      <c r="Y41" s="24"/>
      <c r="Z41" s="24"/>
    </row>
    <row r="42" spans="1:26" ht="39" customHeight="1" x14ac:dyDescent="0.25">
      <c r="A42" s="24"/>
      <c r="B42" s="27">
        <v>20</v>
      </c>
      <c r="C42" s="28" t="s">
        <v>98</v>
      </c>
      <c r="D42" s="41">
        <v>4</v>
      </c>
      <c r="E42" s="30">
        <f t="shared" si="1"/>
        <v>24</v>
      </c>
      <c r="F42" s="31"/>
      <c r="G42" s="24"/>
      <c r="H42" s="24"/>
      <c r="I42" s="24"/>
      <c r="J42" s="24"/>
      <c r="K42" s="24"/>
      <c r="L42" s="24"/>
      <c r="M42" s="24"/>
      <c r="N42" s="24"/>
      <c r="O42" s="24"/>
      <c r="P42" s="24"/>
      <c r="Q42" s="24"/>
      <c r="R42" s="24"/>
      <c r="S42" s="24"/>
      <c r="T42" s="24"/>
      <c r="U42" s="24"/>
      <c r="V42" s="24"/>
      <c r="W42" s="24"/>
      <c r="X42" s="24"/>
      <c r="Y42" s="24"/>
      <c r="Z42" s="24"/>
    </row>
    <row r="43" spans="1:26" ht="39" customHeight="1" x14ac:dyDescent="0.25">
      <c r="A43" s="24"/>
      <c r="B43" s="27">
        <v>21</v>
      </c>
      <c r="C43" s="28" t="s">
        <v>99</v>
      </c>
      <c r="D43" s="41">
        <v>4</v>
      </c>
      <c r="E43" s="30">
        <f t="shared" si="1"/>
        <v>25</v>
      </c>
      <c r="F43" s="31"/>
      <c r="G43" s="24"/>
      <c r="H43" s="24"/>
      <c r="I43" s="24"/>
      <c r="J43" s="24"/>
      <c r="K43" s="24"/>
      <c r="L43" s="24"/>
      <c r="M43" s="24"/>
      <c r="N43" s="24"/>
      <c r="O43" s="24"/>
      <c r="P43" s="24"/>
      <c r="Q43" s="24"/>
      <c r="R43" s="24"/>
      <c r="S43" s="24"/>
      <c r="T43" s="24"/>
      <c r="U43" s="24"/>
      <c r="V43" s="24"/>
      <c r="W43" s="24"/>
      <c r="X43" s="24"/>
      <c r="Y43" s="24"/>
      <c r="Z43" s="24"/>
    </row>
    <row r="44" spans="1:26" ht="39" customHeight="1" x14ac:dyDescent="0.25">
      <c r="A44" s="24"/>
      <c r="B44" s="27">
        <v>22</v>
      </c>
      <c r="C44" s="28" t="s">
        <v>101</v>
      </c>
      <c r="D44" s="41">
        <v>4</v>
      </c>
      <c r="E44" s="30">
        <f t="shared" si="1"/>
        <v>26</v>
      </c>
      <c r="F44" s="31"/>
      <c r="G44" s="24"/>
      <c r="H44" s="24"/>
      <c r="I44" s="24"/>
      <c r="J44" s="24"/>
      <c r="K44" s="24"/>
      <c r="L44" s="24"/>
      <c r="M44" s="24"/>
      <c r="N44" s="24"/>
      <c r="O44" s="24"/>
      <c r="P44" s="24"/>
      <c r="Q44" s="24"/>
      <c r="R44" s="24"/>
      <c r="S44" s="24"/>
      <c r="T44" s="24"/>
      <c r="U44" s="24"/>
      <c r="V44" s="24"/>
      <c r="W44" s="24"/>
      <c r="X44" s="24"/>
      <c r="Y44" s="24"/>
      <c r="Z44" s="24"/>
    </row>
    <row r="45" spans="1:26" ht="39" customHeight="1" x14ac:dyDescent="0.25">
      <c r="A45" s="24"/>
      <c r="B45" s="27">
        <v>23</v>
      </c>
      <c r="C45" s="28" t="s">
        <v>102</v>
      </c>
      <c r="D45" s="41">
        <v>4</v>
      </c>
      <c r="E45" s="30">
        <f t="shared" si="1"/>
        <v>27</v>
      </c>
      <c r="F45" s="31"/>
      <c r="G45" s="24"/>
      <c r="H45" s="24"/>
      <c r="I45" s="24"/>
      <c r="J45" s="24"/>
      <c r="K45" s="24"/>
      <c r="L45" s="24"/>
      <c r="M45" s="24"/>
      <c r="N45" s="24"/>
      <c r="O45" s="24"/>
      <c r="P45" s="24"/>
      <c r="Q45" s="24"/>
      <c r="R45" s="24"/>
      <c r="S45" s="24"/>
      <c r="T45" s="24"/>
      <c r="U45" s="24"/>
      <c r="V45" s="24"/>
      <c r="W45" s="24"/>
      <c r="X45" s="24"/>
      <c r="Y45" s="24"/>
      <c r="Z45" s="24"/>
    </row>
    <row r="46" spans="1:26" ht="39" customHeight="1" x14ac:dyDescent="0.25">
      <c r="A46" s="24"/>
      <c r="B46" s="27">
        <v>24</v>
      </c>
      <c r="C46" s="28" t="s">
        <v>104</v>
      </c>
      <c r="D46" s="41">
        <v>4</v>
      </c>
      <c r="E46" s="30">
        <f t="shared" si="1"/>
        <v>28</v>
      </c>
      <c r="F46" s="31"/>
      <c r="G46" s="24"/>
      <c r="H46" s="24"/>
      <c r="I46" s="24"/>
      <c r="J46" s="24"/>
      <c r="K46" s="24"/>
      <c r="L46" s="24"/>
      <c r="M46" s="24"/>
      <c r="N46" s="24"/>
      <c r="O46" s="24"/>
      <c r="P46" s="24"/>
      <c r="Q46" s="24"/>
      <c r="R46" s="24"/>
      <c r="S46" s="24"/>
      <c r="T46" s="24"/>
      <c r="U46" s="24"/>
      <c r="V46" s="24"/>
      <c r="W46" s="24"/>
      <c r="X46" s="24"/>
      <c r="Y46" s="24"/>
      <c r="Z46" s="24"/>
    </row>
    <row r="47" spans="1:26" ht="39" customHeight="1" x14ac:dyDescent="0.25">
      <c r="A47" s="24"/>
      <c r="B47" s="33">
        <v>25</v>
      </c>
      <c r="C47" s="34" t="s">
        <v>106</v>
      </c>
      <c r="D47" s="41">
        <v>4</v>
      </c>
      <c r="E47" s="36">
        <f t="shared" si="1"/>
        <v>29</v>
      </c>
      <c r="F47" s="37"/>
      <c r="G47" s="24"/>
      <c r="H47" s="24"/>
      <c r="I47" s="24"/>
      <c r="J47" s="24"/>
      <c r="K47" s="24"/>
      <c r="L47" s="24"/>
      <c r="M47" s="24"/>
      <c r="N47" s="24"/>
      <c r="O47" s="24"/>
      <c r="P47" s="24"/>
      <c r="Q47" s="24"/>
      <c r="R47" s="24"/>
      <c r="S47" s="24"/>
      <c r="T47" s="24"/>
      <c r="U47" s="24"/>
      <c r="V47" s="24"/>
      <c r="W47" s="24"/>
      <c r="X47" s="24"/>
      <c r="Y47" s="24"/>
      <c r="Z47" s="24"/>
    </row>
    <row r="48" spans="1:26" ht="39" customHeight="1" x14ac:dyDescent="0.25">
      <c r="A48" s="24"/>
      <c r="B48" s="38"/>
      <c r="C48" s="39" t="s">
        <v>53</v>
      </c>
      <c r="D48" s="40">
        <f>AVERAGE(D23:D47)</f>
        <v>4</v>
      </c>
      <c r="E48" s="24"/>
      <c r="F48" s="24"/>
      <c r="G48" s="24"/>
      <c r="H48" s="24"/>
      <c r="I48" s="24"/>
      <c r="J48" s="24"/>
      <c r="K48" s="24"/>
      <c r="L48" s="24"/>
      <c r="M48" s="24"/>
      <c r="N48" s="24"/>
      <c r="O48" s="24"/>
      <c r="P48" s="24"/>
      <c r="Q48" s="24"/>
      <c r="R48" s="24"/>
      <c r="S48" s="24"/>
      <c r="T48" s="24"/>
      <c r="U48" s="24"/>
      <c r="V48" s="24"/>
      <c r="W48" s="24"/>
      <c r="X48" s="24"/>
      <c r="Y48" s="24"/>
      <c r="Z48" s="24"/>
    </row>
    <row r="49" spans="1:26" ht="39" customHeight="1" x14ac:dyDescent="0.25">
      <c r="A49" s="24"/>
      <c r="B49" s="38"/>
      <c r="C49" s="39"/>
      <c r="D49" s="40"/>
      <c r="E49" s="24"/>
      <c r="F49" s="24"/>
      <c r="G49" s="24"/>
      <c r="H49" s="24"/>
      <c r="I49" s="24"/>
      <c r="J49" s="24"/>
      <c r="K49" s="24"/>
      <c r="L49" s="24"/>
      <c r="M49" s="24"/>
      <c r="N49" s="24"/>
      <c r="O49" s="24"/>
      <c r="P49" s="24"/>
      <c r="Q49" s="24"/>
      <c r="R49" s="24"/>
      <c r="S49" s="24"/>
      <c r="T49" s="24"/>
      <c r="U49" s="24"/>
      <c r="V49" s="24"/>
      <c r="W49" s="24"/>
      <c r="X49" s="24"/>
      <c r="Y49" s="24"/>
      <c r="Z49" s="24"/>
    </row>
    <row r="50" spans="1:26" ht="39" customHeight="1" x14ac:dyDescent="0.25">
      <c r="A50" s="24"/>
      <c r="B50" s="171" t="s">
        <v>37</v>
      </c>
      <c r="C50" s="156"/>
      <c r="D50" s="156"/>
      <c r="E50" s="156"/>
      <c r="F50" s="157"/>
      <c r="G50" s="24"/>
      <c r="H50" s="51"/>
      <c r="I50" s="51"/>
      <c r="J50" s="24"/>
      <c r="K50" s="24"/>
      <c r="L50" s="24"/>
      <c r="M50" s="24"/>
      <c r="N50" s="24"/>
      <c r="O50" s="24"/>
      <c r="P50" s="24"/>
      <c r="Q50" s="24"/>
      <c r="R50" s="24"/>
      <c r="S50" s="24"/>
      <c r="T50" s="24"/>
      <c r="U50" s="24"/>
      <c r="V50" s="24"/>
      <c r="W50" s="24"/>
      <c r="X50" s="24"/>
      <c r="Y50" s="24"/>
      <c r="Z50" s="24"/>
    </row>
    <row r="51" spans="1:26" ht="39" customHeight="1" x14ac:dyDescent="0.25">
      <c r="A51" s="24"/>
      <c r="B51" s="169"/>
      <c r="C51" s="102"/>
      <c r="D51" s="25" t="s">
        <v>23</v>
      </c>
      <c r="E51" s="25" t="s">
        <v>34</v>
      </c>
      <c r="F51" s="26" t="s">
        <v>35</v>
      </c>
      <c r="G51" s="24"/>
      <c r="H51" s="24"/>
      <c r="I51" s="24"/>
      <c r="J51" s="24"/>
      <c r="K51" s="24"/>
      <c r="L51" s="24"/>
      <c r="M51" s="24"/>
      <c r="N51" s="24"/>
      <c r="O51" s="24"/>
      <c r="P51" s="24"/>
      <c r="Q51" s="24"/>
      <c r="R51" s="24"/>
      <c r="S51" s="24"/>
      <c r="T51" s="24"/>
      <c r="U51" s="24"/>
      <c r="V51" s="24"/>
      <c r="W51" s="24"/>
      <c r="X51" s="24"/>
      <c r="Y51" s="24"/>
      <c r="Z51" s="24"/>
    </row>
    <row r="52" spans="1:26" ht="39" customHeight="1" x14ac:dyDescent="0.25">
      <c r="A52" s="24"/>
      <c r="B52" s="27">
        <v>1</v>
      </c>
      <c r="C52" s="28" t="s">
        <v>112</v>
      </c>
      <c r="D52" s="29">
        <v>9</v>
      </c>
      <c r="E52" s="30">
        <f>1+E47</f>
        <v>30</v>
      </c>
      <c r="F52" s="31"/>
      <c r="G52" s="24"/>
      <c r="H52" s="24"/>
      <c r="I52" s="52"/>
      <c r="J52" s="24"/>
      <c r="K52" s="24"/>
      <c r="L52" s="24"/>
      <c r="M52" s="24"/>
      <c r="N52" s="24"/>
      <c r="O52" s="24"/>
      <c r="P52" s="24"/>
      <c r="Q52" s="24"/>
      <c r="R52" s="24"/>
      <c r="S52" s="24"/>
      <c r="T52" s="24"/>
      <c r="U52" s="24"/>
      <c r="V52" s="24"/>
      <c r="W52" s="24"/>
      <c r="X52" s="24"/>
      <c r="Y52" s="24"/>
      <c r="Z52" s="24"/>
    </row>
    <row r="53" spans="1:26" ht="39" customHeight="1" x14ac:dyDescent="0.25">
      <c r="A53" s="24"/>
      <c r="B53" s="27">
        <v>2</v>
      </c>
      <c r="C53" s="28" t="s">
        <v>113</v>
      </c>
      <c r="D53" s="29"/>
      <c r="E53" s="30">
        <f t="shared" ref="E53:E79" si="2">1+E52</f>
        <v>31</v>
      </c>
      <c r="F53" s="31"/>
      <c r="G53" s="24"/>
      <c r="H53" s="24"/>
      <c r="I53" s="52"/>
      <c r="J53" s="24"/>
      <c r="K53" s="24"/>
      <c r="L53" s="24"/>
      <c r="M53" s="24"/>
      <c r="N53" s="24"/>
      <c r="O53" s="24"/>
      <c r="P53" s="24"/>
      <c r="Q53" s="24"/>
      <c r="R53" s="24"/>
      <c r="S53" s="24"/>
      <c r="T53" s="24"/>
      <c r="U53" s="24"/>
      <c r="V53" s="24"/>
      <c r="W53" s="24"/>
      <c r="X53" s="24"/>
      <c r="Y53" s="24"/>
      <c r="Z53" s="24"/>
    </row>
    <row r="54" spans="1:26" ht="39" customHeight="1" x14ac:dyDescent="0.25">
      <c r="A54" s="24"/>
      <c r="B54" s="27">
        <v>3</v>
      </c>
      <c r="C54" s="28" t="s">
        <v>115</v>
      </c>
      <c r="D54" s="29"/>
      <c r="E54" s="30">
        <f t="shared" si="2"/>
        <v>32</v>
      </c>
      <c r="F54" s="31"/>
      <c r="G54" s="24"/>
      <c r="H54" s="24"/>
      <c r="I54" s="52"/>
      <c r="J54" s="24"/>
      <c r="K54" s="24"/>
      <c r="L54" s="24"/>
      <c r="M54" s="24"/>
      <c r="N54" s="24"/>
      <c r="O54" s="24"/>
      <c r="P54" s="24"/>
      <c r="Q54" s="24"/>
      <c r="R54" s="24"/>
      <c r="S54" s="24"/>
      <c r="T54" s="24"/>
      <c r="U54" s="24"/>
      <c r="V54" s="24"/>
      <c r="W54" s="24"/>
      <c r="X54" s="24"/>
      <c r="Y54" s="24"/>
      <c r="Z54" s="24"/>
    </row>
    <row r="55" spans="1:26" ht="39" customHeight="1" x14ac:dyDescent="0.25">
      <c r="A55" s="24"/>
      <c r="B55" s="27">
        <v>4</v>
      </c>
      <c r="C55" s="28" t="s">
        <v>116</v>
      </c>
      <c r="D55" s="29"/>
      <c r="E55" s="30">
        <f t="shared" si="2"/>
        <v>33</v>
      </c>
      <c r="F55" s="31"/>
      <c r="G55" s="24"/>
      <c r="H55" s="24"/>
      <c r="I55" s="52"/>
      <c r="J55" s="24"/>
      <c r="K55" s="24"/>
      <c r="L55" s="24"/>
      <c r="M55" s="24"/>
      <c r="N55" s="24"/>
      <c r="O55" s="24"/>
      <c r="P55" s="24"/>
      <c r="Q55" s="24"/>
      <c r="R55" s="24"/>
      <c r="S55" s="24"/>
      <c r="T55" s="24"/>
      <c r="U55" s="24"/>
      <c r="V55" s="24"/>
      <c r="W55" s="24"/>
      <c r="X55" s="24"/>
      <c r="Y55" s="24"/>
      <c r="Z55" s="24"/>
    </row>
    <row r="56" spans="1:26" ht="39" customHeight="1" x14ac:dyDescent="0.25">
      <c r="A56" s="24"/>
      <c r="B56" s="27">
        <v>5</v>
      </c>
      <c r="C56" s="28" t="s">
        <v>118</v>
      </c>
      <c r="D56" s="29"/>
      <c r="E56" s="30">
        <f t="shared" si="2"/>
        <v>34</v>
      </c>
      <c r="F56" s="31"/>
      <c r="G56" s="24"/>
      <c r="H56" s="24"/>
      <c r="I56" s="52"/>
      <c r="J56" s="24"/>
      <c r="K56" s="24"/>
      <c r="L56" s="24"/>
      <c r="M56" s="24"/>
      <c r="N56" s="24"/>
      <c r="O56" s="24"/>
      <c r="P56" s="24"/>
      <c r="Q56" s="24"/>
      <c r="R56" s="24"/>
      <c r="S56" s="24"/>
      <c r="T56" s="24"/>
      <c r="U56" s="24"/>
      <c r="V56" s="24"/>
      <c r="W56" s="24"/>
      <c r="X56" s="24"/>
      <c r="Y56" s="24"/>
      <c r="Z56" s="24"/>
    </row>
    <row r="57" spans="1:26" ht="39" customHeight="1" x14ac:dyDescent="0.25">
      <c r="A57" s="24"/>
      <c r="B57" s="27">
        <v>6</v>
      </c>
      <c r="C57" s="28" t="s">
        <v>120</v>
      </c>
      <c r="D57" s="29"/>
      <c r="E57" s="30">
        <f t="shared" si="2"/>
        <v>35</v>
      </c>
      <c r="F57" s="31"/>
      <c r="G57" s="24"/>
      <c r="H57" s="24"/>
      <c r="I57" s="52"/>
      <c r="J57" s="24"/>
      <c r="K57" s="24"/>
      <c r="L57" s="24"/>
      <c r="M57" s="24"/>
      <c r="N57" s="24"/>
      <c r="O57" s="24"/>
      <c r="P57" s="24"/>
      <c r="Q57" s="24"/>
      <c r="R57" s="24"/>
      <c r="S57" s="24"/>
      <c r="T57" s="24"/>
      <c r="U57" s="24"/>
      <c r="V57" s="24"/>
      <c r="W57" s="24"/>
      <c r="X57" s="24"/>
      <c r="Y57" s="24"/>
      <c r="Z57" s="24"/>
    </row>
    <row r="58" spans="1:26" ht="39" customHeight="1" x14ac:dyDescent="0.25">
      <c r="A58" s="24"/>
      <c r="B58" s="27">
        <v>7</v>
      </c>
      <c r="C58" s="28" t="s">
        <v>122</v>
      </c>
      <c r="D58" s="29"/>
      <c r="E58" s="30">
        <f t="shared" si="2"/>
        <v>36</v>
      </c>
      <c r="F58" s="31"/>
      <c r="G58" s="24"/>
      <c r="H58" s="24"/>
      <c r="I58" s="52"/>
      <c r="J58" s="24"/>
      <c r="K58" s="24"/>
      <c r="L58" s="24"/>
      <c r="M58" s="24"/>
      <c r="N58" s="24"/>
      <c r="O58" s="24"/>
      <c r="P58" s="24"/>
      <c r="Q58" s="24"/>
      <c r="R58" s="24"/>
      <c r="S58" s="24"/>
      <c r="T58" s="24"/>
      <c r="U58" s="24"/>
      <c r="V58" s="24"/>
      <c r="W58" s="24"/>
      <c r="X58" s="24"/>
      <c r="Y58" s="24"/>
      <c r="Z58" s="24"/>
    </row>
    <row r="59" spans="1:26" ht="39" customHeight="1" x14ac:dyDescent="0.25">
      <c r="A59" s="24"/>
      <c r="B59" s="27">
        <v>8</v>
      </c>
      <c r="C59" s="28" t="s">
        <v>124</v>
      </c>
      <c r="D59" s="29"/>
      <c r="E59" s="30">
        <f t="shared" si="2"/>
        <v>37</v>
      </c>
      <c r="F59" s="31"/>
      <c r="G59" s="24"/>
      <c r="H59" s="24"/>
      <c r="I59" s="52"/>
      <c r="J59" s="24"/>
      <c r="K59" s="24"/>
      <c r="L59" s="24"/>
      <c r="M59" s="24"/>
      <c r="N59" s="24"/>
      <c r="O59" s="24"/>
      <c r="P59" s="24"/>
      <c r="Q59" s="24"/>
      <c r="R59" s="24"/>
      <c r="S59" s="24"/>
      <c r="T59" s="24"/>
      <c r="U59" s="24"/>
      <c r="V59" s="24"/>
      <c r="W59" s="24"/>
      <c r="X59" s="24"/>
      <c r="Y59" s="24"/>
      <c r="Z59" s="24"/>
    </row>
    <row r="60" spans="1:26" ht="39" customHeight="1" x14ac:dyDescent="0.25">
      <c r="A60" s="24"/>
      <c r="B60" s="27">
        <v>9</v>
      </c>
      <c r="C60" s="28" t="s">
        <v>125</v>
      </c>
      <c r="D60" s="29"/>
      <c r="E60" s="30">
        <f t="shared" si="2"/>
        <v>38</v>
      </c>
      <c r="F60" s="31"/>
      <c r="G60" s="24"/>
      <c r="H60" s="24"/>
      <c r="I60" s="52"/>
      <c r="J60" s="24"/>
      <c r="K60" s="24"/>
      <c r="L60" s="24"/>
      <c r="M60" s="24"/>
      <c r="N60" s="24"/>
      <c r="O60" s="24"/>
      <c r="P60" s="24"/>
      <c r="Q60" s="24"/>
      <c r="R60" s="24"/>
      <c r="S60" s="24"/>
      <c r="T60" s="24"/>
      <c r="U60" s="24"/>
      <c r="V60" s="24"/>
      <c r="W60" s="24"/>
      <c r="X60" s="24"/>
      <c r="Y60" s="24"/>
      <c r="Z60" s="24"/>
    </row>
    <row r="61" spans="1:26" ht="39" customHeight="1" x14ac:dyDescent="0.25">
      <c r="A61" s="24"/>
      <c r="B61" s="27">
        <v>10</v>
      </c>
      <c r="C61" s="28" t="s">
        <v>127</v>
      </c>
      <c r="D61" s="29"/>
      <c r="E61" s="30">
        <f t="shared" si="2"/>
        <v>39</v>
      </c>
      <c r="F61" s="31"/>
      <c r="G61" s="24"/>
      <c r="H61" s="24"/>
      <c r="I61" s="52"/>
      <c r="J61" s="24"/>
      <c r="K61" s="24"/>
      <c r="L61" s="24"/>
      <c r="M61" s="24"/>
      <c r="N61" s="24"/>
      <c r="O61" s="24"/>
      <c r="P61" s="24"/>
      <c r="Q61" s="24"/>
      <c r="R61" s="24"/>
      <c r="S61" s="24"/>
      <c r="T61" s="24"/>
      <c r="U61" s="24"/>
      <c r="V61" s="24"/>
      <c r="W61" s="24"/>
      <c r="X61" s="24"/>
      <c r="Y61" s="24"/>
      <c r="Z61" s="24"/>
    </row>
    <row r="62" spans="1:26" ht="39" customHeight="1" x14ac:dyDescent="0.25">
      <c r="A62" s="24"/>
      <c r="B62" s="27">
        <v>11</v>
      </c>
      <c r="C62" s="28" t="s">
        <v>128</v>
      </c>
      <c r="D62" s="29"/>
      <c r="E62" s="30">
        <f t="shared" si="2"/>
        <v>40</v>
      </c>
      <c r="F62" s="31"/>
      <c r="G62" s="24"/>
      <c r="H62" s="24"/>
      <c r="I62" s="52"/>
      <c r="J62" s="24"/>
      <c r="K62" s="24"/>
      <c r="L62" s="24"/>
      <c r="M62" s="24"/>
      <c r="N62" s="24"/>
      <c r="O62" s="24"/>
      <c r="P62" s="24"/>
      <c r="Q62" s="24"/>
      <c r="R62" s="24"/>
      <c r="S62" s="24"/>
      <c r="T62" s="24"/>
      <c r="U62" s="24"/>
      <c r="V62" s="24"/>
      <c r="W62" s="24"/>
      <c r="X62" s="24"/>
      <c r="Y62" s="24"/>
      <c r="Z62" s="24"/>
    </row>
    <row r="63" spans="1:26" ht="39" customHeight="1" x14ac:dyDescent="0.25">
      <c r="A63" s="24"/>
      <c r="B63" s="27">
        <v>12</v>
      </c>
      <c r="C63" s="28" t="s">
        <v>130</v>
      </c>
      <c r="D63" s="29"/>
      <c r="E63" s="30">
        <f t="shared" si="2"/>
        <v>41</v>
      </c>
      <c r="F63" s="31"/>
      <c r="G63" s="24"/>
      <c r="H63" s="24"/>
      <c r="I63" s="52"/>
      <c r="J63" s="24"/>
      <c r="K63" s="24"/>
      <c r="L63" s="24"/>
      <c r="M63" s="24"/>
      <c r="N63" s="24"/>
      <c r="O63" s="24"/>
      <c r="P63" s="24"/>
      <c r="Q63" s="24"/>
      <c r="R63" s="24"/>
      <c r="S63" s="24"/>
      <c r="T63" s="24"/>
      <c r="U63" s="24"/>
      <c r="V63" s="24"/>
      <c r="W63" s="24"/>
      <c r="X63" s="24"/>
      <c r="Y63" s="24"/>
      <c r="Z63" s="24"/>
    </row>
    <row r="64" spans="1:26" ht="39" customHeight="1" x14ac:dyDescent="0.25">
      <c r="A64" s="24"/>
      <c r="B64" s="27">
        <v>13</v>
      </c>
      <c r="C64" s="28" t="s">
        <v>131</v>
      </c>
      <c r="D64" s="29"/>
      <c r="E64" s="30">
        <f t="shared" si="2"/>
        <v>42</v>
      </c>
      <c r="F64" s="31"/>
      <c r="G64" s="24"/>
      <c r="H64" s="24"/>
      <c r="I64" s="52"/>
      <c r="J64" s="24"/>
      <c r="K64" s="24"/>
      <c r="L64" s="24"/>
      <c r="M64" s="24"/>
      <c r="N64" s="24"/>
      <c r="O64" s="24"/>
      <c r="P64" s="24"/>
      <c r="Q64" s="24"/>
      <c r="R64" s="24"/>
      <c r="S64" s="24"/>
      <c r="T64" s="24"/>
      <c r="U64" s="24"/>
      <c r="V64" s="24"/>
      <c r="W64" s="24"/>
      <c r="X64" s="24"/>
      <c r="Y64" s="24"/>
      <c r="Z64" s="24"/>
    </row>
    <row r="65" spans="1:26" ht="39" customHeight="1" x14ac:dyDescent="0.25">
      <c r="A65" s="24"/>
      <c r="B65" s="27">
        <v>14</v>
      </c>
      <c r="C65" s="28" t="s">
        <v>133</v>
      </c>
      <c r="D65" s="29"/>
      <c r="E65" s="30">
        <f t="shared" si="2"/>
        <v>43</v>
      </c>
      <c r="F65" s="31"/>
      <c r="G65" s="24"/>
      <c r="H65" s="24"/>
      <c r="I65" s="52"/>
      <c r="J65" s="24"/>
      <c r="K65" s="24"/>
      <c r="L65" s="24"/>
      <c r="M65" s="24"/>
      <c r="N65" s="24"/>
      <c r="O65" s="24"/>
      <c r="P65" s="24"/>
      <c r="Q65" s="24"/>
      <c r="R65" s="24"/>
      <c r="S65" s="24"/>
      <c r="T65" s="24"/>
      <c r="U65" s="24"/>
      <c r="V65" s="24"/>
      <c r="W65" s="24"/>
      <c r="X65" s="24"/>
      <c r="Y65" s="24"/>
      <c r="Z65" s="24"/>
    </row>
    <row r="66" spans="1:26" ht="39" customHeight="1" x14ac:dyDescent="0.25">
      <c r="A66" s="24"/>
      <c r="B66" s="27">
        <v>15</v>
      </c>
      <c r="C66" s="28" t="s">
        <v>135</v>
      </c>
      <c r="D66" s="29"/>
      <c r="E66" s="30">
        <f t="shared" si="2"/>
        <v>44</v>
      </c>
      <c r="F66" s="31"/>
      <c r="G66" s="24"/>
      <c r="H66" s="24"/>
      <c r="I66" s="52"/>
      <c r="J66" s="24"/>
      <c r="K66" s="24"/>
      <c r="L66" s="24"/>
      <c r="M66" s="24"/>
      <c r="N66" s="24"/>
      <c r="O66" s="24"/>
      <c r="P66" s="24"/>
      <c r="Q66" s="24"/>
      <c r="R66" s="24"/>
      <c r="S66" s="24"/>
      <c r="T66" s="24"/>
      <c r="U66" s="24"/>
      <c r="V66" s="24"/>
      <c r="W66" s="24"/>
      <c r="X66" s="24"/>
      <c r="Y66" s="24"/>
      <c r="Z66" s="24"/>
    </row>
    <row r="67" spans="1:26" ht="39" customHeight="1" x14ac:dyDescent="0.25">
      <c r="A67" s="24"/>
      <c r="B67" s="27">
        <v>16</v>
      </c>
      <c r="C67" s="28" t="s">
        <v>136</v>
      </c>
      <c r="D67" s="29"/>
      <c r="E67" s="30">
        <f t="shared" si="2"/>
        <v>45</v>
      </c>
      <c r="F67" s="31"/>
      <c r="G67" s="24"/>
      <c r="H67" s="24"/>
      <c r="I67" s="52"/>
      <c r="J67" s="24"/>
      <c r="K67" s="24"/>
      <c r="L67" s="24"/>
      <c r="M67" s="24"/>
      <c r="N67" s="24"/>
      <c r="O67" s="24"/>
      <c r="P67" s="24"/>
      <c r="Q67" s="24"/>
      <c r="R67" s="24"/>
      <c r="S67" s="24"/>
      <c r="T67" s="24"/>
      <c r="U67" s="24"/>
      <c r="V67" s="24"/>
      <c r="W67" s="24"/>
      <c r="X67" s="24"/>
      <c r="Y67" s="24"/>
      <c r="Z67" s="24"/>
    </row>
    <row r="68" spans="1:26" ht="39" customHeight="1" x14ac:dyDescent="0.25">
      <c r="A68" s="24"/>
      <c r="B68" s="27">
        <v>17</v>
      </c>
      <c r="C68" s="28" t="s">
        <v>137</v>
      </c>
      <c r="D68" s="29"/>
      <c r="E68" s="30">
        <f t="shared" si="2"/>
        <v>46</v>
      </c>
      <c r="F68" s="31"/>
      <c r="G68" s="24"/>
      <c r="H68" s="24"/>
      <c r="I68" s="52"/>
      <c r="J68" s="24"/>
      <c r="K68" s="24"/>
      <c r="L68" s="24"/>
      <c r="M68" s="24"/>
      <c r="N68" s="24"/>
      <c r="O68" s="24"/>
      <c r="P68" s="24"/>
      <c r="Q68" s="24"/>
      <c r="R68" s="24"/>
      <c r="S68" s="24"/>
      <c r="T68" s="24"/>
      <c r="U68" s="24"/>
      <c r="V68" s="24"/>
      <c r="W68" s="24"/>
      <c r="X68" s="24"/>
      <c r="Y68" s="24"/>
      <c r="Z68" s="24"/>
    </row>
    <row r="69" spans="1:26" ht="39" customHeight="1" x14ac:dyDescent="0.25">
      <c r="A69" s="24"/>
      <c r="B69" s="27">
        <v>18</v>
      </c>
      <c r="C69" s="28" t="s">
        <v>139</v>
      </c>
      <c r="D69" s="29"/>
      <c r="E69" s="30">
        <f t="shared" si="2"/>
        <v>47</v>
      </c>
      <c r="F69" s="31"/>
      <c r="G69" s="24"/>
      <c r="H69" s="24"/>
      <c r="I69" s="52"/>
      <c r="J69" s="24"/>
      <c r="K69" s="24"/>
      <c r="L69" s="24"/>
      <c r="M69" s="24"/>
      <c r="N69" s="24"/>
      <c r="O69" s="24"/>
      <c r="P69" s="24"/>
      <c r="Q69" s="24"/>
      <c r="R69" s="24"/>
      <c r="S69" s="24"/>
      <c r="T69" s="24"/>
      <c r="U69" s="24"/>
      <c r="V69" s="24"/>
      <c r="W69" s="24"/>
      <c r="X69" s="24"/>
      <c r="Y69" s="24"/>
      <c r="Z69" s="24"/>
    </row>
    <row r="70" spans="1:26" ht="39" customHeight="1" x14ac:dyDescent="0.25">
      <c r="A70" s="24"/>
      <c r="B70" s="27">
        <v>19</v>
      </c>
      <c r="C70" s="28" t="s">
        <v>141</v>
      </c>
      <c r="D70" s="29"/>
      <c r="E70" s="30">
        <f t="shared" si="2"/>
        <v>48</v>
      </c>
      <c r="F70" s="31"/>
      <c r="G70" s="24"/>
      <c r="H70" s="24"/>
      <c r="I70" s="52"/>
      <c r="J70" s="24"/>
      <c r="K70" s="24"/>
      <c r="L70" s="24"/>
      <c r="M70" s="24"/>
      <c r="N70" s="24"/>
      <c r="O70" s="24"/>
      <c r="P70" s="24"/>
      <c r="Q70" s="24"/>
      <c r="R70" s="24"/>
      <c r="S70" s="24"/>
      <c r="T70" s="24"/>
      <c r="U70" s="24"/>
      <c r="V70" s="24"/>
      <c r="W70" s="24"/>
      <c r="X70" s="24"/>
      <c r="Y70" s="24"/>
      <c r="Z70" s="24"/>
    </row>
    <row r="71" spans="1:26" ht="39" customHeight="1" x14ac:dyDescent="0.25">
      <c r="A71" s="24"/>
      <c r="B71" s="27">
        <v>20</v>
      </c>
      <c r="C71" s="28" t="s">
        <v>143</v>
      </c>
      <c r="D71" s="29"/>
      <c r="E71" s="30">
        <f t="shared" si="2"/>
        <v>49</v>
      </c>
      <c r="F71" s="31"/>
      <c r="G71" s="24"/>
      <c r="H71" s="24"/>
      <c r="I71" s="52"/>
      <c r="J71" s="24"/>
      <c r="K71" s="24"/>
      <c r="L71" s="24"/>
      <c r="M71" s="24"/>
      <c r="N71" s="24"/>
      <c r="O71" s="24"/>
      <c r="P71" s="24"/>
      <c r="Q71" s="24"/>
      <c r="R71" s="24"/>
      <c r="S71" s="24"/>
      <c r="T71" s="24"/>
      <c r="U71" s="24"/>
      <c r="V71" s="24"/>
      <c r="W71" s="24"/>
      <c r="X71" s="24"/>
      <c r="Y71" s="24"/>
      <c r="Z71" s="24"/>
    </row>
    <row r="72" spans="1:26" ht="39" customHeight="1" x14ac:dyDescent="0.25">
      <c r="A72" s="24"/>
      <c r="B72" s="27">
        <v>21</v>
      </c>
      <c r="C72" s="28" t="s">
        <v>145</v>
      </c>
      <c r="D72" s="29"/>
      <c r="E72" s="30">
        <f t="shared" si="2"/>
        <v>50</v>
      </c>
      <c r="F72" s="31"/>
      <c r="G72" s="24"/>
      <c r="H72" s="24"/>
      <c r="I72" s="52"/>
      <c r="J72" s="24"/>
      <c r="K72" s="24"/>
      <c r="L72" s="24"/>
      <c r="M72" s="24"/>
      <c r="N72" s="24"/>
      <c r="O72" s="24"/>
      <c r="P72" s="24"/>
      <c r="Q72" s="24"/>
      <c r="R72" s="24"/>
      <c r="S72" s="24"/>
      <c r="T72" s="24"/>
      <c r="U72" s="24"/>
      <c r="V72" s="24"/>
      <c r="W72" s="24"/>
      <c r="X72" s="24"/>
      <c r="Y72" s="24"/>
      <c r="Z72" s="24"/>
    </row>
    <row r="73" spans="1:26" ht="39" customHeight="1" x14ac:dyDescent="0.25">
      <c r="A73" s="24"/>
      <c r="B73" s="27">
        <v>22</v>
      </c>
      <c r="C73" s="28" t="s">
        <v>148</v>
      </c>
      <c r="D73" s="29"/>
      <c r="E73" s="30">
        <f t="shared" si="2"/>
        <v>51</v>
      </c>
      <c r="F73" s="31"/>
      <c r="G73" s="24"/>
      <c r="H73" s="24"/>
      <c r="I73" s="52"/>
      <c r="J73" s="24"/>
      <c r="K73" s="24"/>
      <c r="L73" s="24"/>
      <c r="M73" s="24"/>
      <c r="N73" s="24"/>
      <c r="O73" s="24"/>
      <c r="P73" s="24"/>
      <c r="Q73" s="24"/>
      <c r="R73" s="24"/>
      <c r="S73" s="24"/>
      <c r="T73" s="24"/>
      <c r="U73" s="24"/>
      <c r="V73" s="24"/>
      <c r="W73" s="24"/>
      <c r="X73" s="24"/>
      <c r="Y73" s="24"/>
      <c r="Z73" s="24"/>
    </row>
    <row r="74" spans="1:26" ht="39" customHeight="1" x14ac:dyDescent="0.25">
      <c r="A74" s="24"/>
      <c r="B74" s="27">
        <v>23</v>
      </c>
      <c r="C74" s="28" t="s">
        <v>149</v>
      </c>
      <c r="D74" s="29"/>
      <c r="E74" s="30">
        <f t="shared" si="2"/>
        <v>52</v>
      </c>
      <c r="F74" s="31"/>
      <c r="G74" s="24"/>
      <c r="H74" s="24"/>
      <c r="I74" s="52"/>
      <c r="J74" s="24"/>
      <c r="K74" s="24"/>
      <c r="L74" s="24"/>
      <c r="M74" s="24"/>
      <c r="N74" s="24"/>
      <c r="O74" s="24"/>
      <c r="P74" s="24"/>
      <c r="Q74" s="24"/>
      <c r="R74" s="24"/>
      <c r="S74" s="24"/>
      <c r="T74" s="24"/>
      <c r="U74" s="24"/>
      <c r="V74" s="24"/>
      <c r="W74" s="24"/>
      <c r="X74" s="24"/>
      <c r="Y74" s="24"/>
      <c r="Z74" s="24"/>
    </row>
    <row r="75" spans="1:26" ht="39" customHeight="1" x14ac:dyDescent="0.25">
      <c r="A75" s="24"/>
      <c r="B75" s="27">
        <v>24</v>
      </c>
      <c r="C75" s="28" t="s">
        <v>150</v>
      </c>
      <c r="D75" s="29"/>
      <c r="E75" s="30">
        <f t="shared" si="2"/>
        <v>53</v>
      </c>
      <c r="F75" s="31"/>
      <c r="G75" s="24"/>
      <c r="H75" s="24"/>
      <c r="I75" s="52"/>
      <c r="J75" s="24"/>
      <c r="K75" s="24"/>
      <c r="L75" s="24"/>
      <c r="M75" s="24"/>
      <c r="N75" s="24"/>
      <c r="O75" s="24"/>
      <c r="P75" s="24"/>
      <c r="Q75" s="24"/>
      <c r="R75" s="24"/>
      <c r="S75" s="24"/>
      <c r="T75" s="24"/>
      <c r="U75" s="24"/>
      <c r="V75" s="24"/>
      <c r="W75" s="24"/>
      <c r="X75" s="24"/>
      <c r="Y75" s="24"/>
      <c r="Z75" s="24"/>
    </row>
    <row r="76" spans="1:26" ht="39" customHeight="1" x14ac:dyDescent="0.25">
      <c r="A76" s="24"/>
      <c r="B76" s="27">
        <v>25</v>
      </c>
      <c r="C76" s="28" t="s">
        <v>152</v>
      </c>
      <c r="D76" s="29"/>
      <c r="E76" s="30">
        <f t="shared" si="2"/>
        <v>54</v>
      </c>
      <c r="F76" s="31"/>
      <c r="G76" s="24"/>
      <c r="H76" s="24"/>
      <c r="I76" s="52"/>
      <c r="J76" s="24"/>
      <c r="K76" s="24"/>
      <c r="L76" s="24"/>
      <c r="M76" s="24"/>
      <c r="N76" s="24"/>
      <c r="O76" s="24"/>
      <c r="P76" s="24"/>
      <c r="Q76" s="24"/>
      <c r="R76" s="24"/>
      <c r="S76" s="24"/>
      <c r="T76" s="24"/>
      <c r="U76" s="24"/>
      <c r="V76" s="24"/>
      <c r="W76" s="24"/>
      <c r="X76" s="24"/>
      <c r="Y76" s="24"/>
      <c r="Z76" s="24"/>
    </row>
    <row r="77" spans="1:26" ht="39" customHeight="1" x14ac:dyDescent="0.25">
      <c r="A77" s="24"/>
      <c r="B77" s="27">
        <v>26</v>
      </c>
      <c r="C77" s="28" t="s">
        <v>153</v>
      </c>
      <c r="D77" s="29"/>
      <c r="E77" s="30">
        <f t="shared" si="2"/>
        <v>55</v>
      </c>
      <c r="F77" s="31"/>
      <c r="G77" s="24"/>
      <c r="H77" s="24"/>
      <c r="I77" s="52"/>
      <c r="J77" s="24"/>
      <c r="K77" s="24"/>
      <c r="L77" s="24"/>
      <c r="M77" s="24"/>
      <c r="N77" s="24"/>
      <c r="O77" s="24"/>
      <c r="P77" s="24"/>
      <c r="Q77" s="24"/>
      <c r="R77" s="24"/>
      <c r="S77" s="24"/>
      <c r="T77" s="24"/>
      <c r="U77" s="24"/>
      <c r="V77" s="24"/>
      <c r="W77" s="24"/>
      <c r="X77" s="24"/>
      <c r="Y77" s="24"/>
      <c r="Z77" s="24"/>
    </row>
    <row r="78" spans="1:26" ht="39" customHeight="1" x14ac:dyDescent="0.25">
      <c r="A78" s="24"/>
      <c r="B78" s="27">
        <v>27</v>
      </c>
      <c r="C78" s="28" t="s">
        <v>154</v>
      </c>
      <c r="D78" s="29"/>
      <c r="E78" s="30">
        <f t="shared" si="2"/>
        <v>56</v>
      </c>
      <c r="F78" s="31"/>
      <c r="G78" s="24"/>
      <c r="H78" s="24"/>
      <c r="I78" s="52"/>
      <c r="J78" s="24"/>
      <c r="K78" s="24"/>
      <c r="L78" s="24"/>
      <c r="M78" s="24"/>
      <c r="N78" s="24"/>
      <c r="O78" s="24"/>
      <c r="P78" s="24"/>
      <c r="Q78" s="24"/>
      <c r="R78" s="24"/>
      <c r="S78" s="24"/>
      <c r="T78" s="24"/>
      <c r="U78" s="24"/>
      <c r="V78" s="24"/>
      <c r="W78" s="24"/>
      <c r="X78" s="24"/>
      <c r="Y78" s="24"/>
      <c r="Z78" s="24"/>
    </row>
    <row r="79" spans="1:26" ht="39" customHeight="1" x14ac:dyDescent="0.25">
      <c r="A79" s="24"/>
      <c r="B79" s="33">
        <v>28</v>
      </c>
      <c r="C79" s="34" t="s">
        <v>155</v>
      </c>
      <c r="D79" s="35"/>
      <c r="E79" s="36">
        <f t="shared" si="2"/>
        <v>57</v>
      </c>
      <c r="F79" s="37"/>
      <c r="G79" s="24"/>
      <c r="H79" s="24"/>
      <c r="I79" s="24"/>
      <c r="J79" s="24"/>
      <c r="K79" s="24"/>
      <c r="L79" s="24"/>
      <c r="M79" s="24"/>
      <c r="N79" s="24"/>
      <c r="O79" s="24"/>
      <c r="P79" s="24"/>
      <c r="Q79" s="24"/>
      <c r="R79" s="24"/>
      <c r="S79" s="24"/>
      <c r="T79" s="24"/>
      <c r="U79" s="24"/>
      <c r="V79" s="24"/>
      <c r="W79" s="24"/>
      <c r="X79" s="24"/>
      <c r="Y79" s="24"/>
      <c r="Z79" s="24"/>
    </row>
    <row r="80" spans="1:26" ht="39" customHeight="1" x14ac:dyDescent="0.25">
      <c r="A80" s="24"/>
      <c r="B80" s="38"/>
      <c r="C80" s="39" t="s">
        <v>53</v>
      </c>
      <c r="D80" s="40">
        <f>AVERAGE(D52:D79)</f>
        <v>9</v>
      </c>
      <c r="E80" s="24"/>
      <c r="F80" s="24"/>
      <c r="G80" s="24"/>
      <c r="H80" s="24"/>
      <c r="I80" s="24"/>
      <c r="J80" s="24"/>
      <c r="K80" s="24"/>
      <c r="L80" s="24"/>
      <c r="M80" s="24"/>
      <c r="N80" s="24"/>
      <c r="O80" s="24"/>
      <c r="P80" s="24"/>
      <c r="Q80" s="24"/>
      <c r="R80" s="24"/>
      <c r="S80" s="24"/>
      <c r="T80" s="24"/>
      <c r="U80" s="24"/>
      <c r="V80" s="24"/>
      <c r="W80" s="24"/>
      <c r="X80" s="24"/>
      <c r="Y80" s="24"/>
      <c r="Z80" s="24"/>
    </row>
    <row r="81" spans="1:26" ht="39" customHeight="1" x14ac:dyDescent="0.25">
      <c r="A81" s="24"/>
      <c r="B81" s="38"/>
      <c r="C81" s="61"/>
      <c r="D81" s="62"/>
      <c r="E81" s="24"/>
      <c r="F81" s="24"/>
      <c r="G81" s="24"/>
      <c r="H81" s="24"/>
      <c r="I81" s="24"/>
      <c r="J81" s="24"/>
      <c r="K81" s="24"/>
      <c r="L81" s="24"/>
      <c r="M81" s="24"/>
      <c r="N81" s="24"/>
      <c r="O81" s="24"/>
      <c r="P81" s="24"/>
      <c r="Q81" s="24"/>
      <c r="R81" s="24"/>
      <c r="S81" s="24"/>
      <c r="T81" s="24"/>
      <c r="U81" s="24"/>
      <c r="V81" s="24"/>
      <c r="W81" s="24"/>
      <c r="X81" s="24"/>
      <c r="Y81" s="24"/>
      <c r="Z81" s="24"/>
    </row>
    <row r="82" spans="1:26" ht="39" customHeight="1" x14ac:dyDescent="0.25">
      <c r="A82" s="24"/>
      <c r="B82" s="171" t="s">
        <v>40</v>
      </c>
      <c r="C82" s="156"/>
      <c r="D82" s="156"/>
      <c r="E82" s="156"/>
      <c r="F82" s="157"/>
      <c r="G82" s="24"/>
      <c r="H82" s="24"/>
      <c r="I82" s="24"/>
      <c r="J82" s="24"/>
      <c r="K82" s="24"/>
      <c r="L82" s="24"/>
      <c r="M82" s="24"/>
      <c r="N82" s="24"/>
      <c r="O82" s="24"/>
      <c r="P82" s="24"/>
      <c r="Q82" s="24"/>
      <c r="R82" s="24"/>
      <c r="S82" s="24"/>
      <c r="T82" s="24"/>
      <c r="U82" s="24"/>
      <c r="V82" s="24"/>
      <c r="W82" s="24"/>
      <c r="X82" s="24"/>
      <c r="Y82" s="24"/>
      <c r="Z82" s="24"/>
    </row>
    <row r="83" spans="1:26" ht="39" customHeight="1" x14ac:dyDescent="0.25">
      <c r="A83" s="24"/>
      <c r="B83" s="169"/>
      <c r="C83" s="102"/>
      <c r="D83" s="25" t="s">
        <v>23</v>
      </c>
      <c r="E83" s="25" t="s">
        <v>34</v>
      </c>
      <c r="F83" s="26" t="s">
        <v>35</v>
      </c>
      <c r="G83" s="24"/>
      <c r="H83" s="24"/>
      <c r="I83" s="24"/>
      <c r="J83" s="24"/>
      <c r="K83" s="24"/>
      <c r="L83" s="24"/>
      <c r="M83" s="24"/>
      <c r="N83" s="24"/>
      <c r="O83" s="24"/>
      <c r="P83" s="24"/>
      <c r="Q83" s="24"/>
      <c r="R83" s="24"/>
      <c r="S83" s="24"/>
      <c r="T83" s="24"/>
      <c r="U83" s="24"/>
      <c r="V83" s="24"/>
      <c r="W83" s="24"/>
      <c r="X83" s="24"/>
      <c r="Y83" s="24"/>
      <c r="Z83" s="24"/>
    </row>
    <row r="84" spans="1:26" ht="39" customHeight="1" x14ac:dyDescent="0.25">
      <c r="A84" s="24"/>
      <c r="B84" s="27">
        <v>1</v>
      </c>
      <c r="C84" s="28" t="s">
        <v>156</v>
      </c>
      <c r="D84" s="29">
        <v>7</v>
      </c>
      <c r="E84" s="30">
        <f>1+E79</f>
        <v>58</v>
      </c>
      <c r="F84" s="31"/>
      <c r="G84" s="24"/>
      <c r="H84" s="23"/>
      <c r="I84" s="24"/>
      <c r="J84" s="24"/>
      <c r="K84" s="24"/>
      <c r="L84" s="24"/>
      <c r="M84" s="24"/>
      <c r="N84" s="24"/>
      <c r="O84" s="24"/>
      <c r="P84" s="24"/>
      <c r="Q84" s="24"/>
      <c r="R84" s="24"/>
      <c r="S84" s="24"/>
      <c r="T84" s="24"/>
      <c r="U84" s="24"/>
      <c r="V84" s="24"/>
      <c r="W84" s="24"/>
      <c r="X84" s="24"/>
      <c r="Y84" s="24"/>
      <c r="Z84" s="24"/>
    </row>
    <row r="85" spans="1:26" ht="39" customHeight="1" x14ac:dyDescent="0.25">
      <c r="A85" s="24"/>
      <c r="B85" s="27">
        <v>2</v>
      </c>
      <c r="C85" s="28" t="s">
        <v>158</v>
      </c>
      <c r="D85" s="29"/>
      <c r="E85" s="30">
        <f t="shared" ref="E85:E93" si="3">1+E84</f>
        <v>59</v>
      </c>
      <c r="F85" s="31"/>
      <c r="G85" s="24"/>
      <c r="H85" s="23"/>
      <c r="I85" s="24"/>
      <c r="J85" s="24"/>
      <c r="K85" s="24"/>
      <c r="L85" s="24"/>
      <c r="M85" s="24"/>
      <c r="N85" s="24"/>
      <c r="O85" s="24"/>
      <c r="P85" s="24"/>
      <c r="Q85" s="24"/>
      <c r="R85" s="24"/>
      <c r="S85" s="24"/>
      <c r="T85" s="24"/>
      <c r="U85" s="24"/>
      <c r="V85" s="24"/>
      <c r="W85" s="24"/>
      <c r="X85" s="24"/>
      <c r="Y85" s="24"/>
      <c r="Z85" s="24"/>
    </row>
    <row r="86" spans="1:26" ht="39" customHeight="1" x14ac:dyDescent="0.25">
      <c r="A86" s="24"/>
      <c r="B86" s="27">
        <v>3</v>
      </c>
      <c r="C86" s="64" t="s">
        <v>159</v>
      </c>
      <c r="D86" s="29"/>
      <c r="E86" s="30">
        <f t="shared" si="3"/>
        <v>60</v>
      </c>
      <c r="F86" s="31"/>
      <c r="G86" s="24"/>
      <c r="H86" s="23"/>
      <c r="I86" s="24"/>
      <c r="J86" s="24"/>
      <c r="K86" s="24"/>
      <c r="L86" s="24"/>
      <c r="M86" s="24"/>
      <c r="N86" s="24"/>
      <c r="O86" s="24"/>
      <c r="P86" s="24"/>
      <c r="Q86" s="24"/>
      <c r="R86" s="24"/>
      <c r="S86" s="24"/>
      <c r="T86" s="24"/>
      <c r="U86" s="24"/>
      <c r="V86" s="24"/>
      <c r="W86" s="24"/>
      <c r="X86" s="24"/>
      <c r="Y86" s="24"/>
      <c r="Z86" s="24"/>
    </row>
    <row r="87" spans="1:26" ht="39" customHeight="1" x14ac:dyDescent="0.25">
      <c r="A87" s="24"/>
      <c r="B87" s="27">
        <v>4</v>
      </c>
      <c r="C87" s="64" t="s">
        <v>164</v>
      </c>
      <c r="D87" s="29"/>
      <c r="E87" s="30">
        <f t="shared" si="3"/>
        <v>61</v>
      </c>
      <c r="F87" s="31"/>
      <c r="G87" s="24"/>
      <c r="H87" s="23"/>
      <c r="I87" s="24"/>
      <c r="J87" s="24"/>
      <c r="K87" s="24"/>
      <c r="L87" s="24"/>
      <c r="M87" s="24"/>
      <c r="N87" s="24"/>
      <c r="O87" s="24"/>
      <c r="P87" s="24"/>
      <c r="Q87" s="24"/>
      <c r="R87" s="24"/>
      <c r="S87" s="24"/>
      <c r="T87" s="24"/>
      <c r="U87" s="24"/>
      <c r="V87" s="24"/>
      <c r="W87" s="24"/>
      <c r="X87" s="24"/>
      <c r="Y87" s="24"/>
      <c r="Z87" s="24"/>
    </row>
    <row r="88" spans="1:26" ht="39" customHeight="1" x14ac:dyDescent="0.25">
      <c r="A88" s="24"/>
      <c r="B88" s="27">
        <v>5</v>
      </c>
      <c r="C88" s="64" t="s">
        <v>166</v>
      </c>
      <c r="D88" s="29"/>
      <c r="E88" s="30">
        <f t="shared" si="3"/>
        <v>62</v>
      </c>
      <c r="F88" s="31"/>
      <c r="G88" s="24"/>
      <c r="H88" s="23"/>
      <c r="I88" s="24"/>
      <c r="J88" s="24"/>
      <c r="K88" s="24"/>
      <c r="L88" s="24"/>
      <c r="M88" s="24"/>
      <c r="N88" s="24"/>
      <c r="O88" s="24"/>
      <c r="P88" s="24"/>
      <c r="Q88" s="24"/>
      <c r="R88" s="24"/>
      <c r="S88" s="24"/>
      <c r="T88" s="24"/>
      <c r="U88" s="24"/>
      <c r="V88" s="24"/>
      <c r="W88" s="24"/>
      <c r="X88" s="24"/>
      <c r="Y88" s="24"/>
      <c r="Z88" s="24"/>
    </row>
    <row r="89" spans="1:26" ht="39" customHeight="1" x14ac:dyDescent="0.25">
      <c r="A89" s="24"/>
      <c r="B89" s="27">
        <v>6</v>
      </c>
      <c r="C89" s="28" t="s">
        <v>169</v>
      </c>
      <c r="D89" s="29"/>
      <c r="E89" s="30">
        <f t="shared" si="3"/>
        <v>63</v>
      </c>
      <c r="F89" s="31"/>
      <c r="G89" s="24"/>
      <c r="H89" s="23"/>
      <c r="I89" s="24"/>
      <c r="J89" s="24"/>
      <c r="K89" s="24"/>
      <c r="L89" s="24"/>
      <c r="M89" s="24"/>
      <c r="N89" s="24"/>
      <c r="O89" s="24"/>
      <c r="P89" s="24"/>
      <c r="Q89" s="24"/>
      <c r="R89" s="24"/>
      <c r="S89" s="24"/>
      <c r="T89" s="24"/>
      <c r="U89" s="24"/>
      <c r="V89" s="24"/>
      <c r="W89" s="24"/>
      <c r="X89" s="24"/>
      <c r="Y89" s="24"/>
      <c r="Z89" s="24"/>
    </row>
    <row r="90" spans="1:26" ht="39" customHeight="1" x14ac:dyDescent="0.25">
      <c r="A90" s="24"/>
      <c r="B90" s="27">
        <v>7</v>
      </c>
      <c r="C90" s="28" t="s">
        <v>171</v>
      </c>
      <c r="D90" s="29"/>
      <c r="E90" s="30">
        <f t="shared" si="3"/>
        <v>64</v>
      </c>
      <c r="F90" s="31"/>
      <c r="G90" s="24"/>
      <c r="H90" s="23"/>
      <c r="I90" s="24"/>
      <c r="J90" s="24"/>
      <c r="K90" s="24"/>
      <c r="L90" s="24"/>
      <c r="M90" s="24"/>
      <c r="N90" s="24"/>
      <c r="O90" s="24"/>
      <c r="P90" s="24"/>
      <c r="Q90" s="24"/>
      <c r="R90" s="24"/>
      <c r="S90" s="24"/>
      <c r="T90" s="24"/>
      <c r="U90" s="24"/>
      <c r="V90" s="24"/>
      <c r="W90" s="24"/>
      <c r="X90" s="24"/>
      <c r="Y90" s="24"/>
      <c r="Z90" s="24"/>
    </row>
    <row r="91" spans="1:26" ht="39" customHeight="1" x14ac:dyDescent="0.25">
      <c r="A91" s="24"/>
      <c r="B91" s="27">
        <v>8</v>
      </c>
      <c r="C91" s="28" t="s">
        <v>174</v>
      </c>
      <c r="D91" s="29"/>
      <c r="E91" s="30">
        <f t="shared" si="3"/>
        <v>65</v>
      </c>
      <c r="F91" s="31"/>
      <c r="G91" s="24"/>
      <c r="H91" s="24"/>
      <c r="I91" s="24"/>
      <c r="J91" s="24"/>
      <c r="K91" s="24"/>
      <c r="L91" s="24"/>
      <c r="M91" s="24"/>
      <c r="N91" s="24"/>
      <c r="O91" s="24"/>
      <c r="P91" s="24"/>
      <c r="Q91" s="24"/>
      <c r="R91" s="24"/>
      <c r="S91" s="24"/>
      <c r="T91" s="24"/>
      <c r="U91" s="24"/>
      <c r="V91" s="24"/>
      <c r="W91" s="24"/>
      <c r="X91" s="24"/>
      <c r="Y91" s="24"/>
      <c r="Z91" s="24"/>
    </row>
    <row r="92" spans="1:26" ht="39" customHeight="1" x14ac:dyDescent="0.25">
      <c r="A92" s="24"/>
      <c r="B92" s="27">
        <v>9</v>
      </c>
      <c r="C92" s="28" t="s">
        <v>175</v>
      </c>
      <c r="D92" s="29"/>
      <c r="E92" s="30">
        <f t="shared" si="3"/>
        <v>66</v>
      </c>
      <c r="F92" s="31"/>
      <c r="G92" s="24"/>
      <c r="H92" s="24"/>
      <c r="I92" s="24"/>
      <c r="J92" s="24"/>
      <c r="K92" s="24"/>
      <c r="L92" s="24"/>
      <c r="M92" s="24"/>
      <c r="N92" s="24"/>
      <c r="O92" s="24"/>
      <c r="P92" s="24"/>
      <c r="Q92" s="24"/>
      <c r="R92" s="24"/>
      <c r="S92" s="24"/>
      <c r="T92" s="24"/>
      <c r="U92" s="24"/>
      <c r="V92" s="24"/>
      <c r="W92" s="24"/>
      <c r="X92" s="24"/>
      <c r="Y92" s="24"/>
      <c r="Z92" s="24"/>
    </row>
    <row r="93" spans="1:26" ht="39" customHeight="1" x14ac:dyDescent="0.25">
      <c r="A93" s="24"/>
      <c r="B93" s="33">
        <v>10</v>
      </c>
      <c r="C93" s="34" t="s">
        <v>176</v>
      </c>
      <c r="D93" s="35"/>
      <c r="E93" s="36">
        <f t="shared" si="3"/>
        <v>67</v>
      </c>
      <c r="F93" s="37"/>
      <c r="G93" s="24"/>
      <c r="H93" s="24"/>
      <c r="I93" s="24"/>
      <c r="J93" s="24"/>
      <c r="K93" s="24"/>
      <c r="L93" s="24"/>
      <c r="M93" s="24"/>
      <c r="N93" s="24"/>
      <c r="O93" s="24"/>
      <c r="P93" s="24"/>
      <c r="Q93" s="24"/>
      <c r="R93" s="24"/>
      <c r="S93" s="24"/>
      <c r="T93" s="24"/>
      <c r="U93" s="24"/>
      <c r="V93" s="24"/>
      <c r="W93" s="24"/>
      <c r="X93" s="24"/>
      <c r="Y93" s="24"/>
      <c r="Z93" s="24"/>
    </row>
    <row r="94" spans="1:26" ht="39" customHeight="1" x14ac:dyDescent="0.25">
      <c r="A94" s="24"/>
      <c r="B94" s="38"/>
      <c r="C94" s="39" t="s">
        <v>53</v>
      </c>
      <c r="D94" s="40">
        <f>AVERAGE(D84:D93)</f>
        <v>7</v>
      </c>
      <c r="E94" s="24"/>
      <c r="F94" s="24"/>
      <c r="G94" s="24"/>
      <c r="H94" s="24"/>
      <c r="I94" s="24"/>
      <c r="J94" s="24"/>
      <c r="K94" s="24"/>
      <c r="L94" s="24"/>
      <c r="M94" s="24"/>
      <c r="N94" s="24"/>
      <c r="O94" s="24"/>
      <c r="P94" s="24"/>
      <c r="Q94" s="24"/>
      <c r="R94" s="24"/>
      <c r="S94" s="24"/>
      <c r="T94" s="24"/>
      <c r="U94" s="24"/>
      <c r="V94" s="24"/>
      <c r="W94" s="24"/>
      <c r="X94" s="24"/>
      <c r="Y94" s="24"/>
      <c r="Z94" s="24"/>
    </row>
    <row r="95" spans="1:26" ht="39" customHeight="1" x14ac:dyDescent="0.25">
      <c r="A95" s="24"/>
      <c r="B95" s="68"/>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ht="39" customHeight="1" x14ac:dyDescent="0.25">
      <c r="A96" s="24"/>
      <c r="B96" s="171" t="s">
        <v>43</v>
      </c>
      <c r="C96" s="156"/>
      <c r="D96" s="156"/>
      <c r="E96" s="156"/>
      <c r="F96" s="157"/>
      <c r="G96" s="24"/>
      <c r="H96" s="24"/>
      <c r="I96" s="24"/>
      <c r="J96" s="24"/>
      <c r="K96" s="24"/>
      <c r="L96" s="24"/>
      <c r="M96" s="24"/>
      <c r="N96" s="24"/>
      <c r="O96" s="24"/>
      <c r="P96" s="24"/>
      <c r="Q96" s="24"/>
      <c r="R96" s="24"/>
      <c r="S96" s="24"/>
      <c r="T96" s="24"/>
      <c r="U96" s="24"/>
      <c r="V96" s="24"/>
      <c r="W96" s="24"/>
      <c r="X96" s="24"/>
      <c r="Y96" s="24"/>
      <c r="Z96" s="24"/>
    </row>
    <row r="97" spans="1:26" ht="39" customHeight="1" x14ac:dyDescent="0.25">
      <c r="A97" s="24"/>
      <c r="B97" s="169"/>
      <c r="C97" s="102"/>
      <c r="D97" s="25" t="s">
        <v>23</v>
      </c>
      <c r="E97" s="25" t="s">
        <v>34</v>
      </c>
      <c r="F97" s="26" t="s">
        <v>35</v>
      </c>
      <c r="G97" s="24"/>
      <c r="H97" s="24"/>
      <c r="I97" s="24"/>
      <c r="J97" s="24"/>
      <c r="K97" s="24"/>
      <c r="L97" s="24"/>
      <c r="M97" s="24"/>
      <c r="N97" s="24"/>
      <c r="O97" s="24"/>
      <c r="P97" s="24"/>
      <c r="Q97" s="24"/>
      <c r="R97" s="24"/>
      <c r="S97" s="24"/>
      <c r="T97" s="24"/>
      <c r="U97" s="24"/>
      <c r="V97" s="24"/>
      <c r="W97" s="24"/>
      <c r="X97" s="24"/>
      <c r="Y97" s="24"/>
      <c r="Z97" s="24"/>
    </row>
    <row r="98" spans="1:26" ht="39" customHeight="1" x14ac:dyDescent="0.25">
      <c r="A98" s="24"/>
      <c r="B98" s="27">
        <v>1</v>
      </c>
      <c r="C98" s="28" t="s">
        <v>182</v>
      </c>
      <c r="D98" s="29">
        <v>5</v>
      </c>
      <c r="E98" s="30">
        <f>1+E93</f>
        <v>68</v>
      </c>
      <c r="F98" s="31"/>
      <c r="G98" s="24"/>
      <c r="H98" s="24"/>
      <c r="I98" s="24"/>
      <c r="J98" s="24"/>
      <c r="K98" s="24"/>
      <c r="L98" s="24"/>
      <c r="M98" s="24"/>
      <c r="N98" s="24"/>
      <c r="O98" s="24"/>
      <c r="P98" s="24"/>
      <c r="Q98" s="24"/>
      <c r="R98" s="24"/>
      <c r="S98" s="24"/>
      <c r="T98" s="24"/>
      <c r="U98" s="24"/>
      <c r="V98" s="24"/>
      <c r="W98" s="24"/>
      <c r="X98" s="24"/>
      <c r="Y98" s="24"/>
      <c r="Z98" s="24"/>
    </row>
    <row r="99" spans="1:26" ht="39" customHeight="1" x14ac:dyDescent="0.25">
      <c r="A99" s="24"/>
      <c r="B99" s="27">
        <v>2</v>
      </c>
      <c r="C99" s="28" t="s">
        <v>183</v>
      </c>
      <c r="D99" s="29">
        <v>8</v>
      </c>
      <c r="E99" s="30">
        <f t="shared" ref="E99:E105" si="4">1+E98</f>
        <v>69</v>
      </c>
      <c r="F99" s="31"/>
      <c r="G99" s="24"/>
      <c r="H99" s="24"/>
      <c r="I99" s="24"/>
      <c r="J99" s="24"/>
      <c r="K99" s="24"/>
      <c r="L99" s="24"/>
      <c r="M99" s="24"/>
      <c r="N99" s="24"/>
      <c r="O99" s="24"/>
      <c r="P99" s="24"/>
      <c r="Q99" s="24"/>
      <c r="R99" s="24"/>
      <c r="S99" s="24"/>
      <c r="T99" s="24"/>
      <c r="U99" s="24"/>
      <c r="V99" s="24"/>
      <c r="W99" s="24"/>
      <c r="X99" s="24"/>
      <c r="Y99" s="24"/>
      <c r="Z99" s="24"/>
    </row>
    <row r="100" spans="1:26" ht="39" customHeight="1" x14ac:dyDescent="0.25">
      <c r="A100" s="24"/>
      <c r="B100" s="27">
        <v>3</v>
      </c>
      <c r="C100" s="28" t="s">
        <v>184</v>
      </c>
      <c r="D100" s="29"/>
      <c r="E100" s="30">
        <f t="shared" si="4"/>
        <v>70</v>
      </c>
      <c r="F100" s="31"/>
      <c r="G100" s="24"/>
      <c r="H100" s="24"/>
      <c r="I100" s="24"/>
      <c r="J100" s="24"/>
      <c r="K100" s="24"/>
      <c r="L100" s="24"/>
      <c r="M100" s="24"/>
      <c r="N100" s="24"/>
      <c r="O100" s="24"/>
      <c r="P100" s="24"/>
      <c r="Q100" s="24"/>
      <c r="R100" s="24"/>
      <c r="S100" s="24"/>
      <c r="T100" s="24"/>
      <c r="U100" s="24"/>
      <c r="V100" s="24"/>
      <c r="W100" s="24"/>
      <c r="X100" s="24"/>
      <c r="Y100" s="24"/>
      <c r="Z100" s="24"/>
    </row>
    <row r="101" spans="1:26" ht="39" customHeight="1" x14ac:dyDescent="0.25">
      <c r="A101" s="24"/>
      <c r="B101" s="27">
        <v>4</v>
      </c>
      <c r="C101" s="28" t="s">
        <v>185</v>
      </c>
      <c r="D101" s="29"/>
      <c r="E101" s="30">
        <f t="shared" si="4"/>
        <v>71</v>
      </c>
      <c r="F101" s="31"/>
      <c r="G101" s="24"/>
      <c r="H101" s="24"/>
      <c r="I101" s="24"/>
      <c r="J101" s="24"/>
      <c r="K101" s="24"/>
      <c r="L101" s="24"/>
      <c r="M101" s="24"/>
      <c r="N101" s="24"/>
      <c r="O101" s="24"/>
      <c r="P101" s="24"/>
      <c r="Q101" s="24"/>
      <c r="R101" s="24"/>
      <c r="S101" s="24"/>
      <c r="T101" s="24"/>
      <c r="U101" s="24"/>
      <c r="V101" s="24"/>
      <c r="W101" s="24"/>
      <c r="X101" s="24"/>
      <c r="Y101" s="24"/>
      <c r="Z101" s="24"/>
    </row>
    <row r="102" spans="1:26" ht="39" customHeight="1" x14ac:dyDescent="0.25">
      <c r="A102" s="24"/>
      <c r="B102" s="27">
        <v>5</v>
      </c>
      <c r="C102" s="28" t="s">
        <v>186</v>
      </c>
      <c r="D102" s="29"/>
      <c r="E102" s="30">
        <f t="shared" si="4"/>
        <v>72</v>
      </c>
      <c r="F102" s="31"/>
      <c r="G102" s="24"/>
      <c r="H102" s="24"/>
      <c r="I102" s="24"/>
      <c r="J102" s="24"/>
      <c r="K102" s="24"/>
      <c r="L102" s="24"/>
      <c r="M102" s="24"/>
      <c r="N102" s="24"/>
      <c r="O102" s="24"/>
      <c r="P102" s="24"/>
      <c r="Q102" s="24"/>
      <c r="R102" s="24"/>
      <c r="S102" s="24"/>
      <c r="T102" s="24"/>
      <c r="U102" s="24"/>
      <c r="V102" s="24"/>
      <c r="W102" s="24"/>
      <c r="X102" s="24"/>
      <c r="Y102" s="24"/>
      <c r="Z102" s="24"/>
    </row>
    <row r="103" spans="1:26" ht="39" customHeight="1" x14ac:dyDescent="0.25">
      <c r="A103" s="24"/>
      <c r="B103" s="27">
        <v>6</v>
      </c>
      <c r="C103" s="28" t="s">
        <v>187</v>
      </c>
      <c r="D103" s="29"/>
      <c r="E103" s="30">
        <f t="shared" si="4"/>
        <v>73</v>
      </c>
      <c r="F103" s="31"/>
      <c r="G103" s="24"/>
      <c r="H103" s="24"/>
      <c r="I103" s="24"/>
      <c r="J103" s="24"/>
      <c r="K103" s="24"/>
      <c r="L103" s="24"/>
      <c r="M103" s="24"/>
      <c r="N103" s="24"/>
      <c r="O103" s="24"/>
      <c r="P103" s="24"/>
      <c r="Q103" s="24"/>
      <c r="R103" s="24"/>
      <c r="S103" s="24"/>
      <c r="T103" s="24"/>
      <c r="U103" s="24"/>
      <c r="V103" s="24"/>
      <c r="W103" s="24"/>
      <c r="X103" s="24"/>
      <c r="Y103" s="24"/>
      <c r="Z103" s="24"/>
    </row>
    <row r="104" spans="1:26" ht="39" customHeight="1" x14ac:dyDescent="0.25">
      <c r="A104" s="24"/>
      <c r="B104" s="27">
        <v>7</v>
      </c>
      <c r="C104" s="28" t="s">
        <v>189</v>
      </c>
      <c r="D104" s="29"/>
      <c r="E104" s="30">
        <f t="shared" si="4"/>
        <v>74</v>
      </c>
      <c r="F104" s="31"/>
      <c r="G104" s="24"/>
      <c r="H104" s="24"/>
      <c r="I104" s="24"/>
      <c r="J104" s="24"/>
      <c r="K104" s="24"/>
      <c r="L104" s="24"/>
      <c r="M104" s="24"/>
      <c r="N104" s="24"/>
      <c r="O104" s="24"/>
      <c r="P104" s="24"/>
      <c r="Q104" s="24"/>
      <c r="R104" s="24"/>
      <c r="S104" s="24"/>
      <c r="T104" s="24"/>
      <c r="U104" s="24"/>
      <c r="V104" s="24"/>
      <c r="W104" s="24"/>
      <c r="X104" s="24"/>
      <c r="Y104" s="24"/>
      <c r="Z104" s="24"/>
    </row>
    <row r="105" spans="1:26" ht="39" customHeight="1" x14ac:dyDescent="0.25">
      <c r="A105" s="24"/>
      <c r="B105" s="33">
        <v>8</v>
      </c>
      <c r="C105" s="34" t="s">
        <v>191</v>
      </c>
      <c r="D105" s="35"/>
      <c r="E105" s="36">
        <f t="shared" si="4"/>
        <v>75</v>
      </c>
      <c r="F105" s="37"/>
      <c r="G105" s="24"/>
      <c r="H105" s="24"/>
      <c r="I105" s="24"/>
      <c r="J105" s="24"/>
      <c r="K105" s="24"/>
      <c r="L105" s="24"/>
      <c r="M105" s="24"/>
      <c r="N105" s="24"/>
      <c r="O105" s="24"/>
      <c r="P105" s="24"/>
      <c r="Q105" s="24"/>
      <c r="R105" s="24"/>
      <c r="S105" s="24"/>
      <c r="T105" s="24"/>
      <c r="U105" s="24"/>
      <c r="V105" s="24"/>
      <c r="W105" s="24"/>
      <c r="X105" s="24"/>
      <c r="Y105" s="24"/>
      <c r="Z105" s="24"/>
    </row>
    <row r="106" spans="1:26" ht="39" customHeight="1" x14ac:dyDescent="0.25">
      <c r="A106" s="24"/>
      <c r="B106" s="38"/>
      <c r="C106" s="39" t="s">
        <v>53</v>
      </c>
      <c r="D106" s="40">
        <f>AVERAGE(D98:D105)</f>
        <v>6.5</v>
      </c>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ht="39" customHeight="1" x14ac:dyDescent="0.25">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ht="39" customHeight="1" x14ac:dyDescent="0.25">
      <c r="A108" s="24"/>
      <c r="B108" s="171" t="s">
        <v>45</v>
      </c>
      <c r="C108" s="156"/>
      <c r="D108" s="156"/>
      <c r="E108" s="156"/>
      <c r="F108" s="157"/>
      <c r="G108" s="24"/>
      <c r="H108" s="24"/>
      <c r="I108" s="24"/>
      <c r="J108" s="24"/>
      <c r="K108" s="24"/>
      <c r="L108" s="24"/>
      <c r="M108" s="24"/>
      <c r="N108" s="24"/>
      <c r="O108" s="24"/>
      <c r="P108" s="24"/>
      <c r="Q108" s="24"/>
      <c r="R108" s="24"/>
      <c r="S108" s="24"/>
      <c r="T108" s="24"/>
      <c r="U108" s="24"/>
      <c r="V108" s="24"/>
      <c r="W108" s="24"/>
      <c r="X108" s="24"/>
      <c r="Y108" s="24"/>
      <c r="Z108" s="24"/>
    </row>
    <row r="109" spans="1:26" ht="39" customHeight="1" x14ac:dyDescent="0.25">
      <c r="A109" s="24"/>
      <c r="B109" s="169"/>
      <c r="C109" s="102"/>
      <c r="D109" s="25" t="s">
        <v>23</v>
      </c>
      <c r="E109" s="25" t="s">
        <v>34</v>
      </c>
      <c r="F109" s="26" t="s">
        <v>35</v>
      </c>
      <c r="G109" s="24"/>
      <c r="H109" s="24"/>
      <c r="I109" s="24"/>
      <c r="J109" s="24"/>
      <c r="K109" s="24"/>
      <c r="L109" s="24"/>
      <c r="M109" s="24"/>
      <c r="N109" s="24"/>
      <c r="O109" s="24"/>
      <c r="P109" s="24"/>
      <c r="Q109" s="24"/>
      <c r="R109" s="24"/>
      <c r="S109" s="24"/>
      <c r="T109" s="24"/>
      <c r="U109" s="24"/>
      <c r="V109" s="24"/>
      <c r="W109" s="24"/>
      <c r="X109" s="24"/>
      <c r="Y109" s="24"/>
      <c r="Z109" s="24"/>
    </row>
    <row r="110" spans="1:26" ht="39" customHeight="1" x14ac:dyDescent="0.25">
      <c r="A110" s="24"/>
      <c r="B110" s="27">
        <v>1</v>
      </c>
      <c r="C110" s="28" t="s">
        <v>201</v>
      </c>
      <c r="D110" s="29">
        <v>7</v>
      </c>
      <c r="E110" s="30">
        <f>+E105+1</f>
        <v>76</v>
      </c>
      <c r="F110" s="31"/>
      <c r="G110" s="24"/>
      <c r="H110" s="24"/>
      <c r="I110" s="24"/>
      <c r="J110" s="24"/>
      <c r="K110" s="24"/>
      <c r="L110" s="24"/>
      <c r="M110" s="24"/>
      <c r="N110" s="24"/>
      <c r="O110" s="24"/>
      <c r="P110" s="24"/>
      <c r="Q110" s="24"/>
      <c r="R110" s="24"/>
      <c r="S110" s="24"/>
      <c r="T110" s="24"/>
      <c r="U110" s="24"/>
      <c r="V110" s="24"/>
      <c r="W110" s="24"/>
      <c r="X110" s="24"/>
      <c r="Y110" s="24"/>
      <c r="Z110" s="24"/>
    </row>
    <row r="111" spans="1:26" ht="39" customHeight="1" x14ac:dyDescent="0.25">
      <c r="A111" s="24"/>
      <c r="B111" s="27">
        <v>2</v>
      </c>
      <c r="C111" s="28" t="s">
        <v>204</v>
      </c>
      <c r="D111" s="29"/>
      <c r="E111" s="30">
        <f t="shared" ref="E111:E117" si="5">1+E110</f>
        <v>77</v>
      </c>
      <c r="F111" s="31"/>
      <c r="G111" s="24"/>
      <c r="H111" s="24"/>
      <c r="I111" s="24"/>
      <c r="J111" s="24"/>
      <c r="K111" s="24"/>
      <c r="L111" s="24"/>
      <c r="M111" s="24"/>
      <c r="N111" s="24"/>
      <c r="O111" s="24"/>
      <c r="P111" s="24"/>
      <c r="Q111" s="24"/>
      <c r="R111" s="24"/>
      <c r="S111" s="24"/>
      <c r="T111" s="24"/>
      <c r="U111" s="24"/>
      <c r="V111" s="24"/>
      <c r="W111" s="24"/>
      <c r="X111" s="24"/>
      <c r="Y111" s="24"/>
      <c r="Z111" s="24"/>
    </row>
    <row r="112" spans="1:26" ht="39" customHeight="1" x14ac:dyDescent="0.25">
      <c r="A112" s="24"/>
      <c r="B112" s="27">
        <v>3</v>
      </c>
      <c r="C112" s="28" t="s">
        <v>206</v>
      </c>
      <c r="D112" s="29"/>
      <c r="E112" s="30">
        <f t="shared" si="5"/>
        <v>78</v>
      </c>
      <c r="F112" s="31"/>
      <c r="G112" s="24"/>
      <c r="H112" s="24"/>
      <c r="I112" s="24"/>
      <c r="J112" s="24"/>
      <c r="K112" s="24"/>
      <c r="L112" s="24"/>
      <c r="M112" s="24"/>
      <c r="N112" s="24"/>
      <c r="O112" s="24"/>
      <c r="P112" s="24"/>
      <c r="Q112" s="24"/>
      <c r="R112" s="24"/>
      <c r="S112" s="24"/>
      <c r="T112" s="24"/>
      <c r="U112" s="24"/>
      <c r="V112" s="24"/>
      <c r="W112" s="24"/>
      <c r="X112" s="24"/>
      <c r="Y112" s="24"/>
      <c r="Z112" s="24"/>
    </row>
    <row r="113" spans="1:26" ht="39" customHeight="1" x14ac:dyDescent="0.25">
      <c r="A113" s="24"/>
      <c r="B113" s="27">
        <v>4</v>
      </c>
      <c r="C113" s="28" t="s">
        <v>209</v>
      </c>
      <c r="D113" s="29"/>
      <c r="E113" s="30">
        <f t="shared" si="5"/>
        <v>79</v>
      </c>
      <c r="F113" s="31"/>
      <c r="G113" s="24"/>
      <c r="H113" s="24"/>
      <c r="I113" s="24"/>
      <c r="J113" s="24"/>
      <c r="K113" s="24"/>
      <c r="L113" s="24"/>
      <c r="M113" s="24"/>
      <c r="N113" s="24"/>
      <c r="O113" s="24"/>
      <c r="P113" s="24"/>
      <c r="Q113" s="24"/>
      <c r="R113" s="24"/>
      <c r="S113" s="24"/>
      <c r="T113" s="24"/>
      <c r="U113" s="24"/>
      <c r="V113" s="24"/>
      <c r="W113" s="24"/>
      <c r="X113" s="24"/>
      <c r="Y113" s="24"/>
      <c r="Z113" s="24"/>
    </row>
    <row r="114" spans="1:26" ht="39" customHeight="1" x14ac:dyDescent="0.25">
      <c r="A114" s="24"/>
      <c r="B114" s="27">
        <v>5</v>
      </c>
      <c r="C114" s="28" t="s">
        <v>210</v>
      </c>
      <c r="D114" s="29"/>
      <c r="E114" s="30">
        <f t="shared" si="5"/>
        <v>80</v>
      </c>
      <c r="F114" s="31"/>
      <c r="G114" s="24"/>
      <c r="H114" s="24"/>
      <c r="I114" s="24"/>
      <c r="J114" s="24"/>
      <c r="K114" s="24"/>
      <c r="L114" s="24"/>
      <c r="M114" s="24"/>
      <c r="N114" s="24"/>
      <c r="O114" s="24"/>
      <c r="P114" s="24"/>
      <c r="Q114" s="24"/>
      <c r="R114" s="24"/>
      <c r="S114" s="24"/>
      <c r="T114" s="24"/>
      <c r="U114" s="24"/>
      <c r="V114" s="24"/>
      <c r="W114" s="24"/>
      <c r="X114" s="24"/>
      <c r="Y114" s="24"/>
      <c r="Z114" s="24"/>
    </row>
    <row r="115" spans="1:26" ht="39" customHeight="1" x14ac:dyDescent="0.25">
      <c r="A115" s="24"/>
      <c r="B115" s="27">
        <v>6</v>
      </c>
      <c r="C115" s="28" t="s">
        <v>211</v>
      </c>
      <c r="D115" s="29"/>
      <c r="E115" s="30">
        <f t="shared" si="5"/>
        <v>81</v>
      </c>
      <c r="F115" s="31"/>
      <c r="G115" s="24"/>
      <c r="H115" s="24"/>
      <c r="I115" s="24"/>
      <c r="J115" s="24"/>
      <c r="K115" s="24"/>
      <c r="L115" s="24"/>
      <c r="M115" s="24"/>
      <c r="N115" s="24"/>
      <c r="O115" s="24"/>
      <c r="P115" s="24"/>
      <c r="Q115" s="24"/>
      <c r="R115" s="24"/>
      <c r="S115" s="24"/>
      <c r="T115" s="24"/>
      <c r="U115" s="24"/>
      <c r="V115" s="24"/>
      <c r="W115" s="24"/>
      <c r="X115" s="24"/>
      <c r="Y115" s="24"/>
      <c r="Z115" s="24"/>
    </row>
    <row r="116" spans="1:26" ht="39" customHeight="1" x14ac:dyDescent="0.25">
      <c r="A116" s="24"/>
      <c r="B116" s="27">
        <v>8</v>
      </c>
      <c r="C116" s="28" t="s">
        <v>212</v>
      </c>
      <c r="D116" s="29"/>
      <c r="E116" s="30">
        <f t="shared" si="5"/>
        <v>82</v>
      </c>
      <c r="F116" s="31"/>
      <c r="G116" s="24"/>
      <c r="H116" s="24"/>
      <c r="I116" s="24"/>
      <c r="J116" s="24"/>
      <c r="K116" s="24"/>
      <c r="L116" s="24"/>
      <c r="M116" s="24"/>
      <c r="N116" s="24"/>
      <c r="O116" s="24"/>
      <c r="P116" s="24"/>
      <c r="Q116" s="24"/>
      <c r="R116" s="24"/>
      <c r="S116" s="24"/>
      <c r="T116" s="24"/>
      <c r="U116" s="24"/>
      <c r="V116" s="24"/>
      <c r="W116" s="24"/>
      <c r="X116" s="24"/>
      <c r="Y116" s="24"/>
      <c r="Z116" s="24"/>
    </row>
    <row r="117" spans="1:26" ht="39" customHeight="1" x14ac:dyDescent="0.25">
      <c r="A117" s="24"/>
      <c r="B117" s="33">
        <v>9</v>
      </c>
      <c r="C117" s="34" t="s">
        <v>213</v>
      </c>
      <c r="D117" s="35"/>
      <c r="E117" s="36">
        <f t="shared" si="5"/>
        <v>83</v>
      </c>
      <c r="F117" s="37"/>
      <c r="G117" s="24"/>
      <c r="H117" s="24"/>
      <c r="I117" s="24"/>
      <c r="J117" s="24"/>
      <c r="K117" s="24"/>
      <c r="L117" s="24"/>
      <c r="M117" s="24"/>
      <c r="N117" s="24"/>
      <c r="O117" s="24"/>
      <c r="P117" s="24"/>
      <c r="Q117" s="24"/>
      <c r="R117" s="24"/>
      <c r="S117" s="24"/>
      <c r="T117" s="24"/>
      <c r="U117" s="24"/>
      <c r="V117" s="24"/>
      <c r="W117" s="24"/>
      <c r="X117" s="24"/>
      <c r="Y117" s="24"/>
      <c r="Z117" s="24"/>
    </row>
    <row r="118" spans="1:26" ht="39" customHeight="1" x14ac:dyDescent="0.25">
      <c r="A118" s="24"/>
      <c r="B118" s="38"/>
      <c r="C118" s="39" t="s">
        <v>53</v>
      </c>
      <c r="D118" s="40">
        <f>AVERAGE(D110:D117)</f>
        <v>7</v>
      </c>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ht="39" customHeight="1" x14ac:dyDescent="0.25">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ht="39" customHeight="1" x14ac:dyDescent="0.25">
      <c r="A120" s="24"/>
      <c r="B120" s="170" t="s">
        <v>49</v>
      </c>
      <c r="C120" s="121"/>
      <c r="D120" s="121"/>
      <c r="E120" s="121"/>
      <c r="F120" s="122"/>
      <c r="G120" s="24"/>
      <c r="H120" s="24"/>
      <c r="I120" s="24"/>
      <c r="J120" s="24"/>
      <c r="K120" s="24"/>
      <c r="L120" s="24"/>
      <c r="M120" s="24"/>
      <c r="N120" s="24"/>
      <c r="O120" s="24"/>
      <c r="P120" s="24"/>
      <c r="Q120" s="24"/>
      <c r="R120" s="24"/>
      <c r="S120" s="24"/>
      <c r="T120" s="24"/>
      <c r="U120" s="24"/>
      <c r="V120" s="24"/>
      <c r="W120" s="24"/>
      <c r="X120" s="24"/>
      <c r="Y120" s="24"/>
      <c r="Z120" s="24"/>
    </row>
    <row r="121" spans="1:26" ht="39" customHeight="1" x14ac:dyDescent="0.25">
      <c r="A121" s="24"/>
      <c r="B121" s="169"/>
      <c r="C121" s="102"/>
      <c r="D121" s="25" t="s">
        <v>23</v>
      </c>
      <c r="E121" s="25" t="s">
        <v>34</v>
      </c>
      <c r="F121" s="26" t="s">
        <v>35</v>
      </c>
      <c r="G121" s="24"/>
      <c r="H121" s="24"/>
      <c r="I121" s="24"/>
      <c r="J121" s="24"/>
      <c r="K121" s="24"/>
      <c r="L121" s="24"/>
      <c r="M121" s="24"/>
      <c r="N121" s="24"/>
      <c r="O121" s="24"/>
      <c r="P121" s="24"/>
      <c r="Q121" s="24"/>
      <c r="R121" s="24"/>
      <c r="S121" s="24"/>
      <c r="T121" s="24"/>
      <c r="U121" s="24"/>
      <c r="V121" s="24"/>
      <c r="W121" s="24"/>
      <c r="X121" s="24"/>
      <c r="Y121" s="24"/>
      <c r="Z121" s="24"/>
    </row>
    <row r="122" spans="1:26" ht="39" customHeight="1" x14ac:dyDescent="0.25">
      <c r="A122" s="24"/>
      <c r="B122" s="27">
        <v>1</v>
      </c>
      <c r="C122" s="28" t="s">
        <v>214</v>
      </c>
      <c r="D122" s="81">
        <v>3</v>
      </c>
      <c r="E122" s="30">
        <f>1+E117</f>
        <v>84</v>
      </c>
      <c r="F122" s="31"/>
      <c r="G122" s="24"/>
      <c r="H122" s="24"/>
      <c r="I122" s="24"/>
      <c r="J122" s="24"/>
      <c r="K122" s="24"/>
      <c r="L122" s="24"/>
      <c r="M122" s="24"/>
      <c r="N122" s="24"/>
      <c r="O122" s="24"/>
      <c r="P122" s="24"/>
      <c r="Q122" s="24"/>
      <c r="R122" s="24"/>
      <c r="S122" s="24"/>
      <c r="T122" s="24"/>
      <c r="U122" s="24"/>
      <c r="V122" s="24"/>
      <c r="W122" s="24"/>
      <c r="X122" s="24"/>
      <c r="Y122" s="24"/>
      <c r="Z122" s="24"/>
    </row>
    <row r="123" spans="1:26" ht="39" customHeight="1" x14ac:dyDescent="0.25">
      <c r="A123" s="24"/>
      <c r="B123" s="27">
        <v>2</v>
      </c>
      <c r="C123" s="28" t="s">
        <v>215</v>
      </c>
      <c r="D123" s="81"/>
      <c r="E123" s="30">
        <f t="shared" ref="E123:E128" si="6">1+E122</f>
        <v>85</v>
      </c>
      <c r="F123" s="31"/>
      <c r="G123" s="24"/>
      <c r="H123" s="24"/>
      <c r="I123" s="24"/>
      <c r="J123" s="24"/>
      <c r="K123" s="24"/>
      <c r="L123" s="24"/>
      <c r="M123" s="24"/>
      <c r="N123" s="24"/>
      <c r="O123" s="24"/>
      <c r="P123" s="24"/>
      <c r="Q123" s="24"/>
      <c r="R123" s="24"/>
      <c r="S123" s="24"/>
      <c r="T123" s="24"/>
      <c r="U123" s="24"/>
      <c r="V123" s="24"/>
      <c r="W123" s="24"/>
      <c r="X123" s="24"/>
      <c r="Y123" s="24"/>
      <c r="Z123" s="24"/>
    </row>
    <row r="124" spans="1:26" ht="39" customHeight="1" x14ac:dyDescent="0.25">
      <c r="A124" s="24"/>
      <c r="B124" s="27">
        <v>3</v>
      </c>
      <c r="C124" s="28" t="s">
        <v>216</v>
      </c>
      <c r="D124" s="81"/>
      <c r="E124" s="30">
        <f t="shared" si="6"/>
        <v>86</v>
      </c>
      <c r="F124" s="31"/>
      <c r="G124" s="24"/>
      <c r="H124" s="24"/>
      <c r="I124" s="24"/>
      <c r="J124" s="24"/>
      <c r="K124" s="24"/>
      <c r="L124" s="24"/>
      <c r="M124" s="24"/>
      <c r="N124" s="24"/>
      <c r="O124" s="24"/>
      <c r="P124" s="24"/>
      <c r="Q124" s="24"/>
      <c r="R124" s="24"/>
      <c r="S124" s="24"/>
      <c r="T124" s="24"/>
      <c r="U124" s="24"/>
      <c r="V124" s="24"/>
      <c r="W124" s="24"/>
      <c r="X124" s="24"/>
      <c r="Y124" s="24"/>
      <c r="Z124" s="24"/>
    </row>
    <row r="125" spans="1:26" ht="39" customHeight="1" x14ac:dyDescent="0.25">
      <c r="A125" s="24"/>
      <c r="B125" s="27">
        <v>4</v>
      </c>
      <c r="C125" s="28" t="s">
        <v>217</v>
      </c>
      <c r="D125" s="81"/>
      <c r="E125" s="30">
        <f t="shared" si="6"/>
        <v>87</v>
      </c>
      <c r="F125" s="31"/>
      <c r="G125" s="24"/>
      <c r="H125" s="24"/>
      <c r="I125" s="24"/>
      <c r="J125" s="24"/>
      <c r="K125" s="24"/>
      <c r="L125" s="24"/>
      <c r="M125" s="24"/>
      <c r="N125" s="24"/>
      <c r="O125" s="24"/>
      <c r="P125" s="24"/>
      <c r="Q125" s="24"/>
      <c r="R125" s="24"/>
      <c r="S125" s="24"/>
      <c r="T125" s="24"/>
      <c r="U125" s="24"/>
      <c r="V125" s="24"/>
      <c r="W125" s="24"/>
      <c r="X125" s="24"/>
      <c r="Y125" s="24"/>
      <c r="Z125" s="24"/>
    </row>
    <row r="126" spans="1:26" ht="39" customHeight="1" x14ac:dyDescent="0.25">
      <c r="A126" s="24"/>
      <c r="B126" s="27">
        <v>5</v>
      </c>
      <c r="C126" s="28" t="s">
        <v>218</v>
      </c>
      <c r="D126" s="81"/>
      <c r="E126" s="30">
        <f t="shared" si="6"/>
        <v>88</v>
      </c>
      <c r="F126" s="31"/>
      <c r="G126" s="24"/>
      <c r="H126" s="24"/>
      <c r="I126" s="24"/>
      <c r="J126" s="24"/>
      <c r="K126" s="24"/>
      <c r="L126" s="24"/>
      <c r="M126" s="24"/>
      <c r="N126" s="24"/>
      <c r="O126" s="24"/>
      <c r="P126" s="24"/>
      <c r="Q126" s="24"/>
      <c r="R126" s="24"/>
      <c r="S126" s="24"/>
      <c r="T126" s="24"/>
      <c r="U126" s="24"/>
      <c r="V126" s="24"/>
      <c r="W126" s="24"/>
      <c r="X126" s="24"/>
      <c r="Y126" s="24"/>
      <c r="Z126" s="24"/>
    </row>
    <row r="127" spans="1:26" ht="39" customHeight="1" x14ac:dyDescent="0.25">
      <c r="A127" s="24"/>
      <c r="B127" s="27">
        <v>6</v>
      </c>
      <c r="C127" s="24" t="s">
        <v>219</v>
      </c>
      <c r="D127" s="81"/>
      <c r="E127" s="30">
        <f t="shared" si="6"/>
        <v>89</v>
      </c>
      <c r="F127" s="31"/>
      <c r="G127" s="24"/>
      <c r="H127" s="24"/>
      <c r="I127" s="24"/>
      <c r="J127" s="24"/>
      <c r="K127" s="24"/>
      <c r="L127" s="24"/>
      <c r="M127" s="24"/>
      <c r="N127" s="24"/>
      <c r="O127" s="24"/>
      <c r="P127" s="24"/>
      <c r="Q127" s="24"/>
      <c r="R127" s="24"/>
      <c r="S127" s="24"/>
      <c r="T127" s="24"/>
      <c r="U127" s="24"/>
      <c r="V127" s="24"/>
      <c r="W127" s="24"/>
      <c r="X127" s="24"/>
      <c r="Y127" s="24"/>
      <c r="Z127" s="24"/>
    </row>
    <row r="128" spans="1:26" ht="39" customHeight="1" x14ac:dyDescent="0.25">
      <c r="A128" s="24"/>
      <c r="B128" s="33">
        <v>7</v>
      </c>
      <c r="C128" s="34" t="s">
        <v>220</v>
      </c>
      <c r="D128" s="82"/>
      <c r="E128" s="36">
        <f t="shared" si="6"/>
        <v>90</v>
      </c>
      <c r="F128" s="37"/>
      <c r="G128" s="24"/>
      <c r="H128" s="24"/>
      <c r="I128" s="24"/>
      <c r="J128" s="24"/>
      <c r="K128" s="24"/>
      <c r="L128" s="24"/>
      <c r="M128" s="24"/>
      <c r="N128" s="24"/>
      <c r="O128" s="24"/>
      <c r="P128" s="24"/>
      <c r="Q128" s="24"/>
      <c r="R128" s="24"/>
      <c r="S128" s="24"/>
      <c r="T128" s="24"/>
      <c r="U128" s="24"/>
      <c r="V128" s="24"/>
      <c r="W128" s="24"/>
      <c r="X128" s="24"/>
      <c r="Y128" s="24"/>
      <c r="Z128" s="24"/>
    </row>
    <row r="129" spans="1:26" ht="39" customHeight="1" x14ac:dyDescent="0.25">
      <c r="A129" s="24"/>
      <c r="B129" s="38"/>
      <c r="C129" s="39" t="s">
        <v>53</v>
      </c>
      <c r="D129" s="40">
        <f>AVERAGE(D122:D128)</f>
        <v>3</v>
      </c>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ht="39" customHeight="1" x14ac:dyDescent="0.2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ht="39" customHeight="1" x14ac:dyDescent="0.25">
      <c r="A131" s="24"/>
      <c r="B131" s="171" t="s">
        <v>52</v>
      </c>
      <c r="C131" s="156"/>
      <c r="D131" s="156"/>
      <c r="E131" s="156"/>
      <c r="F131" s="157"/>
      <c r="G131" s="24"/>
      <c r="H131" s="24"/>
      <c r="I131" s="24"/>
      <c r="J131" s="24"/>
      <c r="K131" s="24"/>
      <c r="L131" s="24"/>
      <c r="M131" s="24"/>
      <c r="N131" s="24"/>
      <c r="O131" s="24"/>
      <c r="P131" s="24"/>
      <c r="Q131" s="24"/>
      <c r="R131" s="24"/>
      <c r="S131" s="24"/>
      <c r="T131" s="24"/>
      <c r="U131" s="24"/>
      <c r="V131" s="24"/>
      <c r="W131" s="24"/>
      <c r="X131" s="24"/>
      <c r="Y131" s="24"/>
      <c r="Z131" s="24"/>
    </row>
    <row r="132" spans="1:26" ht="39" customHeight="1" x14ac:dyDescent="0.25">
      <c r="A132" s="24"/>
      <c r="B132" s="169"/>
      <c r="C132" s="102"/>
      <c r="D132" s="25" t="s">
        <v>23</v>
      </c>
      <c r="E132" s="25" t="s">
        <v>34</v>
      </c>
      <c r="F132" s="26" t="s">
        <v>35</v>
      </c>
      <c r="G132" s="24"/>
      <c r="H132" s="24"/>
      <c r="I132" s="24"/>
      <c r="J132" s="24"/>
      <c r="K132" s="24"/>
      <c r="L132" s="24"/>
      <c r="M132" s="24"/>
      <c r="N132" s="24"/>
      <c r="O132" s="24"/>
      <c r="P132" s="24"/>
      <c r="Q132" s="24"/>
      <c r="R132" s="24"/>
      <c r="S132" s="24"/>
      <c r="T132" s="24"/>
      <c r="U132" s="24"/>
      <c r="V132" s="24"/>
      <c r="W132" s="24"/>
      <c r="X132" s="24"/>
      <c r="Y132" s="24"/>
      <c r="Z132" s="24"/>
    </row>
    <row r="133" spans="1:26" ht="39" customHeight="1" x14ac:dyDescent="0.25">
      <c r="A133" s="24"/>
      <c r="B133" s="27">
        <v>1</v>
      </c>
      <c r="C133" s="28" t="s">
        <v>221</v>
      </c>
      <c r="D133" s="29">
        <v>9</v>
      </c>
      <c r="E133" s="30">
        <f>1+E128</f>
        <v>91</v>
      </c>
      <c r="F133" s="31"/>
      <c r="G133" s="24"/>
      <c r="H133" s="24"/>
      <c r="I133" s="24"/>
      <c r="J133" s="24"/>
      <c r="K133" s="24"/>
      <c r="L133" s="24"/>
      <c r="M133" s="24"/>
      <c r="N133" s="24"/>
      <c r="O133" s="24"/>
      <c r="P133" s="24"/>
      <c r="Q133" s="24"/>
      <c r="R133" s="24"/>
      <c r="S133" s="24"/>
      <c r="T133" s="24"/>
      <c r="U133" s="24"/>
      <c r="V133" s="24"/>
      <c r="W133" s="24"/>
      <c r="X133" s="24"/>
      <c r="Y133" s="24"/>
      <c r="Z133" s="24"/>
    </row>
    <row r="134" spans="1:26" ht="39" customHeight="1" x14ac:dyDescent="0.25">
      <c r="A134" s="24"/>
      <c r="B134" s="27">
        <v>2</v>
      </c>
      <c r="C134" s="28" t="s">
        <v>222</v>
      </c>
      <c r="D134" s="29"/>
      <c r="E134" s="30">
        <f t="shared" ref="E134:E143" si="7">1+E133</f>
        <v>92</v>
      </c>
      <c r="F134" s="31"/>
      <c r="G134" s="24"/>
      <c r="H134" s="24"/>
      <c r="I134" s="24"/>
      <c r="J134" s="24"/>
      <c r="K134" s="24"/>
      <c r="L134" s="24"/>
      <c r="M134" s="24"/>
      <c r="N134" s="24"/>
      <c r="O134" s="24"/>
      <c r="P134" s="24"/>
      <c r="Q134" s="24"/>
      <c r="R134" s="24"/>
      <c r="S134" s="24"/>
      <c r="T134" s="24"/>
      <c r="U134" s="24"/>
      <c r="V134" s="24"/>
      <c r="W134" s="24"/>
      <c r="X134" s="24"/>
      <c r="Y134" s="24"/>
      <c r="Z134" s="24"/>
    </row>
    <row r="135" spans="1:26" ht="39" customHeight="1" x14ac:dyDescent="0.25">
      <c r="A135" s="24"/>
      <c r="B135" s="27">
        <v>3</v>
      </c>
      <c r="C135" s="28" t="s">
        <v>223</v>
      </c>
      <c r="D135" s="29"/>
      <c r="E135" s="30">
        <f t="shared" si="7"/>
        <v>93</v>
      </c>
      <c r="F135" s="31"/>
      <c r="G135" s="24"/>
      <c r="H135" s="24"/>
      <c r="I135" s="24"/>
      <c r="J135" s="24"/>
      <c r="K135" s="24"/>
      <c r="L135" s="24"/>
      <c r="M135" s="24"/>
      <c r="N135" s="24"/>
      <c r="O135" s="24"/>
      <c r="P135" s="24"/>
      <c r="Q135" s="24"/>
      <c r="R135" s="24"/>
      <c r="S135" s="24"/>
      <c r="T135" s="24"/>
      <c r="U135" s="24"/>
      <c r="V135" s="24"/>
      <c r="W135" s="24"/>
      <c r="X135" s="24"/>
      <c r="Y135" s="24"/>
      <c r="Z135" s="24"/>
    </row>
    <row r="136" spans="1:26" ht="39" customHeight="1" x14ac:dyDescent="0.25">
      <c r="A136" s="24"/>
      <c r="B136" s="27">
        <v>4</v>
      </c>
      <c r="C136" s="28" t="s">
        <v>224</v>
      </c>
      <c r="D136" s="29"/>
      <c r="E136" s="30">
        <f t="shared" si="7"/>
        <v>94</v>
      </c>
      <c r="F136" s="31"/>
      <c r="G136" s="24"/>
      <c r="H136" s="24"/>
      <c r="I136" s="24"/>
      <c r="J136" s="24"/>
      <c r="K136" s="24"/>
      <c r="L136" s="24"/>
      <c r="M136" s="24"/>
      <c r="N136" s="24"/>
      <c r="O136" s="24"/>
      <c r="P136" s="24"/>
      <c r="Q136" s="24"/>
      <c r="R136" s="24"/>
      <c r="S136" s="24"/>
      <c r="T136" s="24"/>
      <c r="U136" s="24"/>
      <c r="V136" s="24"/>
      <c r="W136" s="24"/>
      <c r="X136" s="24"/>
      <c r="Y136" s="24"/>
      <c r="Z136" s="24"/>
    </row>
    <row r="137" spans="1:26" ht="39" customHeight="1" x14ac:dyDescent="0.25">
      <c r="A137" s="24"/>
      <c r="B137" s="27">
        <v>5</v>
      </c>
      <c r="C137" s="28" t="s">
        <v>225</v>
      </c>
      <c r="D137" s="29"/>
      <c r="E137" s="30">
        <f t="shared" si="7"/>
        <v>95</v>
      </c>
      <c r="F137" s="31"/>
      <c r="G137" s="24"/>
      <c r="H137" s="24"/>
      <c r="I137" s="24"/>
      <c r="J137" s="24"/>
      <c r="K137" s="24"/>
      <c r="L137" s="24"/>
      <c r="M137" s="24"/>
      <c r="N137" s="24"/>
      <c r="O137" s="24"/>
      <c r="P137" s="24"/>
      <c r="Q137" s="24"/>
      <c r="R137" s="24"/>
      <c r="S137" s="24"/>
      <c r="T137" s="24"/>
      <c r="U137" s="24"/>
      <c r="V137" s="24"/>
      <c r="W137" s="24"/>
      <c r="X137" s="24"/>
      <c r="Y137" s="24"/>
      <c r="Z137" s="24"/>
    </row>
    <row r="138" spans="1:26" ht="39" customHeight="1" x14ac:dyDescent="0.25">
      <c r="A138" s="24"/>
      <c r="B138" s="27">
        <v>6</v>
      </c>
      <c r="C138" s="28" t="s">
        <v>226</v>
      </c>
      <c r="D138" s="29"/>
      <c r="E138" s="30">
        <f t="shared" si="7"/>
        <v>96</v>
      </c>
      <c r="F138" s="31"/>
      <c r="G138" s="24"/>
      <c r="H138" s="24"/>
      <c r="I138" s="24"/>
      <c r="J138" s="24"/>
      <c r="K138" s="24"/>
      <c r="L138" s="24"/>
      <c r="M138" s="24"/>
      <c r="N138" s="24"/>
      <c r="O138" s="24"/>
      <c r="P138" s="24"/>
      <c r="Q138" s="24"/>
      <c r="R138" s="24"/>
      <c r="S138" s="24"/>
      <c r="T138" s="24"/>
      <c r="U138" s="24"/>
      <c r="V138" s="24"/>
      <c r="W138" s="24"/>
      <c r="X138" s="24"/>
      <c r="Y138" s="24"/>
      <c r="Z138" s="24"/>
    </row>
    <row r="139" spans="1:26" ht="39" customHeight="1" x14ac:dyDescent="0.25">
      <c r="A139" s="24"/>
      <c r="B139" s="27">
        <v>7</v>
      </c>
      <c r="C139" s="28" t="s">
        <v>227</v>
      </c>
      <c r="D139" s="29"/>
      <c r="E139" s="30">
        <f t="shared" si="7"/>
        <v>97</v>
      </c>
      <c r="F139" s="31"/>
      <c r="G139" s="24"/>
      <c r="H139" s="24"/>
      <c r="I139" s="24"/>
      <c r="J139" s="24"/>
      <c r="K139" s="24"/>
      <c r="L139" s="24"/>
      <c r="M139" s="24"/>
      <c r="N139" s="24"/>
      <c r="O139" s="24"/>
      <c r="P139" s="24"/>
      <c r="Q139" s="24"/>
      <c r="R139" s="24"/>
      <c r="S139" s="24"/>
      <c r="T139" s="24"/>
      <c r="U139" s="24"/>
      <c r="V139" s="24"/>
      <c r="W139" s="24"/>
      <c r="X139" s="24"/>
      <c r="Y139" s="24"/>
      <c r="Z139" s="24"/>
    </row>
    <row r="140" spans="1:26" ht="39" customHeight="1" x14ac:dyDescent="0.25">
      <c r="A140" s="24"/>
      <c r="B140" s="27">
        <v>8</v>
      </c>
      <c r="C140" s="28" t="s">
        <v>228</v>
      </c>
      <c r="D140" s="29"/>
      <c r="E140" s="30">
        <f t="shared" si="7"/>
        <v>98</v>
      </c>
      <c r="F140" s="31"/>
      <c r="G140" s="24"/>
      <c r="H140" s="24"/>
      <c r="I140" s="24"/>
      <c r="J140" s="24"/>
      <c r="K140" s="24"/>
      <c r="L140" s="24"/>
      <c r="M140" s="24"/>
      <c r="N140" s="24"/>
      <c r="O140" s="24"/>
      <c r="P140" s="24"/>
      <c r="Q140" s="24"/>
      <c r="R140" s="24"/>
      <c r="S140" s="24"/>
      <c r="T140" s="24"/>
      <c r="U140" s="24"/>
      <c r="V140" s="24"/>
      <c r="W140" s="24"/>
      <c r="X140" s="24"/>
      <c r="Y140" s="24"/>
      <c r="Z140" s="24"/>
    </row>
    <row r="141" spans="1:26" ht="39" customHeight="1" x14ac:dyDescent="0.25">
      <c r="A141" s="24"/>
      <c r="B141" s="27">
        <v>9</v>
      </c>
      <c r="C141" s="28" t="s">
        <v>229</v>
      </c>
      <c r="D141" s="29"/>
      <c r="E141" s="30">
        <f t="shared" si="7"/>
        <v>99</v>
      </c>
      <c r="F141" s="31"/>
      <c r="G141" s="24"/>
      <c r="H141" s="23"/>
      <c r="I141" s="24"/>
      <c r="J141" s="24"/>
      <c r="K141" s="24"/>
      <c r="L141" s="24"/>
      <c r="M141" s="24"/>
      <c r="N141" s="24"/>
      <c r="O141" s="24"/>
      <c r="P141" s="24"/>
      <c r="Q141" s="24"/>
      <c r="R141" s="24"/>
      <c r="S141" s="24"/>
      <c r="T141" s="24"/>
      <c r="U141" s="24"/>
      <c r="V141" s="24"/>
      <c r="W141" s="24"/>
      <c r="X141" s="24"/>
      <c r="Y141" s="24"/>
      <c r="Z141" s="24"/>
    </row>
    <row r="142" spans="1:26" ht="39" customHeight="1" x14ac:dyDescent="0.25">
      <c r="A142" s="24"/>
      <c r="B142" s="27">
        <v>10</v>
      </c>
      <c r="C142" s="28" t="s">
        <v>230</v>
      </c>
      <c r="D142" s="29"/>
      <c r="E142" s="30">
        <f t="shared" si="7"/>
        <v>100</v>
      </c>
      <c r="F142" s="31"/>
      <c r="G142" s="24"/>
      <c r="H142" s="23"/>
      <c r="I142" s="24"/>
      <c r="J142" s="24"/>
      <c r="K142" s="24"/>
      <c r="L142" s="24"/>
      <c r="M142" s="24"/>
      <c r="N142" s="24"/>
      <c r="O142" s="24"/>
      <c r="P142" s="24"/>
      <c r="Q142" s="24"/>
      <c r="R142" s="24"/>
      <c r="S142" s="24"/>
      <c r="T142" s="24"/>
      <c r="U142" s="24"/>
      <c r="V142" s="24"/>
      <c r="W142" s="24"/>
      <c r="X142" s="24"/>
      <c r="Y142" s="24"/>
      <c r="Z142" s="24"/>
    </row>
    <row r="143" spans="1:26" ht="39" customHeight="1" x14ac:dyDescent="0.25">
      <c r="A143" s="24"/>
      <c r="B143" s="33">
        <v>11</v>
      </c>
      <c r="C143" s="34" t="s">
        <v>231</v>
      </c>
      <c r="D143" s="35"/>
      <c r="E143" s="36">
        <f t="shared" si="7"/>
        <v>101</v>
      </c>
      <c r="F143" s="37"/>
      <c r="G143" s="24"/>
      <c r="H143" s="24"/>
      <c r="I143" s="24"/>
      <c r="J143" s="24"/>
      <c r="K143" s="24"/>
      <c r="L143" s="24"/>
      <c r="M143" s="24"/>
      <c r="N143" s="24"/>
      <c r="O143" s="24"/>
      <c r="P143" s="24"/>
      <c r="Q143" s="24"/>
      <c r="R143" s="24"/>
      <c r="S143" s="24"/>
      <c r="T143" s="24"/>
      <c r="U143" s="24"/>
      <c r="V143" s="24"/>
      <c r="W143" s="24"/>
      <c r="X143" s="24"/>
      <c r="Y143" s="24"/>
      <c r="Z143" s="24"/>
    </row>
    <row r="144" spans="1:26" ht="39" customHeight="1" x14ac:dyDescent="0.25">
      <c r="A144" s="24"/>
      <c r="B144" s="38"/>
      <c r="C144" s="39" t="s">
        <v>53</v>
      </c>
      <c r="D144" s="40">
        <f>AVERAGE(D133:D143)</f>
        <v>9</v>
      </c>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ht="39" customHeight="1" x14ac:dyDescent="0.2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ht="39" customHeight="1" x14ac:dyDescent="0.25">
      <c r="A146" s="24"/>
      <c r="B146" s="83"/>
      <c r="C146" s="108" t="s">
        <v>232</v>
      </c>
      <c r="D146" s="104"/>
      <c r="E146" s="104"/>
      <c r="F146" s="104"/>
      <c r="G146" s="105"/>
      <c r="H146" s="84"/>
      <c r="I146" s="84"/>
      <c r="J146" s="24"/>
      <c r="K146" s="24"/>
      <c r="L146" s="24"/>
      <c r="M146" s="24"/>
      <c r="N146" s="24"/>
      <c r="O146" s="24"/>
      <c r="P146" s="24"/>
      <c r="Q146" s="24"/>
      <c r="R146" s="24"/>
      <c r="S146" s="24"/>
      <c r="T146" s="24"/>
      <c r="U146" s="24"/>
      <c r="V146" s="24"/>
      <c r="W146" s="24"/>
      <c r="X146" s="24"/>
      <c r="Y146" s="24"/>
      <c r="Z146" s="24"/>
    </row>
    <row r="147" spans="1:26" ht="39" customHeight="1" x14ac:dyDescent="0.2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ht="39" customHeight="1" x14ac:dyDescent="0.25">
      <c r="A148" s="24"/>
      <c r="B148" s="24">
        <v>1</v>
      </c>
      <c r="C148" s="85"/>
      <c r="D148" s="172"/>
      <c r="E148" s="104"/>
      <c r="F148" s="104"/>
      <c r="G148" s="105"/>
      <c r="H148" s="24"/>
      <c r="I148" s="24"/>
      <c r="J148" s="24"/>
      <c r="K148" s="24"/>
      <c r="L148" s="24"/>
      <c r="M148" s="24"/>
      <c r="N148" s="24"/>
      <c r="O148" s="24"/>
      <c r="P148" s="24"/>
      <c r="Q148" s="24"/>
      <c r="R148" s="24"/>
      <c r="S148" s="24"/>
      <c r="T148" s="24"/>
      <c r="U148" s="24"/>
      <c r="V148" s="24"/>
      <c r="W148" s="24"/>
      <c r="X148" s="24"/>
      <c r="Y148" s="24"/>
      <c r="Z148" s="24"/>
    </row>
    <row r="149" spans="1:26" ht="39" customHeight="1" x14ac:dyDescent="0.25">
      <c r="A149" s="24"/>
      <c r="B149" s="24">
        <v>2</v>
      </c>
      <c r="C149" s="86"/>
      <c r="D149" s="172"/>
      <c r="E149" s="104"/>
      <c r="F149" s="104"/>
      <c r="G149" s="105"/>
      <c r="H149" s="24"/>
      <c r="I149" s="24"/>
      <c r="J149" s="24"/>
      <c r="K149" s="24"/>
      <c r="L149" s="24"/>
      <c r="M149" s="24"/>
      <c r="N149" s="24"/>
      <c r="O149" s="24"/>
      <c r="P149" s="24"/>
      <c r="Q149" s="24"/>
      <c r="R149" s="24"/>
      <c r="S149" s="24"/>
      <c r="T149" s="24"/>
      <c r="U149" s="24"/>
      <c r="V149" s="24"/>
      <c r="W149" s="24"/>
      <c r="X149" s="24"/>
      <c r="Y149" s="24"/>
      <c r="Z149" s="24"/>
    </row>
    <row r="150" spans="1:26" ht="39" customHeight="1" x14ac:dyDescent="0.25">
      <c r="A150" s="24"/>
      <c r="B150" s="24">
        <v>3</v>
      </c>
      <c r="C150" s="87"/>
      <c r="D150" s="172"/>
      <c r="E150" s="104"/>
      <c r="F150" s="104"/>
      <c r="G150" s="105"/>
      <c r="H150" s="24"/>
      <c r="I150" s="24"/>
      <c r="J150" s="24"/>
      <c r="K150" s="24"/>
      <c r="L150" s="24"/>
      <c r="M150" s="24"/>
      <c r="N150" s="24"/>
      <c r="O150" s="24"/>
      <c r="P150" s="24"/>
      <c r="Q150" s="24"/>
      <c r="R150" s="24"/>
      <c r="S150" s="24"/>
      <c r="T150" s="24"/>
      <c r="U150" s="24"/>
      <c r="V150" s="24"/>
      <c r="W150" s="24"/>
      <c r="X150" s="24"/>
      <c r="Y150" s="24"/>
      <c r="Z150" s="24"/>
    </row>
    <row r="151" spans="1:26" ht="39" customHeight="1" x14ac:dyDescent="0.2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ht="39" customHeight="1" x14ac:dyDescent="0.25">
      <c r="A152" s="24"/>
      <c r="B152" s="83"/>
      <c r="C152" s="108" t="s">
        <v>233</v>
      </c>
      <c r="D152" s="104"/>
      <c r="E152" s="104"/>
      <c r="F152" s="104"/>
      <c r="G152" s="105"/>
      <c r="H152" s="84"/>
      <c r="I152" s="84"/>
      <c r="J152" s="24"/>
      <c r="K152" s="24"/>
      <c r="L152" s="24"/>
      <c r="M152" s="24"/>
      <c r="N152" s="24"/>
      <c r="O152" s="24"/>
      <c r="P152" s="24"/>
      <c r="Q152" s="24"/>
      <c r="R152" s="24"/>
      <c r="S152" s="24"/>
      <c r="T152" s="24"/>
      <c r="U152" s="24"/>
      <c r="V152" s="24"/>
      <c r="W152" s="24"/>
      <c r="X152" s="24"/>
      <c r="Y152" s="24"/>
      <c r="Z152" s="24"/>
    </row>
    <row r="153" spans="1:26" ht="39" customHeight="1" x14ac:dyDescent="0.2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ht="39" customHeight="1" x14ac:dyDescent="0.25">
      <c r="A154" s="24"/>
      <c r="B154" s="24"/>
      <c r="C154" s="108" t="s">
        <v>234</v>
      </c>
      <c r="D154" s="104"/>
      <c r="E154" s="104"/>
      <c r="F154" s="104"/>
      <c r="G154" s="105"/>
      <c r="H154" s="24"/>
      <c r="I154" s="24"/>
      <c r="J154" s="24"/>
      <c r="K154" s="24"/>
      <c r="L154" s="24"/>
      <c r="M154" s="24"/>
      <c r="N154" s="24"/>
      <c r="O154" s="24"/>
      <c r="P154" s="24"/>
      <c r="Q154" s="24"/>
      <c r="R154" s="24"/>
      <c r="S154" s="24"/>
      <c r="T154" s="24"/>
      <c r="U154" s="24"/>
      <c r="V154" s="24"/>
      <c r="W154" s="24"/>
      <c r="X154" s="24"/>
      <c r="Y154" s="24"/>
      <c r="Z154" s="24"/>
    </row>
    <row r="155" spans="1:26" ht="39" customHeight="1" x14ac:dyDescent="0.25">
      <c r="A155" s="24"/>
      <c r="B155" s="24">
        <v>1</v>
      </c>
      <c r="C155" s="88"/>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ht="39" customHeight="1" x14ac:dyDescent="0.25">
      <c r="A156" s="24"/>
      <c r="B156" s="24">
        <v>2</v>
      </c>
      <c r="C156" s="89"/>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ht="39" customHeight="1" x14ac:dyDescent="0.25">
      <c r="A157" s="24"/>
      <c r="B157" s="24">
        <v>3</v>
      </c>
      <c r="C157" s="90"/>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ht="39" customHeight="1" x14ac:dyDescent="0.2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ht="39" customHeight="1" x14ac:dyDescent="0.25">
      <c r="A159" s="24"/>
      <c r="B159" s="24"/>
      <c r="C159" s="108" t="s">
        <v>235</v>
      </c>
      <c r="D159" s="104"/>
      <c r="E159" s="104"/>
      <c r="F159" s="104"/>
      <c r="G159" s="105"/>
      <c r="H159" s="24"/>
      <c r="I159" s="24"/>
      <c r="J159" s="24"/>
      <c r="K159" s="24"/>
      <c r="L159" s="24"/>
      <c r="M159" s="24"/>
      <c r="N159" s="24"/>
      <c r="O159" s="24"/>
      <c r="P159" s="24"/>
      <c r="Q159" s="24"/>
      <c r="R159" s="24"/>
      <c r="S159" s="24"/>
      <c r="T159" s="24"/>
      <c r="U159" s="24"/>
      <c r="V159" s="24"/>
      <c r="W159" s="24"/>
      <c r="X159" s="24"/>
      <c r="Y159" s="24"/>
      <c r="Z159" s="24"/>
    </row>
    <row r="160" spans="1:26" ht="39" customHeight="1" x14ac:dyDescent="0.25">
      <c r="A160" s="24"/>
      <c r="B160" s="24">
        <v>1</v>
      </c>
      <c r="C160" s="91"/>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ht="39" customHeight="1" x14ac:dyDescent="0.25">
      <c r="A161" s="24"/>
      <c r="B161" s="24">
        <v>2</v>
      </c>
      <c r="C161" s="92"/>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ht="39" customHeight="1" x14ac:dyDescent="0.25">
      <c r="A162" s="24"/>
      <c r="B162" s="24">
        <v>3</v>
      </c>
      <c r="C162" s="93"/>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ht="39" customHeight="1" x14ac:dyDescent="0.2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ht="39" customHeight="1" x14ac:dyDescent="0.25">
      <c r="A164" s="24"/>
      <c r="B164" s="83"/>
      <c r="C164" s="108" t="s">
        <v>236</v>
      </c>
      <c r="D164" s="105"/>
      <c r="E164" s="84"/>
      <c r="F164" s="84"/>
      <c r="G164" s="84"/>
      <c r="H164" s="24"/>
      <c r="I164" s="24"/>
      <c r="J164" s="24"/>
      <c r="K164" s="24"/>
      <c r="L164" s="24"/>
      <c r="M164" s="24"/>
      <c r="N164" s="24"/>
      <c r="O164" s="24"/>
      <c r="P164" s="24"/>
      <c r="Q164" s="24"/>
      <c r="R164" s="24"/>
      <c r="S164" s="24"/>
      <c r="T164" s="24"/>
      <c r="U164" s="24"/>
      <c r="V164" s="24"/>
      <c r="W164" s="24"/>
      <c r="X164" s="24"/>
      <c r="Y164" s="24"/>
      <c r="Z164" s="24"/>
    </row>
    <row r="165" spans="1:26" ht="39" customHeight="1" x14ac:dyDescent="0.2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ht="39" customHeight="1" x14ac:dyDescent="0.25">
      <c r="A166" s="24"/>
      <c r="B166" s="24"/>
      <c r="C166" s="108" t="s">
        <v>237</v>
      </c>
      <c r="D166" s="105"/>
      <c r="E166" s="84"/>
      <c r="F166" s="84"/>
      <c r="G166" s="84"/>
      <c r="H166" s="24"/>
      <c r="I166" s="24"/>
      <c r="J166" s="24"/>
      <c r="K166" s="24"/>
      <c r="L166" s="24"/>
      <c r="M166" s="24"/>
      <c r="N166" s="24"/>
      <c r="O166" s="24"/>
      <c r="P166" s="24"/>
      <c r="Q166" s="24"/>
      <c r="R166" s="24"/>
      <c r="S166" s="24"/>
      <c r="T166" s="24"/>
      <c r="U166" s="24"/>
      <c r="V166" s="24"/>
      <c r="W166" s="24"/>
      <c r="X166" s="24"/>
      <c r="Y166" s="24"/>
      <c r="Z166" s="24"/>
    </row>
    <row r="167" spans="1:26" ht="39" customHeight="1" x14ac:dyDescent="0.25">
      <c r="A167" s="24"/>
      <c r="B167" s="24">
        <v>1</v>
      </c>
      <c r="C167" s="9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ht="39" customHeight="1" x14ac:dyDescent="0.25">
      <c r="A168" s="24"/>
      <c r="B168" s="24">
        <v>2</v>
      </c>
      <c r="C168" s="9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ht="39" customHeight="1" x14ac:dyDescent="0.25">
      <c r="A169" s="24"/>
      <c r="B169" s="24">
        <v>3</v>
      </c>
      <c r="C169" s="95"/>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ht="39" customHeight="1" x14ac:dyDescent="0.2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14.25" customHeight="1" x14ac:dyDescent="0.3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25" customHeight="1" x14ac:dyDescent="0.3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25" customHeight="1" x14ac:dyDescent="0.3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25" customHeight="1" x14ac:dyDescent="0.3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25" customHeight="1" x14ac:dyDescent="0.3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25" customHeight="1" x14ac:dyDescent="0.3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25" customHeight="1" x14ac:dyDescent="0.3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25" customHeight="1" x14ac:dyDescent="0.3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25" customHeight="1" x14ac:dyDescent="0.3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25" customHeight="1" x14ac:dyDescent="0.3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25" customHeight="1" x14ac:dyDescent="0.3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25" customHeight="1" x14ac:dyDescent="0.3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25" customHeight="1" x14ac:dyDescent="0.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25" customHeight="1" x14ac:dyDescent="0.3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25" customHeight="1" x14ac:dyDescent="0.3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25" customHeight="1" x14ac:dyDescent="0.3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25" customHeight="1" x14ac:dyDescent="0.3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25" customHeight="1" x14ac:dyDescent="0.3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25" customHeight="1" x14ac:dyDescent="0.3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25" customHeight="1" x14ac:dyDescent="0.3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25" customHeight="1" x14ac:dyDescent="0.3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25" customHeight="1" x14ac:dyDescent="0.3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25" customHeight="1" x14ac:dyDescent="0.3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25" customHeight="1" x14ac:dyDescent="0.3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25" customHeight="1" x14ac:dyDescent="0.3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25" customHeight="1" x14ac:dyDescent="0.3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25" customHeight="1" x14ac:dyDescent="0.3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25" customHeight="1" x14ac:dyDescent="0.3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25" customHeight="1" x14ac:dyDescent="0.3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25" customHeight="1" x14ac:dyDescent="0.3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25" customHeight="1" x14ac:dyDescent="0.3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25" customHeight="1" x14ac:dyDescent="0.3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25" customHeight="1" x14ac:dyDescent="0.3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25" customHeight="1" x14ac:dyDescent="0.3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25" customHeight="1" x14ac:dyDescent="0.3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25" customHeight="1" x14ac:dyDescent="0.3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25" customHeight="1" x14ac:dyDescent="0.3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25" customHeight="1" x14ac:dyDescent="0.3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25" customHeight="1" x14ac:dyDescent="0.3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25" customHeight="1" x14ac:dyDescent="0.3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25" customHeight="1" x14ac:dyDescent="0.3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25" customHeight="1" x14ac:dyDescent="0.3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25" customHeight="1" x14ac:dyDescent="0.3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25" customHeight="1" x14ac:dyDescent="0.3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25" customHeight="1" x14ac:dyDescent="0.3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25" customHeight="1" x14ac:dyDescent="0.3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25" customHeight="1" x14ac:dyDescent="0.3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25" customHeight="1" x14ac:dyDescent="0.3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25" customHeight="1" x14ac:dyDescent="0.3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25" customHeight="1" x14ac:dyDescent="0.3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25" customHeight="1" x14ac:dyDescent="0.3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25" customHeight="1" x14ac:dyDescent="0.3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25" customHeight="1" x14ac:dyDescent="0.3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25" customHeight="1" x14ac:dyDescent="0.3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25" customHeight="1" x14ac:dyDescent="0.3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25" customHeight="1" x14ac:dyDescent="0.3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25" customHeight="1" x14ac:dyDescent="0.3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25" customHeight="1" x14ac:dyDescent="0.3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25" customHeight="1" x14ac:dyDescent="0.3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25" customHeight="1" x14ac:dyDescent="0.3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25" customHeight="1" x14ac:dyDescent="0.3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25" customHeight="1" x14ac:dyDescent="0.3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25" customHeight="1" x14ac:dyDescent="0.3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25" customHeight="1" x14ac:dyDescent="0.3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25" customHeight="1" x14ac:dyDescent="0.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25" customHeight="1" x14ac:dyDescent="0.3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25" customHeight="1" x14ac:dyDescent="0.3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25" customHeight="1" x14ac:dyDescent="0.3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25" customHeight="1" x14ac:dyDescent="0.3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25" customHeight="1" x14ac:dyDescent="0.3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25" customHeight="1" x14ac:dyDescent="0.3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25" customHeight="1" x14ac:dyDescent="0.3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25" customHeight="1" x14ac:dyDescent="0.3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25" customHeight="1" x14ac:dyDescent="0.3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25" customHeight="1" x14ac:dyDescent="0.3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25" customHeight="1" x14ac:dyDescent="0.3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25" customHeight="1" x14ac:dyDescent="0.3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25" customHeight="1" x14ac:dyDescent="0.3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25" customHeight="1" x14ac:dyDescent="0.3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25" customHeight="1" x14ac:dyDescent="0.3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25" customHeight="1" x14ac:dyDescent="0.3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25" customHeight="1" x14ac:dyDescent="0.3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25" customHeight="1" x14ac:dyDescent="0.3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25" customHeight="1" x14ac:dyDescent="0.3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25" customHeight="1" x14ac:dyDescent="0.3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25" customHeight="1" x14ac:dyDescent="0.3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25" customHeight="1" x14ac:dyDescent="0.3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25" customHeight="1" x14ac:dyDescent="0.3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25" customHeight="1" x14ac:dyDescent="0.3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25" customHeight="1" x14ac:dyDescent="0.3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25" customHeight="1" x14ac:dyDescent="0.3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25" customHeight="1" x14ac:dyDescent="0.3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25" customHeight="1" x14ac:dyDescent="0.3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25" customHeight="1" x14ac:dyDescent="0.3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25" customHeight="1" x14ac:dyDescent="0.3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25" customHeight="1" x14ac:dyDescent="0.3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25" customHeight="1" x14ac:dyDescent="0.3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25" customHeight="1"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25" customHeight="1" x14ac:dyDescent="0.3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25" customHeight="1" x14ac:dyDescent="0.3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25" customHeight="1" x14ac:dyDescent="0.3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25" customHeight="1" x14ac:dyDescent="0.3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25" customHeight="1" x14ac:dyDescent="0.3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25" customHeight="1" x14ac:dyDescent="0.3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25" customHeight="1" x14ac:dyDescent="0.3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25" customHeight="1"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25" customHeight="1" x14ac:dyDescent="0.3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25" customHeight="1" x14ac:dyDescent="0.3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25" customHeight="1" x14ac:dyDescent="0.3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25" customHeight="1" x14ac:dyDescent="0.3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25" customHeight="1" x14ac:dyDescent="0.3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25" customHeight="1" x14ac:dyDescent="0.3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25" customHeight="1" x14ac:dyDescent="0.3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25" customHeight="1" x14ac:dyDescent="0.3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25" customHeight="1" x14ac:dyDescent="0.3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25" customHeight="1" x14ac:dyDescent="0.3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25" customHeight="1" x14ac:dyDescent="0.3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25" customHeight="1" x14ac:dyDescent="0.3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25" customHeight="1" x14ac:dyDescent="0.3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25" customHeight="1" x14ac:dyDescent="0.3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25" customHeight="1" x14ac:dyDescent="0.3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25" customHeight="1" x14ac:dyDescent="0.3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25" customHeight="1" x14ac:dyDescent="0.3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25" customHeight="1" x14ac:dyDescent="0.3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25" customHeight="1" x14ac:dyDescent="0.3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25" customHeight="1" x14ac:dyDescent="0.3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25" customHeight="1" x14ac:dyDescent="0.3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25" customHeight="1" x14ac:dyDescent="0.3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25" customHeight="1" x14ac:dyDescent="0.3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25" customHeight="1" x14ac:dyDescent="0.3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25" customHeight="1" x14ac:dyDescent="0.3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25" customHeight="1" x14ac:dyDescent="0.3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25" customHeight="1" x14ac:dyDescent="0.3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25" customHeight="1" x14ac:dyDescent="0.3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25" customHeight="1" x14ac:dyDescent="0.3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25" customHeight="1" x14ac:dyDescent="0.3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25" customHeight="1" x14ac:dyDescent="0.3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25" customHeight="1" x14ac:dyDescent="0.3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25" customHeight="1" x14ac:dyDescent="0.3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25" customHeight="1" x14ac:dyDescent="0.3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25" customHeight="1" x14ac:dyDescent="0.3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25" customHeight="1" x14ac:dyDescent="0.3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25" customHeight="1" x14ac:dyDescent="0.3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25" customHeight="1" x14ac:dyDescent="0.3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25" customHeight="1" x14ac:dyDescent="0.3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25" customHeight="1" x14ac:dyDescent="0.3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25" customHeight="1" x14ac:dyDescent="0.3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25" customHeight="1" x14ac:dyDescent="0.3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25" customHeight="1" x14ac:dyDescent="0.3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25" customHeight="1" x14ac:dyDescent="0.3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25" customHeight="1" x14ac:dyDescent="0.3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25" customHeight="1" x14ac:dyDescent="0.3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25" customHeight="1" x14ac:dyDescent="0.3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25" customHeight="1" x14ac:dyDescent="0.3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25" customHeight="1" x14ac:dyDescent="0.3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25" customHeight="1" x14ac:dyDescent="0.3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25" customHeight="1" x14ac:dyDescent="0.3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25" customHeight="1" x14ac:dyDescent="0.3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25" customHeight="1" x14ac:dyDescent="0.3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25" customHeight="1" x14ac:dyDescent="0.3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25" customHeight="1" x14ac:dyDescent="0.3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25" customHeight="1" x14ac:dyDescent="0.3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25" customHeight="1" x14ac:dyDescent="0.3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25" customHeight="1" x14ac:dyDescent="0.3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25" customHeight="1" x14ac:dyDescent="0.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25" customHeight="1" x14ac:dyDescent="0.3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25" customHeight="1" x14ac:dyDescent="0.3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25" customHeight="1" x14ac:dyDescent="0.3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25" customHeight="1" x14ac:dyDescent="0.3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25" customHeight="1" x14ac:dyDescent="0.3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25" customHeight="1" x14ac:dyDescent="0.3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25" customHeight="1" x14ac:dyDescent="0.3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25" customHeight="1" x14ac:dyDescent="0.3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25" customHeight="1" x14ac:dyDescent="0.3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25" customHeight="1" x14ac:dyDescent="0.3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25" customHeight="1" x14ac:dyDescent="0.3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25" customHeight="1" x14ac:dyDescent="0.3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25" customHeight="1" x14ac:dyDescent="0.3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25" customHeight="1" x14ac:dyDescent="0.3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25" customHeight="1" x14ac:dyDescent="0.3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25" customHeight="1" x14ac:dyDescent="0.3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25" customHeight="1" x14ac:dyDescent="0.3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25" customHeight="1" x14ac:dyDescent="0.3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25" customHeight="1" x14ac:dyDescent="0.3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25" customHeight="1" x14ac:dyDescent="0.3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25" customHeight="1" x14ac:dyDescent="0.3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25" customHeight="1" x14ac:dyDescent="0.3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25" customHeight="1" x14ac:dyDescent="0.3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25" customHeight="1" x14ac:dyDescent="0.3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25" customHeight="1" x14ac:dyDescent="0.3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25" customHeight="1" x14ac:dyDescent="0.3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25" customHeight="1" x14ac:dyDescent="0.3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25" customHeight="1" x14ac:dyDescent="0.3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25" customHeight="1" x14ac:dyDescent="0.3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25" customHeight="1" x14ac:dyDescent="0.3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25" customHeight="1" x14ac:dyDescent="0.3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25" customHeight="1" x14ac:dyDescent="0.3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25" customHeight="1" x14ac:dyDescent="0.3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25" customHeight="1" x14ac:dyDescent="0.3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25" customHeight="1" x14ac:dyDescent="0.3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25" customHeight="1" x14ac:dyDescent="0.3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25" customHeight="1" x14ac:dyDescent="0.3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25" customHeight="1" x14ac:dyDescent="0.3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25" customHeight="1" x14ac:dyDescent="0.3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25" customHeight="1" x14ac:dyDescent="0.3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25" customHeight="1" x14ac:dyDescent="0.3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25" customHeight="1" x14ac:dyDescent="0.3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25" customHeight="1" x14ac:dyDescent="0.3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25" customHeight="1" x14ac:dyDescent="0.3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25" customHeight="1" x14ac:dyDescent="0.3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25" customHeight="1" x14ac:dyDescent="0.3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25" customHeight="1" x14ac:dyDescent="0.3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25" customHeight="1" x14ac:dyDescent="0.3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25" customHeight="1" x14ac:dyDescent="0.3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25" customHeight="1" x14ac:dyDescent="0.3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25" customHeight="1" x14ac:dyDescent="0.3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25" customHeight="1" x14ac:dyDescent="0.3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25" customHeight="1" x14ac:dyDescent="0.3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25" customHeight="1" x14ac:dyDescent="0.3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25" customHeight="1" x14ac:dyDescent="0.3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25" customHeight="1" x14ac:dyDescent="0.3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25" customHeight="1" x14ac:dyDescent="0.3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25" customHeight="1" x14ac:dyDescent="0.3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25" customHeight="1" x14ac:dyDescent="0.3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25" customHeight="1" x14ac:dyDescent="0.3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25" customHeight="1" x14ac:dyDescent="0.3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25" customHeight="1" x14ac:dyDescent="0.3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25" customHeight="1" x14ac:dyDescent="0.3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25" customHeight="1" x14ac:dyDescent="0.3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25" customHeight="1" x14ac:dyDescent="0.3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25" customHeight="1" x14ac:dyDescent="0.3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25" customHeight="1" x14ac:dyDescent="0.3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25" customHeight="1" x14ac:dyDescent="0.3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25" customHeight="1" x14ac:dyDescent="0.3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25" customHeight="1" x14ac:dyDescent="0.3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25" customHeight="1" x14ac:dyDescent="0.3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25" customHeight="1" x14ac:dyDescent="0.3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25" customHeight="1" x14ac:dyDescent="0.3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25" customHeight="1" x14ac:dyDescent="0.3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25" customHeight="1" x14ac:dyDescent="0.3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25" customHeight="1" x14ac:dyDescent="0.3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25" customHeight="1" x14ac:dyDescent="0.3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25" customHeight="1" x14ac:dyDescent="0.3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25" customHeight="1" x14ac:dyDescent="0.3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25" customHeight="1" x14ac:dyDescent="0.3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25" customHeight="1" x14ac:dyDescent="0.3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25" customHeight="1" x14ac:dyDescent="0.3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25" customHeight="1" x14ac:dyDescent="0.3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25" customHeight="1" x14ac:dyDescent="0.3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25" customHeight="1" x14ac:dyDescent="0.3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25" customHeight="1" x14ac:dyDescent="0.3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25" customHeight="1" x14ac:dyDescent="0.3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25" customHeight="1" x14ac:dyDescent="0.3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25" customHeight="1" x14ac:dyDescent="0.3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25" customHeight="1" x14ac:dyDescent="0.3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25" customHeight="1" x14ac:dyDescent="0.3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25" customHeight="1" x14ac:dyDescent="0.3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25" customHeight="1" x14ac:dyDescent="0.3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25" customHeight="1" x14ac:dyDescent="0.3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25" customHeight="1" x14ac:dyDescent="0.3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25" customHeight="1" x14ac:dyDescent="0.3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25" customHeight="1" x14ac:dyDescent="0.3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25" customHeight="1" x14ac:dyDescent="0.3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25" customHeight="1" x14ac:dyDescent="0.3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25" customHeight="1" x14ac:dyDescent="0.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25" customHeight="1" x14ac:dyDescent="0.3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25" customHeight="1" x14ac:dyDescent="0.3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25" customHeight="1" x14ac:dyDescent="0.3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25" customHeight="1" x14ac:dyDescent="0.3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25" customHeight="1" x14ac:dyDescent="0.3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25" customHeight="1" x14ac:dyDescent="0.3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25" customHeight="1" x14ac:dyDescent="0.3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25" customHeight="1" x14ac:dyDescent="0.3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25" customHeight="1" x14ac:dyDescent="0.3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25" customHeight="1" x14ac:dyDescent="0.3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25" customHeight="1" x14ac:dyDescent="0.3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25" customHeight="1" x14ac:dyDescent="0.3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25" customHeight="1" x14ac:dyDescent="0.3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25" customHeight="1" x14ac:dyDescent="0.3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25" customHeight="1" x14ac:dyDescent="0.3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25" customHeight="1" x14ac:dyDescent="0.3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25" customHeight="1" x14ac:dyDescent="0.3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25" customHeight="1" x14ac:dyDescent="0.3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25" customHeight="1" x14ac:dyDescent="0.3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25" customHeight="1" x14ac:dyDescent="0.3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25" customHeight="1" x14ac:dyDescent="0.3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25" customHeight="1" x14ac:dyDescent="0.3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25" customHeight="1" x14ac:dyDescent="0.3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25" customHeight="1" x14ac:dyDescent="0.3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25" customHeight="1" x14ac:dyDescent="0.3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25" customHeight="1" x14ac:dyDescent="0.3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25" customHeight="1" x14ac:dyDescent="0.3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25" customHeight="1" x14ac:dyDescent="0.3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25" customHeight="1" x14ac:dyDescent="0.3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25" customHeight="1" x14ac:dyDescent="0.3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25" customHeight="1" x14ac:dyDescent="0.3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25" customHeight="1" x14ac:dyDescent="0.3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25" customHeight="1" x14ac:dyDescent="0.3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25" customHeight="1" x14ac:dyDescent="0.3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25" customHeight="1" x14ac:dyDescent="0.3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25" customHeight="1" x14ac:dyDescent="0.3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25" customHeight="1" x14ac:dyDescent="0.3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25" customHeight="1" x14ac:dyDescent="0.3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25" customHeight="1" x14ac:dyDescent="0.3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25" customHeight="1" x14ac:dyDescent="0.3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25" customHeight="1" x14ac:dyDescent="0.3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25" customHeight="1" x14ac:dyDescent="0.3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25" customHeight="1" x14ac:dyDescent="0.3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25" customHeight="1" x14ac:dyDescent="0.3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25" customHeight="1" x14ac:dyDescent="0.3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25" customHeight="1" x14ac:dyDescent="0.3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25" customHeight="1" x14ac:dyDescent="0.3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25" customHeight="1" x14ac:dyDescent="0.3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25" customHeight="1" x14ac:dyDescent="0.3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25" customHeight="1" x14ac:dyDescent="0.3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25" customHeight="1" x14ac:dyDescent="0.3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25" customHeight="1" x14ac:dyDescent="0.3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25" customHeight="1" x14ac:dyDescent="0.3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25" customHeight="1" x14ac:dyDescent="0.3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25" customHeight="1" x14ac:dyDescent="0.3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25" customHeight="1" x14ac:dyDescent="0.3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25" customHeight="1" x14ac:dyDescent="0.3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25" customHeight="1" x14ac:dyDescent="0.3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25" customHeight="1" x14ac:dyDescent="0.3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25" customHeight="1" x14ac:dyDescent="0.3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25" customHeight="1" x14ac:dyDescent="0.3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25" customHeight="1" x14ac:dyDescent="0.3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25" customHeight="1" x14ac:dyDescent="0.3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25" customHeight="1" x14ac:dyDescent="0.3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25" customHeight="1" x14ac:dyDescent="0.3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25" customHeight="1" x14ac:dyDescent="0.3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25" customHeight="1" x14ac:dyDescent="0.3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25" customHeight="1" x14ac:dyDescent="0.3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25" customHeight="1" x14ac:dyDescent="0.3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25" customHeight="1" x14ac:dyDescent="0.3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25" customHeight="1" x14ac:dyDescent="0.3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25" customHeight="1" x14ac:dyDescent="0.3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25" customHeight="1" x14ac:dyDescent="0.3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25" customHeight="1" x14ac:dyDescent="0.3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25" customHeight="1" x14ac:dyDescent="0.3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25" customHeight="1" x14ac:dyDescent="0.3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25" customHeight="1" x14ac:dyDescent="0.3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25" customHeight="1" x14ac:dyDescent="0.3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25" customHeight="1" x14ac:dyDescent="0.3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25" customHeight="1" x14ac:dyDescent="0.3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25" customHeight="1" x14ac:dyDescent="0.3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25" customHeight="1" x14ac:dyDescent="0.3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25" customHeight="1" x14ac:dyDescent="0.3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25" customHeight="1" x14ac:dyDescent="0.3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25" customHeight="1" x14ac:dyDescent="0.3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25" customHeight="1" x14ac:dyDescent="0.3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25" customHeight="1" x14ac:dyDescent="0.3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25" customHeight="1" x14ac:dyDescent="0.3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25" customHeight="1" x14ac:dyDescent="0.3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25" customHeight="1" x14ac:dyDescent="0.3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25" customHeight="1" x14ac:dyDescent="0.3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25" customHeight="1" x14ac:dyDescent="0.3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25" customHeight="1" x14ac:dyDescent="0.3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25" customHeight="1" x14ac:dyDescent="0.3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25" customHeight="1" x14ac:dyDescent="0.3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25" customHeight="1" x14ac:dyDescent="0.3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25" customHeight="1" x14ac:dyDescent="0.3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25" customHeight="1" x14ac:dyDescent="0.3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25" customHeight="1" x14ac:dyDescent="0.3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25" customHeight="1" x14ac:dyDescent="0.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25" customHeight="1" x14ac:dyDescent="0.3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25" customHeight="1" x14ac:dyDescent="0.3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25" customHeight="1" x14ac:dyDescent="0.3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25" customHeight="1" x14ac:dyDescent="0.3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25" customHeight="1" x14ac:dyDescent="0.3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25" customHeight="1" x14ac:dyDescent="0.3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25" customHeight="1" x14ac:dyDescent="0.3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25" customHeight="1" x14ac:dyDescent="0.3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25" customHeight="1" x14ac:dyDescent="0.3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25" customHeight="1" x14ac:dyDescent="0.3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25" customHeight="1" x14ac:dyDescent="0.3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25" customHeight="1" x14ac:dyDescent="0.3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25" customHeight="1" x14ac:dyDescent="0.3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25" customHeight="1" x14ac:dyDescent="0.3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25" customHeight="1" x14ac:dyDescent="0.3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25" customHeight="1" x14ac:dyDescent="0.3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25" customHeight="1" x14ac:dyDescent="0.3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25" customHeight="1" x14ac:dyDescent="0.3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25" customHeight="1" x14ac:dyDescent="0.3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25" customHeight="1" x14ac:dyDescent="0.3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25" customHeight="1" x14ac:dyDescent="0.3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25" customHeight="1" x14ac:dyDescent="0.3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25" customHeight="1" x14ac:dyDescent="0.3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25" customHeight="1" x14ac:dyDescent="0.3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25" customHeight="1" x14ac:dyDescent="0.3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25" customHeight="1" x14ac:dyDescent="0.3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25" customHeight="1" x14ac:dyDescent="0.3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25" customHeight="1" x14ac:dyDescent="0.3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25" customHeight="1" x14ac:dyDescent="0.3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25" customHeight="1" x14ac:dyDescent="0.3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25" customHeight="1" x14ac:dyDescent="0.3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25" customHeight="1" x14ac:dyDescent="0.3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25" customHeight="1" x14ac:dyDescent="0.3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25" customHeight="1" x14ac:dyDescent="0.3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25" customHeight="1" x14ac:dyDescent="0.3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25" customHeight="1" x14ac:dyDescent="0.3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25" customHeight="1" x14ac:dyDescent="0.3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25" customHeight="1" x14ac:dyDescent="0.3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25" customHeight="1" x14ac:dyDescent="0.3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25" customHeight="1" x14ac:dyDescent="0.3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25" customHeight="1" x14ac:dyDescent="0.3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25" customHeight="1" x14ac:dyDescent="0.3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25" customHeight="1" x14ac:dyDescent="0.3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25" customHeight="1" x14ac:dyDescent="0.3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25" customHeight="1" x14ac:dyDescent="0.3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25" customHeight="1" x14ac:dyDescent="0.3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25" customHeight="1" x14ac:dyDescent="0.3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25" customHeight="1" x14ac:dyDescent="0.3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25" customHeight="1" x14ac:dyDescent="0.3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25" customHeight="1" x14ac:dyDescent="0.3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25" customHeight="1" x14ac:dyDescent="0.3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25" customHeight="1" x14ac:dyDescent="0.3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25" customHeight="1" x14ac:dyDescent="0.3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25" customHeight="1" x14ac:dyDescent="0.3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25" customHeight="1" x14ac:dyDescent="0.3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25" customHeight="1" x14ac:dyDescent="0.3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25" customHeight="1" x14ac:dyDescent="0.3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25" customHeight="1" x14ac:dyDescent="0.3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25" customHeight="1" x14ac:dyDescent="0.3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25" customHeight="1" x14ac:dyDescent="0.3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25" customHeight="1" x14ac:dyDescent="0.3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25" customHeight="1" x14ac:dyDescent="0.3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25" customHeight="1" x14ac:dyDescent="0.3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25" customHeight="1" x14ac:dyDescent="0.3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25" customHeight="1" x14ac:dyDescent="0.3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25" customHeight="1" x14ac:dyDescent="0.3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25" customHeight="1" x14ac:dyDescent="0.3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25" customHeight="1" x14ac:dyDescent="0.3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25" customHeight="1" x14ac:dyDescent="0.3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25" customHeight="1" x14ac:dyDescent="0.3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25" customHeight="1" x14ac:dyDescent="0.3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25" customHeight="1" x14ac:dyDescent="0.3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25" customHeight="1" x14ac:dyDescent="0.3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25" customHeight="1" x14ac:dyDescent="0.3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25" customHeight="1" x14ac:dyDescent="0.3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25" customHeight="1" x14ac:dyDescent="0.3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25" customHeight="1" x14ac:dyDescent="0.3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25" customHeight="1" x14ac:dyDescent="0.3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25" customHeight="1" x14ac:dyDescent="0.3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25" customHeight="1" x14ac:dyDescent="0.3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25" customHeight="1" x14ac:dyDescent="0.3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25" customHeight="1" x14ac:dyDescent="0.3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25" customHeight="1" x14ac:dyDescent="0.3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25" customHeight="1" x14ac:dyDescent="0.3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25" customHeight="1" x14ac:dyDescent="0.3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25" customHeight="1" x14ac:dyDescent="0.3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25" customHeight="1" x14ac:dyDescent="0.3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25" customHeight="1" x14ac:dyDescent="0.3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25" customHeight="1" x14ac:dyDescent="0.3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25" customHeight="1" x14ac:dyDescent="0.3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25" customHeight="1" x14ac:dyDescent="0.3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25" customHeight="1" x14ac:dyDescent="0.3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25" customHeight="1" x14ac:dyDescent="0.3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25" customHeight="1" x14ac:dyDescent="0.3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25" customHeight="1" x14ac:dyDescent="0.3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25" customHeight="1" x14ac:dyDescent="0.3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25" customHeight="1" x14ac:dyDescent="0.3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25" customHeight="1" x14ac:dyDescent="0.3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25" customHeight="1" x14ac:dyDescent="0.3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25" customHeight="1" x14ac:dyDescent="0.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25" customHeight="1" x14ac:dyDescent="0.3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25" customHeight="1" x14ac:dyDescent="0.3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25" customHeight="1" x14ac:dyDescent="0.3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25" customHeight="1" x14ac:dyDescent="0.3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25" customHeight="1" x14ac:dyDescent="0.3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25" customHeight="1" x14ac:dyDescent="0.3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25" customHeight="1" x14ac:dyDescent="0.3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25" customHeight="1" x14ac:dyDescent="0.3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25" customHeight="1" x14ac:dyDescent="0.3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25" customHeight="1" x14ac:dyDescent="0.3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25" customHeight="1" x14ac:dyDescent="0.3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25" customHeight="1" x14ac:dyDescent="0.3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25" customHeight="1" x14ac:dyDescent="0.3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25" customHeight="1" x14ac:dyDescent="0.3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25" customHeight="1" x14ac:dyDescent="0.3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25" customHeight="1" x14ac:dyDescent="0.3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25" customHeight="1" x14ac:dyDescent="0.3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25" customHeight="1" x14ac:dyDescent="0.3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25" customHeight="1" x14ac:dyDescent="0.3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25" customHeight="1" x14ac:dyDescent="0.3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25" customHeight="1" x14ac:dyDescent="0.3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25" customHeight="1" x14ac:dyDescent="0.3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25" customHeight="1" x14ac:dyDescent="0.3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25" customHeight="1" x14ac:dyDescent="0.3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25" customHeight="1" x14ac:dyDescent="0.3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25" customHeight="1" x14ac:dyDescent="0.3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25" customHeight="1" x14ac:dyDescent="0.3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25" customHeight="1" x14ac:dyDescent="0.3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25" customHeight="1" x14ac:dyDescent="0.3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25" customHeight="1" x14ac:dyDescent="0.3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25" customHeight="1" x14ac:dyDescent="0.3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25" customHeight="1" x14ac:dyDescent="0.3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25" customHeight="1" x14ac:dyDescent="0.3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25" customHeight="1" x14ac:dyDescent="0.3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25" customHeight="1" x14ac:dyDescent="0.3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25" customHeight="1" x14ac:dyDescent="0.3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25" customHeight="1" x14ac:dyDescent="0.3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25" customHeight="1" x14ac:dyDescent="0.3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25" customHeight="1" x14ac:dyDescent="0.3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25" customHeight="1" x14ac:dyDescent="0.3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25" customHeight="1" x14ac:dyDescent="0.3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25" customHeight="1" x14ac:dyDescent="0.3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25" customHeight="1" x14ac:dyDescent="0.3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25" customHeight="1" x14ac:dyDescent="0.3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25" customHeight="1" x14ac:dyDescent="0.3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25" customHeight="1" x14ac:dyDescent="0.3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25" customHeight="1" x14ac:dyDescent="0.3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25" customHeight="1" x14ac:dyDescent="0.3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25" customHeight="1" x14ac:dyDescent="0.3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25" customHeight="1" x14ac:dyDescent="0.3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25" customHeight="1" x14ac:dyDescent="0.3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25" customHeight="1" x14ac:dyDescent="0.3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25" customHeight="1" x14ac:dyDescent="0.3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25" customHeight="1" x14ac:dyDescent="0.3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25" customHeight="1" x14ac:dyDescent="0.3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25" customHeight="1" x14ac:dyDescent="0.3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25" customHeight="1" x14ac:dyDescent="0.3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25" customHeight="1" x14ac:dyDescent="0.3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25" customHeight="1" x14ac:dyDescent="0.3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25" customHeight="1" x14ac:dyDescent="0.3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25" customHeight="1" x14ac:dyDescent="0.3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25" customHeight="1" x14ac:dyDescent="0.3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25" customHeight="1" x14ac:dyDescent="0.3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25" customHeight="1" x14ac:dyDescent="0.3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25" customHeight="1" x14ac:dyDescent="0.3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25" customHeight="1" x14ac:dyDescent="0.3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25" customHeight="1" x14ac:dyDescent="0.3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25" customHeight="1" x14ac:dyDescent="0.3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25" customHeight="1" x14ac:dyDescent="0.3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25" customHeight="1" x14ac:dyDescent="0.3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25" customHeight="1" x14ac:dyDescent="0.3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25" customHeight="1" x14ac:dyDescent="0.3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25" customHeight="1" x14ac:dyDescent="0.3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25" customHeight="1" x14ac:dyDescent="0.3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25" customHeight="1" x14ac:dyDescent="0.3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25" customHeight="1" x14ac:dyDescent="0.3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25" customHeight="1" x14ac:dyDescent="0.3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25" customHeight="1" x14ac:dyDescent="0.3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25" customHeight="1" x14ac:dyDescent="0.3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25" customHeight="1" x14ac:dyDescent="0.3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25" customHeight="1" x14ac:dyDescent="0.3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25" customHeight="1" x14ac:dyDescent="0.3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25" customHeight="1" x14ac:dyDescent="0.3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25" customHeight="1" x14ac:dyDescent="0.3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25" customHeight="1" x14ac:dyDescent="0.3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25" customHeight="1" x14ac:dyDescent="0.3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25" customHeight="1" x14ac:dyDescent="0.3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25" customHeight="1" x14ac:dyDescent="0.3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25" customHeight="1" x14ac:dyDescent="0.3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25" customHeight="1" x14ac:dyDescent="0.3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25" customHeight="1" x14ac:dyDescent="0.3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25" customHeight="1" x14ac:dyDescent="0.3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25" customHeight="1" x14ac:dyDescent="0.3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25" customHeight="1" x14ac:dyDescent="0.3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25" customHeight="1" x14ac:dyDescent="0.3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25" customHeight="1" x14ac:dyDescent="0.3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25" customHeight="1" x14ac:dyDescent="0.3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25" customHeight="1" x14ac:dyDescent="0.3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25" customHeight="1" x14ac:dyDescent="0.3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25" customHeight="1" x14ac:dyDescent="0.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25" customHeight="1" x14ac:dyDescent="0.3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25" customHeight="1" x14ac:dyDescent="0.3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25" customHeight="1" x14ac:dyDescent="0.3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25" customHeight="1" x14ac:dyDescent="0.3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25" customHeight="1" x14ac:dyDescent="0.3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25" customHeight="1" x14ac:dyDescent="0.3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25" customHeight="1" x14ac:dyDescent="0.3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25" customHeight="1" x14ac:dyDescent="0.3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25" customHeight="1" x14ac:dyDescent="0.3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25" customHeight="1" x14ac:dyDescent="0.3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25" customHeight="1" x14ac:dyDescent="0.3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25" customHeight="1" x14ac:dyDescent="0.3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25" customHeight="1" x14ac:dyDescent="0.3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25" customHeight="1" x14ac:dyDescent="0.3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25" customHeight="1" x14ac:dyDescent="0.3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25" customHeight="1" x14ac:dyDescent="0.3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25" customHeight="1" x14ac:dyDescent="0.3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25" customHeight="1" x14ac:dyDescent="0.3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25" customHeight="1" x14ac:dyDescent="0.3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25" customHeight="1" x14ac:dyDescent="0.3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25" customHeight="1" x14ac:dyDescent="0.3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25" customHeight="1" x14ac:dyDescent="0.3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25" customHeight="1" x14ac:dyDescent="0.3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25" customHeight="1" x14ac:dyDescent="0.3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25" customHeight="1" x14ac:dyDescent="0.3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25" customHeight="1" x14ac:dyDescent="0.3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25" customHeight="1" x14ac:dyDescent="0.3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25" customHeight="1" x14ac:dyDescent="0.3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25" customHeight="1" x14ac:dyDescent="0.3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25" customHeight="1" x14ac:dyDescent="0.3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25" customHeight="1" x14ac:dyDescent="0.3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25" customHeight="1" x14ac:dyDescent="0.3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25" customHeight="1" x14ac:dyDescent="0.3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25" customHeight="1" x14ac:dyDescent="0.3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25" customHeight="1" x14ac:dyDescent="0.3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25" customHeight="1" x14ac:dyDescent="0.3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25" customHeight="1" x14ac:dyDescent="0.3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25" customHeight="1" x14ac:dyDescent="0.3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25" customHeight="1" x14ac:dyDescent="0.3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25" customHeight="1" x14ac:dyDescent="0.3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25" customHeight="1" x14ac:dyDescent="0.3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25" customHeight="1" x14ac:dyDescent="0.3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25" customHeight="1" x14ac:dyDescent="0.3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25" customHeight="1" x14ac:dyDescent="0.3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25" customHeight="1" x14ac:dyDescent="0.3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25" customHeight="1" x14ac:dyDescent="0.3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25" customHeight="1" x14ac:dyDescent="0.3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25" customHeight="1" x14ac:dyDescent="0.3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25" customHeight="1" x14ac:dyDescent="0.3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25" customHeight="1" x14ac:dyDescent="0.3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25" customHeight="1" x14ac:dyDescent="0.3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25" customHeight="1" x14ac:dyDescent="0.3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25" customHeight="1" x14ac:dyDescent="0.3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25" customHeight="1" x14ac:dyDescent="0.3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25" customHeight="1" x14ac:dyDescent="0.3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25" customHeight="1" x14ac:dyDescent="0.3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25" customHeight="1" x14ac:dyDescent="0.3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25" customHeight="1" x14ac:dyDescent="0.3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25" customHeight="1" x14ac:dyDescent="0.3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25" customHeight="1" x14ac:dyDescent="0.3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25" customHeight="1" x14ac:dyDescent="0.3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25" customHeight="1" x14ac:dyDescent="0.3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25" customHeight="1" x14ac:dyDescent="0.3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25" customHeight="1" x14ac:dyDescent="0.3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25" customHeight="1" x14ac:dyDescent="0.3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25" customHeight="1" x14ac:dyDescent="0.3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25" customHeight="1" x14ac:dyDescent="0.3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25" customHeight="1" x14ac:dyDescent="0.3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25" customHeight="1" x14ac:dyDescent="0.3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25" customHeight="1" x14ac:dyDescent="0.3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25" customHeight="1" x14ac:dyDescent="0.3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25" customHeight="1" x14ac:dyDescent="0.3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25" customHeight="1" x14ac:dyDescent="0.3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25" customHeight="1" x14ac:dyDescent="0.3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25" customHeight="1" x14ac:dyDescent="0.3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25" customHeight="1" x14ac:dyDescent="0.3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25" customHeight="1" x14ac:dyDescent="0.3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25" customHeight="1" x14ac:dyDescent="0.3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25" customHeight="1" x14ac:dyDescent="0.3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25" customHeight="1" x14ac:dyDescent="0.3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25" customHeight="1" x14ac:dyDescent="0.3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25" customHeight="1" x14ac:dyDescent="0.3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25" customHeight="1" x14ac:dyDescent="0.3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25" customHeight="1" x14ac:dyDescent="0.3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25" customHeight="1" x14ac:dyDescent="0.3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25" customHeight="1" x14ac:dyDescent="0.3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25" customHeight="1" x14ac:dyDescent="0.3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25" customHeight="1" x14ac:dyDescent="0.3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25" customHeight="1" x14ac:dyDescent="0.3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25" customHeight="1" x14ac:dyDescent="0.3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25" customHeight="1" x14ac:dyDescent="0.3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25" customHeight="1" x14ac:dyDescent="0.3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25" customHeight="1" x14ac:dyDescent="0.3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25" customHeight="1" x14ac:dyDescent="0.3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25" customHeight="1" x14ac:dyDescent="0.3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25" customHeight="1" x14ac:dyDescent="0.3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25" customHeight="1" x14ac:dyDescent="0.3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25" customHeight="1" x14ac:dyDescent="0.3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25" customHeight="1" x14ac:dyDescent="0.3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25" customHeight="1" x14ac:dyDescent="0.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25" customHeight="1" x14ac:dyDescent="0.3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25" customHeight="1" x14ac:dyDescent="0.3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25" customHeight="1" x14ac:dyDescent="0.3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25" customHeight="1" x14ac:dyDescent="0.3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25" customHeight="1" x14ac:dyDescent="0.3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25" customHeight="1" x14ac:dyDescent="0.3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25" customHeight="1" x14ac:dyDescent="0.3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25" customHeight="1" x14ac:dyDescent="0.3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25" customHeight="1" x14ac:dyDescent="0.3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25" customHeight="1" x14ac:dyDescent="0.3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25" customHeight="1" x14ac:dyDescent="0.3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25" customHeight="1" x14ac:dyDescent="0.3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25" customHeight="1" x14ac:dyDescent="0.3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25" customHeight="1" x14ac:dyDescent="0.3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25" customHeight="1" x14ac:dyDescent="0.3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25" customHeight="1" x14ac:dyDescent="0.3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25" customHeight="1" x14ac:dyDescent="0.3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25" customHeight="1" x14ac:dyDescent="0.3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25" customHeight="1" x14ac:dyDescent="0.3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25" customHeight="1" x14ac:dyDescent="0.3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25" customHeight="1" x14ac:dyDescent="0.3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25" customHeight="1" x14ac:dyDescent="0.3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25" customHeight="1" x14ac:dyDescent="0.3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25" customHeight="1" x14ac:dyDescent="0.3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25" customHeight="1" x14ac:dyDescent="0.3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25" customHeight="1" x14ac:dyDescent="0.3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25" customHeight="1" x14ac:dyDescent="0.3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25" customHeight="1" x14ac:dyDescent="0.3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25" customHeight="1" x14ac:dyDescent="0.3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25" customHeight="1" x14ac:dyDescent="0.3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25" customHeight="1" x14ac:dyDescent="0.3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25" customHeight="1" x14ac:dyDescent="0.3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25" customHeight="1" x14ac:dyDescent="0.3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25" customHeight="1" x14ac:dyDescent="0.3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25" customHeight="1" x14ac:dyDescent="0.3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25" customHeight="1" x14ac:dyDescent="0.3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25" customHeight="1" x14ac:dyDescent="0.3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25" customHeight="1" x14ac:dyDescent="0.3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25" customHeight="1" x14ac:dyDescent="0.3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25" customHeight="1" x14ac:dyDescent="0.3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25" customHeight="1" x14ac:dyDescent="0.3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25" customHeight="1" x14ac:dyDescent="0.3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25" customHeight="1" x14ac:dyDescent="0.3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25" customHeight="1" x14ac:dyDescent="0.3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25" customHeight="1" x14ac:dyDescent="0.3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25" customHeight="1" x14ac:dyDescent="0.3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25" customHeight="1" x14ac:dyDescent="0.3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25" customHeight="1" x14ac:dyDescent="0.3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25" customHeight="1" x14ac:dyDescent="0.3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25" customHeight="1" x14ac:dyDescent="0.3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25" customHeight="1" x14ac:dyDescent="0.3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25" customHeight="1" x14ac:dyDescent="0.3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25" customHeight="1" x14ac:dyDescent="0.3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25" customHeight="1" x14ac:dyDescent="0.3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25" customHeight="1" x14ac:dyDescent="0.3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25" customHeight="1" x14ac:dyDescent="0.3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25" customHeight="1" x14ac:dyDescent="0.3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25" customHeight="1" x14ac:dyDescent="0.3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25" customHeight="1" x14ac:dyDescent="0.3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25" customHeight="1" x14ac:dyDescent="0.3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25" customHeight="1" x14ac:dyDescent="0.3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25" customHeight="1" x14ac:dyDescent="0.3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25" customHeight="1" x14ac:dyDescent="0.3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25" customHeight="1" x14ac:dyDescent="0.3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25" customHeight="1" x14ac:dyDescent="0.3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25" customHeight="1" x14ac:dyDescent="0.3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25" customHeight="1" x14ac:dyDescent="0.3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25" customHeight="1" x14ac:dyDescent="0.3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25" customHeight="1" x14ac:dyDescent="0.3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4.25" customHeight="1" x14ac:dyDescent="0.3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4.25" customHeight="1" x14ac:dyDescent="0.3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4.25" customHeight="1" x14ac:dyDescent="0.3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4.25" customHeight="1" x14ac:dyDescent="0.3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4.25" customHeight="1" x14ac:dyDescent="0.3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4.25" customHeight="1" x14ac:dyDescent="0.3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4.25" customHeight="1" x14ac:dyDescent="0.3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25" customHeight="1" x14ac:dyDescent="0.3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25" customHeight="1" x14ac:dyDescent="0.3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4.25" customHeight="1" x14ac:dyDescent="0.3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25" customHeight="1" x14ac:dyDescent="0.3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25" customHeight="1" x14ac:dyDescent="0.3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4.25" customHeight="1" x14ac:dyDescent="0.3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4.25" customHeight="1" x14ac:dyDescent="0.3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4.25" customHeight="1" x14ac:dyDescent="0.3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4.25" customHeight="1" x14ac:dyDescent="0.3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4.25" customHeight="1" x14ac:dyDescent="0.3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4.25" customHeight="1" x14ac:dyDescent="0.3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4.25" customHeight="1" x14ac:dyDescent="0.3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4.25" customHeight="1" x14ac:dyDescent="0.3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4.25" customHeight="1" x14ac:dyDescent="0.3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4.25" customHeight="1" x14ac:dyDescent="0.3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4.25" customHeight="1" x14ac:dyDescent="0.3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4.25" customHeight="1" x14ac:dyDescent="0.3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4.25" customHeight="1" x14ac:dyDescent="0.3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4.25" customHeight="1" x14ac:dyDescent="0.3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25" customHeight="1" x14ac:dyDescent="0.3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4.25" customHeight="1" x14ac:dyDescent="0.3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25" customHeight="1" x14ac:dyDescent="0.3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4.25" customHeight="1" x14ac:dyDescent="0.3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4.25" customHeight="1" x14ac:dyDescent="0.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4.25" customHeight="1" x14ac:dyDescent="0.3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4.25" customHeight="1" x14ac:dyDescent="0.3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4.25" customHeight="1" x14ac:dyDescent="0.3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4.25" customHeight="1" x14ac:dyDescent="0.3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4.25" customHeight="1" x14ac:dyDescent="0.3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4.25" customHeight="1" x14ac:dyDescent="0.3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4.25" customHeight="1" x14ac:dyDescent="0.3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4.25" customHeight="1" x14ac:dyDescent="0.3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4.25" customHeight="1" x14ac:dyDescent="0.3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4.25" customHeight="1" x14ac:dyDescent="0.3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4.25" customHeight="1" x14ac:dyDescent="0.3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25" customHeight="1" x14ac:dyDescent="0.3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4.25" customHeight="1" x14ac:dyDescent="0.3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4.25" customHeight="1" x14ac:dyDescent="0.3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4.25" customHeight="1" x14ac:dyDescent="0.3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4.25" customHeight="1" x14ac:dyDescent="0.3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25" customHeight="1" x14ac:dyDescent="0.3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25" customHeight="1" x14ac:dyDescent="0.3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4.25" customHeight="1" x14ac:dyDescent="0.3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4.25" customHeight="1" x14ac:dyDescent="0.3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4.25" customHeight="1" x14ac:dyDescent="0.3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4.25" customHeight="1" x14ac:dyDescent="0.3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4.25" customHeight="1" x14ac:dyDescent="0.3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4.25" customHeight="1" x14ac:dyDescent="0.3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4.25" customHeight="1" x14ac:dyDescent="0.3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4.25" customHeight="1" x14ac:dyDescent="0.3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4.25" customHeight="1" x14ac:dyDescent="0.3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4.25" customHeight="1" x14ac:dyDescent="0.3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25" customHeight="1" x14ac:dyDescent="0.3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4.25" customHeight="1" x14ac:dyDescent="0.3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4.25" customHeight="1" x14ac:dyDescent="0.3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4.25" customHeight="1" x14ac:dyDescent="0.3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4.25" customHeight="1" x14ac:dyDescent="0.3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4.25" customHeight="1" x14ac:dyDescent="0.3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4.25" customHeight="1" x14ac:dyDescent="0.3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4.25" customHeight="1" x14ac:dyDescent="0.3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4.25" customHeight="1" x14ac:dyDescent="0.3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4.25" customHeight="1" x14ac:dyDescent="0.3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4.25" customHeight="1" x14ac:dyDescent="0.3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4.25" customHeight="1" x14ac:dyDescent="0.3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4.25" customHeight="1" x14ac:dyDescent="0.3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4.25" customHeight="1" x14ac:dyDescent="0.3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4.25" customHeight="1" x14ac:dyDescent="0.3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4.25" customHeight="1" x14ac:dyDescent="0.3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4.25" customHeight="1" x14ac:dyDescent="0.3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4.25" customHeight="1" x14ac:dyDescent="0.3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4.25" customHeight="1" x14ac:dyDescent="0.3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4.25" customHeight="1" x14ac:dyDescent="0.3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4.25" customHeight="1" x14ac:dyDescent="0.3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4.25" customHeight="1" x14ac:dyDescent="0.3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4.25" customHeight="1" x14ac:dyDescent="0.3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4.25" customHeight="1" x14ac:dyDescent="0.3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4.25" customHeight="1" x14ac:dyDescent="0.3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4.25" customHeight="1" x14ac:dyDescent="0.3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4.25" customHeight="1" x14ac:dyDescent="0.3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4.25" customHeight="1" x14ac:dyDescent="0.3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4.25" customHeight="1" x14ac:dyDescent="0.3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4.25" customHeight="1" x14ac:dyDescent="0.3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4.25" customHeight="1" x14ac:dyDescent="0.3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4.25" customHeight="1" x14ac:dyDescent="0.3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4.25" customHeight="1" x14ac:dyDescent="0.3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4.25" customHeight="1" x14ac:dyDescent="0.3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4.25" customHeight="1" x14ac:dyDescent="0.3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4.25" customHeight="1" x14ac:dyDescent="0.3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4.25" customHeight="1" x14ac:dyDescent="0.3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8">
    <mergeCell ref="B7:F7"/>
    <mergeCell ref="B9:F9"/>
    <mergeCell ref="B11:F11"/>
    <mergeCell ref="B13:F13"/>
    <mergeCell ref="B14:C14"/>
    <mergeCell ref="B21:F21"/>
    <mergeCell ref="B22:C22"/>
    <mergeCell ref="B50:F50"/>
    <mergeCell ref="B51:C51"/>
    <mergeCell ref="B82:F82"/>
    <mergeCell ref="B83:C83"/>
    <mergeCell ref="B96:F96"/>
    <mergeCell ref="B97:C97"/>
    <mergeCell ref="B108:F108"/>
    <mergeCell ref="D149:G149"/>
    <mergeCell ref="C166:D166"/>
    <mergeCell ref="B109:C109"/>
    <mergeCell ref="B120:F120"/>
    <mergeCell ref="B121:C121"/>
    <mergeCell ref="B131:F131"/>
    <mergeCell ref="B132:C132"/>
    <mergeCell ref="C146:G146"/>
    <mergeCell ref="D148:G148"/>
    <mergeCell ref="D150:G150"/>
    <mergeCell ref="C152:G152"/>
    <mergeCell ref="C154:G154"/>
    <mergeCell ref="C159:G159"/>
    <mergeCell ref="C164:D164"/>
  </mergeCells>
  <pageMargins left="0.75" right="0.75" top="1" bottom="1" header="0" footer="0"/>
  <pageSetup fitToHeight="0"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2D69B"/>
    <pageSetUpPr fitToPage="1"/>
  </sheetPr>
  <dimension ref="A1:Z993"/>
  <sheetViews>
    <sheetView tabSelected="1" topLeftCell="A10" workbookViewId="0">
      <selection activeCell="C54" sqref="C54"/>
    </sheetView>
  </sheetViews>
  <sheetFormatPr baseColWidth="10" defaultColWidth="12.6328125" defaultRowHeight="15" customHeight="1" x14ac:dyDescent="0.25"/>
  <cols>
    <col min="1" max="1" width="11.453125" customWidth="1"/>
    <col min="2" max="2" width="7.08984375" customWidth="1"/>
    <col min="3" max="3" width="38" customWidth="1"/>
    <col min="4" max="4" width="13.453125" customWidth="1"/>
    <col min="5" max="5" width="18" customWidth="1"/>
    <col min="6" max="7" width="15.453125" customWidth="1"/>
    <col min="8" max="8" width="14.7265625" customWidth="1"/>
    <col min="9" max="12" width="9.08984375" customWidth="1"/>
    <col min="13" max="13" width="6" customWidth="1"/>
    <col min="14" max="14" width="15.7265625" customWidth="1"/>
    <col min="15" max="15" width="14.453125" customWidth="1"/>
    <col min="16" max="16" width="5.7265625" customWidth="1"/>
    <col min="17" max="19" width="12.7265625" customWidth="1"/>
    <col min="20" max="26" width="9.08984375" customWidth="1"/>
  </cols>
  <sheetData>
    <row r="1" spans="1:26" ht="120.75" customHeight="1" x14ac:dyDescent="0.3">
      <c r="A1" s="2"/>
      <c r="B1" s="112" t="s">
        <v>0</v>
      </c>
      <c r="C1" s="113"/>
      <c r="D1" s="113"/>
      <c r="E1" s="113"/>
      <c r="F1" s="113"/>
      <c r="G1" s="113"/>
      <c r="H1" s="113"/>
      <c r="I1" s="113"/>
      <c r="J1" s="113"/>
      <c r="K1" s="113"/>
      <c r="L1" s="113"/>
      <c r="M1" s="113"/>
      <c r="N1" s="113"/>
      <c r="O1" s="113"/>
      <c r="P1" s="113"/>
      <c r="Q1" s="113"/>
      <c r="R1" s="113"/>
      <c r="S1" s="114"/>
      <c r="T1" s="2"/>
      <c r="U1" s="2"/>
      <c r="V1" s="2"/>
      <c r="W1" s="2"/>
      <c r="X1" s="2"/>
      <c r="Y1" s="2"/>
      <c r="Z1" s="2"/>
    </row>
    <row r="2" spans="1:26" ht="21.75" customHeight="1" x14ac:dyDescent="0.3">
      <c r="A2" s="2"/>
      <c r="B2" s="115" t="s">
        <v>1</v>
      </c>
      <c r="C2" s="116"/>
      <c r="D2" s="5"/>
      <c r="E2" s="5"/>
      <c r="F2" s="5"/>
      <c r="G2" s="5"/>
      <c r="H2" s="5"/>
      <c r="I2" s="5"/>
      <c r="J2" s="2"/>
      <c r="K2" s="2"/>
      <c r="L2" s="2"/>
      <c r="M2" s="2"/>
      <c r="N2" s="2"/>
      <c r="O2" s="2"/>
      <c r="P2" s="2"/>
      <c r="Q2" s="2"/>
      <c r="R2" s="2"/>
      <c r="S2" s="7"/>
      <c r="T2" s="2"/>
      <c r="U2" s="2"/>
      <c r="V2" s="2"/>
      <c r="W2" s="2"/>
      <c r="X2" s="2"/>
      <c r="Y2" s="2"/>
      <c r="Z2" s="2"/>
    </row>
    <row r="3" spans="1:26" ht="21.75" customHeight="1" x14ac:dyDescent="0.3">
      <c r="A3" s="2"/>
      <c r="B3" s="117" t="s">
        <v>3</v>
      </c>
      <c r="C3" s="105"/>
      <c r="D3" s="9"/>
      <c r="E3" s="9"/>
      <c r="F3" s="9"/>
      <c r="G3" s="9"/>
      <c r="H3" s="9"/>
      <c r="I3" s="9"/>
      <c r="J3" s="2"/>
      <c r="K3" s="2"/>
      <c r="L3" s="2"/>
      <c r="M3" s="2"/>
      <c r="N3" s="2"/>
      <c r="O3" s="2"/>
      <c r="P3" s="2"/>
      <c r="Q3" s="2"/>
      <c r="R3" s="2"/>
      <c r="S3" s="7"/>
      <c r="T3" s="2"/>
      <c r="U3" s="2"/>
      <c r="V3" s="2"/>
      <c r="W3" s="2"/>
      <c r="X3" s="2"/>
      <c r="Y3" s="2"/>
      <c r="Z3" s="2"/>
    </row>
    <row r="4" spans="1:26" ht="21.75" customHeight="1" x14ac:dyDescent="0.3">
      <c r="A4" s="2"/>
      <c r="B4" s="117" t="s">
        <v>5</v>
      </c>
      <c r="C4" s="105"/>
      <c r="D4" s="9"/>
      <c r="E4" s="9"/>
      <c r="F4" s="9"/>
      <c r="G4" s="9"/>
      <c r="H4" s="9"/>
      <c r="I4" s="9"/>
      <c r="J4" s="2"/>
      <c r="K4" s="2"/>
      <c r="L4" s="2"/>
      <c r="M4" s="2"/>
      <c r="N4" s="2"/>
      <c r="O4" s="2"/>
      <c r="P4" s="2"/>
      <c r="Q4" s="2"/>
      <c r="R4" s="2"/>
      <c r="S4" s="7"/>
      <c r="T4" s="2"/>
      <c r="U4" s="2"/>
      <c r="V4" s="2"/>
      <c r="W4" s="2"/>
      <c r="X4" s="2"/>
      <c r="Y4" s="2"/>
      <c r="Z4" s="2"/>
    </row>
    <row r="5" spans="1:26" ht="21.75" customHeight="1" x14ac:dyDescent="0.3">
      <c r="A5" s="2"/>
      <c r="B5" s="117" t="s">
        <v>6</v>
      </c>
      <c r="C5" s="105"/>
      <c r="D5" s="9"/>
      <c r="E5" s="9"/>
      <c r="F5" s="9"/>
      <c r="G5" s="9"/>
      <c r="H5" s="9"/>
      <c r="I5" s="9"/>
      <c r="J5" s="2"/>
      <c r="K5" s="2"/>
      <c r="L5" s="2"/>
      <c r="M5" s="2"/>
      <c r="N5" s="2"/>
      <c r="O5" s="2"/>
      <c r="P5" s="2"/>
      <c r="Q5" s="2"/>
      <c r="R5" s="2"/>
      <c r="S5" s="7"/>
      <c r="T5" s="2"/>
      <c r="U5" s="2"/>
      <c r="V5" s="2"/>
      <c r="W5" s="2"/>
      <c r="X5" s="2"/>
      <c r="Y5" s="2"/>
      <c r="Z5" s="2"/>
    </row>
    <row r="6" spans="1:26" ht="21.75" customHeight="1" x14ac:dyDescent="0.35">
      <c r="A6" s="2"/>
      <c r="B6" s="109"/>
      <c r="C6" s="110"/>
      <c r="D6" s="11"/>
      <c r="E6" s="11"/>
      <c r="F6" s="11"/>
      <c r="G6" s="11"/>
      <c r="H6" s="11"/>
      <c r="I6" s="11"/>
      <c r="J6" s="12"/>
      <c r="K6" s="12"/>
      <c r="L6" s="12"/>
      <c r="M6" s="12"/>
      <c r="N6" s="12"/>
      <c r="O6" s="12"/>
      <c r="P6" s="12"/>
      <c r="Q6" s="12"/>
      <c r="R6" s="12"/>
      <c r="S6" s="13"/>
      <c r="T6" s="2"/>
      <c r="U6" s="2"/>
      <c r="V6" s="2"/>
      <c r="W6" s="2"/>
      <c r="X6" s="2"/>
      <c r="Y6" s="2"/>
      <c r="Z6" s="2"/>
    </row>
    <row r="7" spans="1:26" ht="12.7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2.75" customHeight="1" x14ac:dyDescent="0.45">
      <c r="A8" s="2"/>
      <c r="B8" s="111" t="s">
        <v>12</v>
      </c>
      <c r="C8" s="104"/>
      <c r="D8" s="104"/>
      <c r="E8" s="105"/>
      <c r="F8" s="2"/>
      <c r="G8" s="2"/>
      <c r="H8" s="2"/>
      <c r="I8" s="2"/>
      <c r="J8" s="2"/>
      <c r="K8" s="2"/>
      <c r="L8" s="2"/>
      <c r="M8" s="2"/>
      <c r="N8" s="2"/>
      <c r="Q8" s="15" t="s">
        <v>21</v>
      </c>
      <c r="R8" s="15" t="str">
        <f>'Ficha de la Empresa'!C11</f>
        <v>La Colmena</v>
      </c>
      <c r="S8" s="15" t="s">
        <v>14</v>
      </c>
      <c r="T8" s="15" t="s">
        <v>16</v>
      </c>
      <c r="U8" s="15" t="s">
        <v>17</v>
      </c>
      <c r="X8" s="2"/>
      <c r="Y8" s="2"/>
      <c r="Z8" s="2"/>
    </row>
    <row r="9" spans="1:26" ht="12.75" customHeight="1" x14ac:dyDescent="0.4">
      <c r="A9" s="2"/>
      <c r="B9" s="2"/>
      <c r="C9" s="2"/>
      <c r="D9" s="2"/>
      <c r="E9" s="2"/>
      <c r="F9" s="2"/>
      <c r="G9" s="2"/>
      <c r="H9" s="2"/>
      <c r="I9" s="2"/>
      <c r="J9" s="2"/>
      <c r="K9" s="2"/>
      <c r="L9" s="2"/>
      <c r="M9" s="2"/>
      <c r="N9" s="2"/>
      <c r="O9" s="2"/>
      <c r="Q9" s="21" t="s">
        <v>29</v>
      </c>
      <c r="R9" s="96">
        <f t="shared" ref="R9:R16" si="0">D11</f>
        <v>6.25</v>
      </c>
      <c r="S9" s="22">
        <v>4</v>
      </c>
      <c r="T9" s="19">
        <v>7</v>
      </c>
      <c r="U9" s="19">
        <v>8</v>
      </c>
      <c r="X9" s="2"/>
      <c r="Y9" s="2"/>
      <c r="Z9" s="2"/>
    </row>
    <row r="10" spans="1:26" ht="12.75" customHeight="1" x14ac:dyDescent="0.4">
      <c r="A10" s="2"/>
      <c r="B10" s="15" t="s">
        <v>20</v>
      </c>
      <c r="C10" s="15" t="s">
        <v>21</v>
      </c>
      <c r="D10" s="15" t="s">
        <v>23</v>
      </c>
      <c r="E10" s="15" t="s">
        <v>24</v>
      </c>
      <c r="F10" s="2"/>
      <c r="G10" s="2"/>
      <c r="H10" s="2"/>
      <c r="I10" s="2"/>
      <c r="J10" s="2"/>
      <c r="K10" s="2"/>
      <c r="L10" s="2"/>
      <c r="M10" s="2"/>
      <c r="N10" s="2"/>
      <c r="O10" s="2"/>
      <c r="Q10" s="21" t="s">
        <v>32</v>
      </c>
      <c r="R10" s="96">
        <f t="shared" si="0"/>
        <v>4</v>
      </c>
      <c r="S10" s="22">
        <v>4</v>
      </c>
      <c r="T10" s="19">
        <v>7</v>
      </c>
      <c r="U10" s="19">
        <v>8</v>
      </c>
      <c r="X10" s="2"/>
      <c r="Y10" s="2"/>
      <c r="Z10" s="2"/>
    </row>
    <row r="11" spans="1:26" ht="12.75" customHeight="1" x14ac:dyDescent="0.4">
      <c r="A11" s="2"/>
      <c r="B11" s="19">
        <v>1</v>
      </c>
      <c r="C11" s="21" t="s">
        <v>29</v>
      </c>
      <c r="D11" s="22">
        <f>'Capacidades Empresariales'!D19</f>
        <v>6.25</v>
      </c>
      <c r="E11" s="19" t="str">
        <f>IF(D11&lt;=4,"C: DEFICIENTE",IF(D11&lt;=6,"B: MEJORABLE","A: ACEPTABLE"))</f>
        <v>A: ACEPTABLE</v>
      </c>
      <c r="F11" s="2"/>
      <c r="G11" s="2"/>
      <c r="H11" s="2"/>
      <c r="I11" s="2"/>
      <c r="J11" s="2"/>
      <c r="K11" s="2"/>
      <c r="L11" s="2"/>
      <c r="M11" s="2"/>
      <c r="N11" s="2"/>
      <c r="O11" s="2"/>
      <c r="Q11" s="21" t="s">
        <v>37</v>
      </c>
      <c r="R11" s="96">
        <f t="shared" si="0"/>
        <v>9</v>
      </c>
      <c r="S11" s="22">
        <v>4</v>
      </c>
      <c r="T11" s="19">
        <v>7</v>
      </c>
      <c r="U11" s="19">
        <v>8</v>
      </c>
      <c r="X11" s="2"/>
      <c r="Y11" s="2"/>
      <c r="Z11" s="2"/>
    </row>
    <row r="12" spans="1:26" ht="12.75" customHeight="1" x14ac:dyDescent="0.4">
      <c r="A12" s="2"/>
      <c r="B12" s="19">
        <v>2</v>
      </c>
      <c r="C12" s="21" t="s">
        <v>32</v>
      </c>
      <c r="D12" s="22">
        <f>'Capacidades Empresariales'!D48</f>
        <v>4</v>
      </c>
      <c r="E12" s="19" t="str">
        <f>IF(D12&lt;=4,"C: DEFICIENTE",IF(D12&lt;=7,"B: MEJORABLE","A: ACEPTABLE"))</f>
        <v>C: DEFICIENTE</v>
      </c>
      <c r="F12" s="2"/>
      <c r="G12" s="2"/>
      <c r="H12" s="2"/>
      <c r="I12" s="2"/>
      <c r="J12" s="2"/>
      <c r="K12" s="2"/>
      <c r="L12" s="2"/>
      <c r="M12" s="2"/>
      <c r="N12" s="2"/>
      <c r="O12" s="2"/>
      <c r="Q12" s="21" t="s">
        <v>40</v>
      </c>
      <c r="R12" s="96">
        <f t="shared" si="0"/>
        <v>7</v>
      </c>
      <c r="S12" s="22">
        <v>4</v>
      </c>
      <c r="T12" s="19">
        <v>7</v>
      </c>
      <c r="U12" s="19">
        <v>8</v>
      </c>
      <c r="X12" s="2"/>
      <c r="Y12" s="2"/>
      <c r="Z12" s="2"/>
    </row>
    <row r="13" spans="1:26" ht="12.75" customHeight="1" x14ac:dyDescent="0.4">
      <c r="A13" s="2"/>
      <c r="B13" s="19">
        <v>3</v>
      </c>
      <c r="C13" s="21" t="s">
        <v>37</v>
      </c>
      <c r="D13" s="22">
        <f>'Capacidades Empresariales'!D80</f>
        <v>9</v>
      </c>
      <c r="E13" s="19" t="str">
        <f t="shared" ref="E13:E18" si="1">IF(D13&lt;=4,"C: DEFICIENTE",IF(D13&lt;=7,"B: MEJORABLE","A: ACEPTABLE"))</f>
        <v>A: ACEPTABLE</v>
      </c>
      <c r="F13" s="2"/>
      <c r="G13" s="2"/>
      <c r="H13" s="2"/>
      <c r="I13" s="2"/>
      <c r="J13" s="2"/>
      <c r="K13" s="2"/>
      <c r="L13" s="2"/>
      <c r="M13" s="2"/>
      <c r="N13" s="2"/>
      <c r="O13" s="2"/>
      <c r="Q13" s="21" t="s">
        <v>43</v>
      </c>
      <c r="R13" s="96">
        <f t="shared" si="0"/>
        <v>6.5</v>
      </c>
      <c r="S13" s="22">
        <v>4</v>
      </c>
      <c r="T13" s="19">
        <v>7</v>
      </c>
      <c r="U13" s="19">
        <v>8</v>
      </c>
      <c r="X13" s="2"/>
      <c r="Y13" s="2"/>
      <c r="Z13" s="2"/>
    </row>
    <row r="14" spans="1:26" ht="12.75" customHeight="1" x14ac:dyDescent="0.4">
      <c r="A14" s="2"/>
      <c r="B14" s="19">
        <v>4</v>
      </c>
      <c r="C14" s="21" t="s">
        <v>40</v>
      </c>
      <c r="D14" s="22">
        <f>'Capacidades Empresariales'!D94</f>
        <v>7</v>
      </c>
      <c r="E14" s="19" t="str">
        <f t="shared" si="1"/>
        <v>B: MEJORABLE</v>
      </c>
      <c r="F14" s="2"/>
      <c r="G14" s="2"/>
      <c r="H14" s="2"/>
      <c r="I14" s="2"/>
      <c r="J14" s="2"/>
      <c r="K14" s="2"/>
      <c r="L14" s="2"/>
      <c r="M14" s="2"/>
      <c r="N14" s="2"/>
      <c r="O14" s="2"/>
      <c r="Q14" s="21" t="s">
        <v>45</v>
      </c>
      <c r="R14" s="96">
        <f t="shared" si="0"/>
        <v>7</v>
      </c>
      <c r="S14" s="22">
        <v>4</v>
      </c>
      <c r="T14" s="19">
        <v>7</v>
      </c>
      <c r="U14" s="19">
        <v>8</v>
      </c>
      <c r="X14" s="2"/>
      <c r="Y14" s="2"/>
      <c r="Z14" s="2"/>
    </row>
    <row r="15" spans="1:26" ht="12.75" customHeight="1" x14ac:dyDescent="0.4">
      <c r="A15" s="2"/>
      <c r="B15" s="19">
        <v>5</v>
      </c>
      <c r="C15" s="21" t="s">
        <v>43</v>
      </c>
      <c r="D15" s="22">
        <f>'Capacidades Empresariales'!D106</f>
        <v>6.5</v>
      </c>
      <c r="E15" s="19" t="str">
        <f t="shared" si="1"/>
        <v>B: MEJORABLE</v>
      </c>
      <c r="F15" s="2"/>
      <c r="G15" s="2"/>
      <c r="H15" s="2"/>
      <c r="I15" s="2"/>
      <c r="J15" s="2"/>
      <c r="K15" s="2"/>
      <c r="L15" s="2"/>
      <c r="M15" s="2"/>
      <c r="N15" s="2"/>
      <c r="O15" s="2"/>
      <c r="Q15" s="21" t="s">
        <v>49</v>
      </c>
      <c r="R15" s="96">
        <f t="shared" si="0"/>
        <v>3</v>
      </c>
      <c r="S15" s="22">
        <v>4</v>
      </c>
      <c r="T15" s="19">
        <v>7</v>
      </c>
      <c r="U15" s="19">
        <v>8</v>
      </c>
      <c r="X15" s="2"/>
      <c r="Y15" s="2"/>
      <c r="Z15" s="2"/>
    </row>
    <row r="16" spans="1:26" ht="12.75" customHeight="1" x14ac:dyDescent="0.4">
      <c r="A16" s="2"/>
      <c r="B16" s="19">
        <v>6</v>
      </c>
      <c r="C16" s="21" t="s">
        <v>45</v>
      </c>
      <c r="D16" s="22">
        <f>'Capacidades Empresariales'!D118</f>
        <v>7</v>
      </c>
      <c r="E16" s="19" t="str">
        <f t="shared" si="1"/>
        <v>B: MEJORABLE</v>
      </c>
      <c r="F16" s="2"/>
      <c r="G16" s="2"/>
      <c r="H16" s="2"/>
      <c r="I16" s="2"/>
      <c r="J16" s="2"/>
      <c r="K16" s="2"/>
      <c r="L16" s="2"/>
      <c r="M16" s="2"/>
      <c r="N16" s="2"/>
      <c r="O16" s="2"/>
      <c r="Q16" s="21" t="s">
        <v>52</v>
      </c>
      <c r="R16" s="96">
        <f t="shared" si="0"/>
        <v>9</v>
      </c>
      <c r="S16" s="22">
        <v>4</v>
      </c>
      <c r="T16" s="19">
        <v>7</v>
      </c>
      <c r="U16" s="19">
        <v>8</v>
      </c>
      <c r="X16" s="2"/>
      <c r="Y16" s="2"/>
      <c r="Z16" s="2"/>
    </row>
    <row r="17" spans="1:26" ht="12.75" customHeight="1" x14ac:dyDescent="0.4">
      <c r="A17" s="2"/>
      <c r="B17" s="19">
        <v>7</v>
      </c>
      <c r="C17" s="21" t="s">
        <v>49</v>
      </c>
      <c r="D17" s="22">
        <f>'Capacidades Empresariales'!D129</f>
        <v>3</v>
      </c>
      <c r="E17" s="19" t="str">
        <f t="shared" si="1"/>
        <v>C: DEFICIENTE</v>
      </c>
      <c r="F17" s="2"/>
      <c r="G17" s="2"/>
      <c r="H17" s="2"/>
      <c r="I17" s="2"/>
      <c r="J17" s="2"/>
      <c r="K17" s="2"/>
      <c r="L17" s="2"/>
      <c r="M17" s="2"/>
      <c r="N17" s="2"/>
      <c r="O17" s="2"/>
      <c r="P17" s="2"/>
      <c r="Q17" s="2"/>
      <c r="R17" s="2"/>
      <c r="S17" s="2"/>
      <c r="T17" s="2"/>
      <c r="U17" s="2"/>
      <c r="V17" s="2"/>
      <c r="W17" s="2"/>
      <c r="X17" s="2"/>
      <c r="Y17" s="2"/>
      <c r="Z17" s="2"/>
    </row>
    <row r="18" spans="1:26" ht="12.75" customHeight="1" x14ac:dyDescent="0.4">
      <c r="A18" s="2"/>
      <c r="B18" s="19">
        <v>8</v>
      </c>
      <c r="C18" s="21" t="s">
        <v>52</v>
      </c>
      <c r="D18" s="22">
        <f>'Capacidades Empresariales'!D144</f>
        <v>9</v>
      </c>
      <c r="E18" s="19" t="str">
        <f t="shared" si="1"/>
        <v>A: ACEPTABLE</v>
      </c>
      <c r="F18" s="2"/>
      <c r="G18" s="2"/>
      <c r="H18" s="2"/>
      <c r="I18" s="2"/>
      <c r="J18" s="2"/>
      <c r="K18" s="2"/>
      <c r="L18" s="2"/>
      <c r="M18" s="2"/>
      <c r="N18" s="2"/>
      <c r="O18" s="2"/>
      <c r="P18" s="2"/>
      <c r="Q18" s="2"/>
      <c r="R18" s="2"/>
      <c r="S18" s="2"/>
      <c r="T18" s="2"/>
      <c r="U18" s="2"/>
      <c r="V18" s="2"/>
      <c r="W18" s="2"/>
      <c r="X18" s="2"/>
      <c r="Y18" s="2"/>
      <c r="Z18" s="2"/>
    </row>
    <row r="19" spans="1:26" ht="12.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3">
      <c r="A40" s="2"/>
      <c r="B40" s="2"/>
      <c r="C40" s="44" t="s">
        <v>91</v>
      </c>
      <c r="D40" s="44" t="s">
        <v>94</v>
      </c>
      <c r="E40" s="2"/>
      <c r="F40" s="2"/>
      <c r="G40" s="2"/>
      <c r="H40" s="2"/>
      <c r="I40" s="2"/>
      <c r="J40" s="2"/>
      <c r="K40" s="2"/>
      <c r="L40" s="2"/>
      <c r="M40" s="2"/>
      <c r="N40" s="2"/>
      <c r="O40" s="2"/>
      <c r="P40" s="2"/>
      <c r="Q40" s="2"/>
      <c r="R40" s="2"/>
      <c r="S40" s="2"/>
      <c r="T40" s="2"/>
      <c r="U40" s="2"/>
      <c r="V40" s="2"/>
      <c r="W40" s="2"/>
      <c r="X40" s="2"/>
      <c r="Y40" s="2"/>
      <c r="Z40" s="2"/>
    </row>
    <row r="41" spans="1:26" ht="12.75" customHeight="1" x14ac:dyDescent="0.3">
      <c r="A41" s="2"/>
      <c r="B41" s="2"/>
      <c r="C41" s="46" t="str">
        <f t="shared" ref="C41:D41" si="2">C11</f>
        <v>SITUACIÓN LEGAL Y FISCAL</v>
      </c>
      <c r="D41" s="47">
        <f t="shared" si="2"/>
        <v>6.25</v>
      </c>
      <c r="E41" s="2"/>
      <c r="F41" s="2"/>
      <c r="G41" s="2"/>
      <c r="H41" s="2"/>
      <c r="I41" s="2"/>
      <c r="J41" s="2"/>
      <c r="K41" s="2"/>
      <c r="L41" s="2"/>
      <c r="M41" s="2"/>
      <c r="N41" s="2"/>
      <c r="O41" s="2"/>
      <c r="P41" s="2"/>
      <c r="Q41" s="2"/>
      <c r="R41" s="2"/>
      <c r="S41" s="2"/>
      <c r="T41" s="2"/>
      <c r="U41" s="2"/>
      <c r="V41" s="2"/>
      <c r="W41" s="2"/>
      <c r="X41" s="2"/>
      <c r="Y41" s="2"/>
      <c r="Z41" s="2"/>
    </row>
    <row r="42" spans="1:26" ht="12.75" customHeight="1" x14ac:dyDescent="0.3">
      <c r="A42" s="2"/>
      <c r="B42" s="2"/>
      <c r="C42" s="46" t="str">
        <f t="shared" ref="C42:D42" si="3">C12</f>
        <v>LIDERAZGO Y CLIMA ORGANIZACIONAL</v>
      </c>
      <c r="D42" s="47">
        <f t="shared" si="3"/>
        <v>4</v>
      </c>
      <c r="E42" s="2"/>
      <c r="F42" s="2"/>
      <c r="G42" s="2"/>
      <c r="H42" s="2"/>
      <c r="I42" s="2"/>
      <c r="J42" s="2"/>
      <c r="K42" s="2"/>
      <c r="L42" s="2"/>
      <c r="M42" s="2"/>
      <c r="N42" s="2"/>
      <c r="O42" s="2"/>
      <c r="P42" s="2"/>
      <c r="Q42" s="2"/>
      <c r="R42" s="2"/>
      <c r="S42" s="2"/>
      <c r="T42" s="2"/>
      <c r="U42" s="2"/>
      <c r="V42" s="2"/>
      <c r="W42" s="2"/>
      <c r="X42" s="2"/>
      <c r="Y42" s="2"/>
      <c r="Z42" s="2"/>
    </row>
    <row r="43" spans="1:26" ht="12.75" customHeight="1" x14ac:dyDescent="0.3">
      <c r="A43" s="2"/>
      <c r="B43" s="2"/>
      <c r="C43" s="46" t="str">
        <f t="shared" ref="C43:D43" si="4">C13</f>
        <v xml:space="preserve">ORGANIZACIÓN </v>
      </c>
      <c r="D43" s="47">
        <f t="shared" si="4"/>
        <v>9</v>
      </c>
      <c r="E43" s="2"/>
      <c r="F43" s="2"/>
      <c r="G43" s="2"/>
      <c r="H43" s="2"/>
      <c r="I43" s="2"/>
      <c r="J43" s="2"/>
      <c r="K43" s="2"/>
      <c r="L43" s="2"/>
      <c r="M43" s="2"/>
      <c r="N43" s="2"/>
      <c r="O43" s="2"/>
      <c r="P43" s="2"/>
      <c r="Q43" s="2"/>
      <c r="R43" s="2"/>
      <c r="S43" s="2"/>
      <c r="T43" s="2"/>
      <c r="U43" s="2"/>
      <c r="V43" s="2"/>
      <c r="W43" s="2"/>
      <c r="X43" s="2"/>
      <c r="Y43" s="2"/>
      <c r="Z43" s="2"/>
    </row>
    <row r="44" spans="1:26" ht="12.75" customHeight="1" x14ac:dyDescent="0.3">
      <c r="A44" s="2"/>
      <c r="B44" s="2"/>
      <c r="C44" s="46" t="str">
        <f t="shared" ref="C44:D44" si="5">C14</f>
        <v>CONTABILIDAD Y FINANZAS</v>
      </c>
      <c r="D44" s="47">
        <f t="shared" si="5"/>
        <v>7</v>
      </c>
      <c r="E44" s="2"/>
      <c r="F44" s="2"/>
      <c r="G44" s="2"/>
      <c r="H44" s="2"/>
      <c r="I44" s="2"/>
      <c r="J44" s="2"/>
      <c r="K44" s="2"/>
      <c r="L44" s="2"/>
      <c r="M44" s="2"/>
      <c r="N44" s="2"/>
      <c r="O44" s="2"/>
      <c r="P44" s="2"/>
      <c r="Q44" s="2"/>
      <c r="R44" s="2"/>
      <c r="S44" s="2"/>
      <c r="T44" s="2"/>
      <c r="U44" s="2"/>
      <c r="V44" s="2"/>
      <c r="W44" s="2"/>
      <c r="X44" s="2"/>
      <c r="Y44" s="2"/>
      <c r="Z44" s="2"/>
    </row>
    <row r="45" spans="1:26" ht="12.75" customHeight="1" x14ac:dyDescent="0.3">
      <c r="A45" s="2"/>
      <c r="B45" s="2"/>
      <c r="C45" s="46" t="str">
        <f t="shared" ref="C45:D45" si="6">C15</f>
        <v>PLAN ESTRATÉGICO</v>
      </c>
      <c r="D45" s="47">
        <f t="shared" si="6"/>
        <v>6.5</v>
      </c>
      <c r="E45" s="2"/>
      <c r="F45" s="2"/>
      <c r="G45" s="2"/>
      <c r="H45" s="2"/>
      <c r="I45" s="2"/>
      <c r="J45" s="2"/>
      <c r="K45" s="2"/>
      <c r="L45" s="2"/>
      <c r="M45" s="2"/>
      <c r="N45" s="2"/>
      <c r="O45" s="2"/>
      <c r="P45" s="2"/>
      <c r="Q45" s="2"/>
      <c r="R45" s="2"/>
      <c r="S45" s="2"/>
      <c r="T45" s="2"/>
      <c r="U45" s="2"/>
      <c r="V45" s="2"/>
      <c r="W45" s="2"/>
      <c r="X45" s="2"/>
      <c r="Y45" s="2"/>
      <c r="Z45" s="2"/>
    </row>
    <row r="46" spans="1:26" ht="12.75" customHeight="1" x14ac:dyDescent="0.3">
      <c r="A46" s="2"/>
      <c r="B46" s="2"/>
      <c r="C46" s="46" t="str">
        <f t="shared" ref="C46:D46" si="7">C16</f>
        <v>PRODUCCIÓN Y OPERACIONES</v>
      </c>
      <c r="D46" s="47">
        <f t="shared" si="7"/>
        <v>7</v>
      </c>
      <c r="E46" s="2"/>
      <c r="F46" s="2"/>
      <c r="G46" s="2"/>
      <c r="H46" s="2"/>
      <c r="I46" s="2"/>
      <c r="J46" s="2"/>
      <c r="K46" s="2"/>
      <c r="L46" s="2"/>
      <c r="M46" s="2"/>
      <c r="N46" s="2"/>
      <c r="O46" s="2"/>
      <c r="P46" s="2"/>
      <c r="Q46" s="2"/>
      <c r="R46" s="2"/>
      <c r="S46" s="2"/>
      <c r="T46" s="2"/>
      <c r="U46" s="2"/>
      <c r="V46" s="2"/>
      <c r="W46" s="2"/>
      <c r="X46" s="2"/>
      <c r="Y46" s="2"/>
      <c r="Z46" s="2"/>
    </row>
    <row r="47" spans="1:26" ht="12.75" customHeight="1" x14ac:dyDescent="0.3">
      <c r="A47" s="2"/>
      <c r="B47" s="2"/>
      <c r="C47" s="46" t="str">
        <f t="shared" ref="C47:D47" si="8">C17</f>
        <v>ASEGURAMIENTO DE LA CALIDAD</v>
      </c>
      <c r="D47" s="47">
        <f t="shared" si="8"/>
        <v>3</v>
      </c>
      <c r="E47" s="2"/>
      <c r="F47" s="2"/>
      <c r="G47" s="2"/>
      <c r="H47" s="2"/>
      <c r="I47" s="2"/>
      <c r="J47" s="2"/>
      <c r="K47" s="2"/>
      <c r="L47" s="2"/>
      <c r="M47" s="2"/>
      <c r="N47" s="2"/>
      <c r="O47" s="2"/>
      <c r="P47" s="2"/>
      <c r="Q47" s="2"/>
      <c r="R47" s="2"/>
      <c r="S47" s="2"/>
      <c r="T47" s="2"/>
      <c r="U47" s="2"/>
      <c r="V47" s="2"/>
      <c r="W47" s="2"/>
      <c r="X47" s="2"/>
      <c r="Y47" s="2"/>
      <c r="Z47" s="2"/>
    </row>
    <row r="48" spans="1:26" ht="12.75" customHeight="1" x14ac:dyDescent="0.3">
      <c r="A48" s="2"/>
      <c r="B48" s="2"/>
      <c r="C48" s="46" t="str">
        <f t="shared" ref="C48:D48" si="9">C18</f>
        <v>COMERCIALIZACIÓN</v>
      </c>
      <c r="D48" s="47">
        <f t="shared" si="9"/>
        <v>9</v>
      </c>
      <c r="E48" s="2"/>
      <c r="F48" s="2"/>
      <c r="G48" s="2"/>
      <c r="H48" s="2"/>
      <c r="I48" s="2"/>
      <c r="J48" s="2"/>
      <c r="K48" s="2"/>
      <c r="L48" s="2"/>
      <c r="M48" s="2"/>
      <c r="N48" s="2"/>
      <c r="O48" s="2"/>
      <c r="P48" s="2"/>
      <c r="Q48" s="2"/>
      <c r="R48" s="2"/>
      <c r="S48" s="2"/>
      <c r="T48" s="2"/>
      <c r="U48" s="2"/>
      <c r="V48" s="2"/>
      <c r="W48" s="2"/>
      <c r="X48" s="2"/>
      <c r="Y48" s="2"/>
      <c r="Z48" s="2"/>
    </row>
    <row r="49" spans="1:26" ht="12.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24" customHeight="1" x14ac:dyDescent="0.5">
      <c r="A51" s="2"/>
      <c r="B51" s="2"/>
      <c r="C51" s="53" t="s">
        <v>129</v>
      </c>
      <c r="D51" s="54"/>
      <c r="E51" s="54"/>
      <c r="F51" s="54"/>
      <c r="G51" s="54"/>
      <c r="H51" s="54"/>
      <c r="I51" s="54"/>
      <c r="J51" s="2"/>
      <c r="K51" s="2"/>
      <c r="L51" s="2"/>
      <c r="M51" s="2"/>
      <c r="N51" s="2"/>
      <c r="O51" s="2"/>
      <c r="P51" s="2"/>
      <c r="Q51" s="2"/>
      <c r="R51" s="2"/>
      <c r="S51" s="2"/>
      <c r="T51" s="2"/>
      <c r="U51" s="2"/>
      <c r="V51" s="2"/>
      <c r="W51" s="2"/>
      <c r="X51" s="2"/>
      <c r="Y51" s="2"/>
      <c r="Z51" s="2"/>
    </row>
    <row r="52" spans="1:26" ht="24" customHeight="1" x14ac:dyDescent="0.45">
      <c r="A52" s="2"/>
      <c r="B52" s="2"/>
      <c r="C52" s="1"/>
      <c r="D52" s="1"/>
      <c r="E52" s="1"/>
      <c r="F52" s="1"/>
      <c r="G52" s="1"/>
      <c r="H52" s="1"/>
      <c r="I52" s="1"/>
      <c r="J52" s="2"/>
      <c r="K52" s="2"/>
      <c r="L52" s="2"/>
      <c r="M52" s="2"/>
      <c r="N52" s="2"/>
      <c r="O52" s="2"/>
      <c r="P52" s="2"/>
      <c r="Q52" s="2"/>
      <c r="R52" s="2"/>
      <c r="S52" s="2"/>
      <c r="T52" s="2"/>
      <c r="U52" s="2"/>
      <c r="V52" s="2"/>
      <c r="W52" s="2"/>
      <c r="X52" s="2"/>
      <c r="Y52" s="2"/>
      <c r="Z52" s="2"/>
    </row>
    <row r="53" spans="1:26" ht="12.75" customHeight="1" x14ac:dyDescent="0.3">
      <c r="A53" s="2"/>
      <c r="B53" s="55"/>
      <c r="C53" s="108" t="s">
        <v>134</v>
      </c>
      <c r="D53" s="104"/>
      <c r="E53" s="104"/>
      <c r="F53" s="104"/>
      <c r="G53" s="104"/>
      <c r="H53" s="104"/>
      <c r="I53" s="105"/>
      <c r="J53" s="2"/>
      <c r="K53" s="2"/>
      <c r="L53" s="2"/>
      <c r="M53" s="2"/>
      <c r="N53" s="2"/>
      <c r="O53" s="2"/>
      <c r="P53" s="2"/>
      <c r="Q53" s="2"/>
      <c r="R53" s="2"/>
      <c r="S53" s="2"/>
      <c r="T53" s="2"/>
      <c r="U53" s="2"/>
      <c r="V53" s="2"/>
      <c r="W53" s="2"/>
      <c r="X53" s="2"/>
      <c r="Y53" s="2"/>
      <c r="Z53" s="2"/>
    </row>
    <row r="54" spans="1:26" ht="12.75" customHeight="1" x14ac:dyDescent="0.45">
      <c r="A54" s="2"/>
      <c r="B54" s="2"/>
      <c r="C54" s="57">
        <v>1</v>
      </c>
      <c r="D54" s="100"/>
      <c r="E54" s="101"/>
      <c r="F54" s="101"/>
      <c r="G54" s="101"/>
      <c r="H54" s="101"/>
      <c r="I54" s="102"/>
      <c r="J54" s="2"/>
      <c r="K54" s="2"/>
      <c r="L54" s="2"/>
      <c r="M54" s="2"/>
      <c r="N54" s="2"/>
      <c r="O54" s="2"/>
      <c r="P54" s="2"/>
      <c r="Q54" s="2"/>
      <c r="R54" s="2"/>
      <c r="S54" s="2"/>
      <c r="T54" s="2"/>
      <c r="U54" s="2"/>
      <c r="V54" s="2"/>
      <c r="W54" s="2"/>
      <c r="X54" s="2"/>
      <c r="Y54" s="2"/>
      <c r="Z54" s="2"/>
    </row>
    <row r="55" spans="1:26" ht="24" customHeight="1" x14ac:dyDescent="0.45">
      <c r="A55" s="2"/>
      <c r="B55" s="2"/>
      <c r="C55" s="57">
        <v>2</v>
      </c>
      <c r="D55" s="100"/>
      <c r="E55" s="101"/>
      <c r="F55" s="101"/>
      <c r="G55" s="101"/>
      <c r="H55" s="101"/>
      <c r="I55" s="102"/>
      <c r="J55" s="2"/>
      <c r="K55" s="2"/>
      <c r="L55" s="2"/>
      <c r="M55" s="2"/>
      <c r="N55" s="2"/>
      <c r="O55" s="2"/>
      <c r="P55" s="2"/>
      <c r="Q55" s="2"/>
      <c r="R55" s="2"/>
      <c r="S55" s="2"/>
      <c r="T55" s="2"/>
      <c r="U55" s="2"/>
      <c r="V55" s="2"/>
      <c r="W55" s="2"/>
      <c r="X55" s="2"/>
      <c r="Y55" s="2"/>
      <c r="Z55" s="2"/>
    </row>
    <row r="56" spans="1:26" ht="24" customHeight="1" x14ac:dyDescent="0.45">
      <c r="A56" s="2"/>
      <c r="B56" s="2"/>
      <c r="C56" s="57">
        <v>3</v>
      </c>
      <c r="D56" s="100"/>
      <c r="E56" s="101"/>
      <c r="F56" s="101"/>
      <c r="G56" s="101"/>
      <c r="H56" s="101"/>
      <c r="I56" s="102"/>
      <c r="J56" s="2"/>
      <c r="K56" s="2"/>
      <c r="L56" s="2"/>
      <c r="M56" s="2"/>
      <c r="N56" s="2"/>
      <c r="O56" s="2"/>
      <c r="P56" s="2"/>
      <c r="Q56" s="2"/>
      <c r="R56" s="2"/>
      <c r="S56" s="2"/>
      <c r="T56" s="2"/>
      <c r="U56" s="2"/>
      <c r="V56" s="2"/>
      <c r="W56" s="2"/>
      <c r="X56" s="2"/>
      <c r="Y56" s="2"/>
      <c r="Z56" s="2"/>
    </row>
    <row r="57" spans="1:26" ht="24" customHeight="1" x14ac:dyDescent="0.45">
      <c r="A57" s="2"/>
      <c r="B57" s="2"/>
      <c r="C57" s="57">
        <v>4</v>
      </c>
      <c r="D57" s="100"/>
      <c r="E57" s="101"/>
      <c r="F57" s="101"/>
      <c r="G57" s="101"/>
      <c r="H57" s="101"/>
      <c r="I57" s="102"/>
      <c r="J57" s="2"/>
      <c r="K57" s="2"/>
      <c r="L57" s="2"/>
      <c r="M57" s="2"/>
      <c r="N57" s="2"/>
      <c r="O57" s="2"/>
      <c r="P57" s="2"/>
      <c r="Q57" s="2"/>
      <c r="R57" s="2"/>
      <c r="S57" s="2"/>
      <c r="T57" s="2"/>
      <c r="U57" s="2"/>
      <c r="V57" s="2"/>
      <c r="W57" s="2"/>
      <c r="X57" s="2"/>
      <c r="Y57" s="2"/>
      <c r="Z57" s="2"/>
    </row>
    <row r="58" spans="1:26" ht="24" customHeight="1" x14ac:dyDescent="0.45">
      <c r="A58" s="2"/>
      <c r="B58" s="2"/>
      <c r="C58" s="57">
        <v>5</v>
      </c>
      <c r="D58" s="100"/>
      <c r="E58" s="101"/>
      <c r="F58" s="101"/>
      <c r="G58" s="101"/>
      <c r="H58" s="101"/>
      <c r="I58" s="102"/>
      <c r="J58" s="2"/>
      <c r="K58" s="2"/>
      <c r="L58" s="2"/>
      <c r="M58" s="2"/>
      <c r="N58" s="2"/>
      <c r="O58" s="2"/>
      <c r="P58" s="2"/>
      <c r="Q58" s="2"/>
      <c r="R58" s="2"/>
      <c r="S58" s="2"/>
      <c r="T58" s="2"/>
      <c r="U58" s="2"/>
      <c r="V58" s="2"/>
      <c r="W58" s="2"/>
      <c r="X58" s="2"/>
      <c r="Y58" s="2"/>
      <c r="Z58" s="2"/>
    </row>
    <row r="59" spans="1:26" ht="24"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3">
      <c r="A60" s="2"/>
      <c r="B60" s="55"/>
      <c r="C60" s="108" t="s">
        <v>151</v>
      </c>
      <c r="D60" s="104"/>
      <c r="E60" s="104"/>
      <c r="F60" s="104"/>
      <c r="G60" s="104"/>
      <c r="H60" s="104"/>
      <c r="I60" s="105"/>
      <c r="J60" s="2"/>
      <c r="K60" s="2"/>
      <c r="L60" s="2"/>
      <c r="M60" s="2"/>
      <c r="N60" s="2"/>
      <c r="O60" s="2"/>
      <c r="P60" s="2"/>
      <c r="Q60" s="2"/>
      <c r="R60" s="2"/>
      <c r="S60" s="2"/>
      <c r="T60" s="2"/>
      <c r="U60" s="2"/>
      <c r="V60" s="2"/>
      <c r="W60" s="2"/>
      <c r="X60" s="2"/>
      <c r="Y60" s="2"/>
      <c r="Z60" s="2"/>
    </row>
    <row r="61" spans="1:26" ht="12.75" customHeight="1" x14ac:dyDescent="0.45">
      <c r="A61" s="2"/>
      <c r="B61" s="2"/>
      <c r="C61" s="57">
        <v>1</v>
      </c>
      <c r="D61" s="100"/>
      <c r="E61" s="101"/>
      <c r="F61" s="101"/>
      <c r="G61" s="101"/>
      <c r="H61" s="101"/>
      <c r="I61" s="102"/>
      <c r="J61" s="2"/>
      <c r="K61" s="2"/>
      <c r="L61" s="2"/>
      <c r="M61" s="2"/>
      <c r="N61" s="2"/>
      <c r="O61" s="2"/>
      <c r="P61" s="2"/>
      <c r="Q61" s="2"/>
      <c r="R61" s="2"/>
      <c r="S61" s="2"/>
      <c r="T61" s="2"/>
      <c r="U61" s="2"/>
      <c r="V61" s="2"/>
      <c r="W61" s="2"/>
      <c r="X61" s="2"/>
      <c r="Y61" s="2"/>
      <c r="Z61" s="2"/>
    </row>
    <row r="62" spans="1:26" ht="12.75" customHeight="1" x14ac:dyDescent="0.45">
      <c r="A62" s="2"/>
      <c r="B62" s="2"/>
      <c r="C62" s="57">
        <v>2</v>
      </c>
      <c r="D62" s="100"/>
      <c r="E62" s="101"/>
      <c r="F62" s="101"/>
      <c r="G62" s="101"/>
      <c r="H62" s="101"/>
      <c r="I62" s="102"/>
      <c r="J62" s="2"/>
      <c r="K62" s="2"/>
      <c r="L62" s="2"/>
      <c r="M62" s="2"/>
      <c r="N62" s="2"/>
      <c r="O62" s="2"/>
      <c r="P62" s="2"/>
      <c r="Q62" s="2"/>
      <c r="R62" s="2"/>
      <c r="S62" s="2"/>
      <c r="T62" s="2"/>
      <c r="U62" s="2"/>
      <c r="V62" s="2"/>
      <c r="W62" s="2"/>
      <c r="X62" s="2"/>
      <c r="Y62" s="2"/>
      <c r="Z62" s="2"/>
    </row>
    <row r="63" spans="1:26" ht="12.75" customHeight="1" x14ac:dyDescent="0.45">
      <c r="A63" s="2"/>
      <c r="B63" s="2"/>
      <c r="C63" s="57">
        <v>3</v>
      </c>
      <c r="D63" s="100"/>
      <c r="E63" s="101"/>
      <c r="F63" s="101"/>
      <c r="G63" s="101"/>
      <c r="H63" s="101"/>
      <c r="I63" s="102"/>
      <c r="J63" s="2"/>
      <c r="K63" s="2"/>
      <c r="L63" s="2"/>
      <c r="M63" s="2"/>
      <c r="N63" s="2"/>
      <c r="O63" s="2"/>
      <c r="P63" s="2"/>
      <c r="Q63" s="2"/>
      <c r="R63" s="2"/>
      <c r="S63" s="2"/>
      <c r="T63" s="2"/>
      <c r="U63" s="2"/>
      <c r="V63" s="2"/>
      <c r="W63" s="2"/>
      <c r="X63" s="2"/>
      <c r="Y63" s="2"/>
      <c r="Z63" s="2"/>
    </row>
    <row r="64" spans="1:26" ht="12.75" customHeight="1" x14ac:dyDescent="0.45">
      <c r="A64" s="2"/>
      <c r="B64" s="2"/>
      <c r="C64" s="57">
        <v>4</v>
      </c>
      <c r="D64" s="100"/>
      <c r="E64" s="101"/>
      <c r="F64" s="101"/>
      <c r="G64" s="101"/>
      <c r="H64" s="101"/>
      <c r="I64" s="102"/>
      <c r="J64" s="2"/>
      <c r="K64" s="2"/>
      <c r="L64" s="2"/>
      <c r="M64" s="2"/>
      <c r="N64" s="2"/>
      <c r="O64" s="2"/>
      <c r="P64" s="2"/>
      <c r="Q64" s="2"/>
      <c r="R64" s="2"/>
      <c r="S64" s="2"/>
      <c r="T64" s="2"/>
      <c r="U64" s="2"/>
      <c r="V64" s="2"/>
      <c r="W64" s="2"/>
      <c r="X64" s="2"/>
      <c r="Y64" s="2"/>
      <c r="Z64" s="2"/>
    </row>
    <row r="65" spans="1:26" ht="12.75" customHeight="1" x14ac:dyDescent="0.45">
      <c r="A65" s="2"/>
      <c r="B65" s="2"/>
      <c r="C65" s="57">
        <v>5</v>
      </c>
      <c r="D65" s="100"/>
      <c r="E65" s="101"/>
      <c r="F65" s="101"/>
      <c r="G65" s="101"/>
      <c r="H65" s="101"/>
      <c r="I65" s="102"/>
      <c r="J65" s="2"/>
      <c r="K65" s="2"/>
      <c r="L65" s="2"/>
      <c r="M65" s="2"/>
      <c r="N65" s="2"/>
      <c r="O65" s="2"/>
      <c r="P65" s="2"/>
      <c r="Q65" s="2"/>
      <c r="R65" s="2"/>
      <c r="S65" s="2"/>
      <c r="T65" s="2"/>
      <c r="U65" s="2"/>
      <c r="V65" s="2"/>
      <c r="W65" s="2"/>
      <c r="X65" s="2"/>
      <c r="Y65" s="2"/>
      <c r="Z65" s="2"/>
    </row>
    <row r="66" spans="1:26" ht="12.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3">
      <c r="A67" s="2"/>
      <c r="B67" s="2"/>
      <c r="C67" s="103" t="s">
        <v>157</v>
      </c>
      <c r="D67" s="104"/>
      <c r="E67" s="104"/>
      <c r="F67" s="104"/>
      <c r="G67" s="104"/>
      <c r="H67" s="104"/>
      <c r="I67" s="105"/>
      <c r="J67" s="2"/>
      <c r="K67" s="2"/>
      <c r="L67" s="2"/>
      <c r="M67" s="2"/>
      <c r="N67" s="2"/>
      <c r="O67" s="2"/>
      <c r="P67" s="2"/>
      <c r="Q67" s="2"/>
      <c r="R67" s="2"/>
      <c r="S67" s="2"/>
      <c r="T67" s="2"/>
      <c r="U67" s="2"/>
      <c r="V67" s="2"/>
      <c r="W67" s="2"/>
      <c r="X67" s="2"/>
      <c r="Y67" s="2"/>
      <c r="Z67" s="2"/>
    </row>
    <row r="68" spans="1:26" ht="12.75" customHeight="1" x14ac:dyDescent="0.3">
      <c r="A68" s="2"/>
      <c r="B68" s="2"/>
      <c r="C68" s="63"/>
      <c r="D68" s="63"/>
      <c r="E68" s="63"/>
      <c r="F68" s="63"/>
      <c r="G68" s="63"/>
      <c r="H68" s="63"/>
      <c r="I68" s="63"/>
      <c r="J68" s="2"/>
      <c r="K68" s="2"/>
      <c r="L68" s="2"/>
      <c r="M68" s="2"/>
      <c r="N68" s="2"/>
      <c r="O68" s="2"/>
      <c r="P68" s="2"/>
      <c r="Q68" s="2"/>
      <c r="R68" s="2"/>
      <c r="S68" s="2"/>
      <c r="T68" s="2"/>
      <c r="U68" s="2"/>
      <c r="V68" s="2"/>
      <c r="W68" s="2"/>
      <c r="X68" s="2"/>
      <c r="Y68" s="2"/>
      <c r="Z68" s="2"/>
    </row>
    <row r="69" spans="1:26" ht="12.75" customHeight="1" x14ac:dyDescent="0.3">
      <c r="A69" s="2"/>
      <c r="B69" s="2"/>
      <c r="C69" s="106" t="s">
        <v>160</v>
      </c>
      <c r="D69" s="106" t="s">
        <v>161</v>
      </c>
      <c r="E69" s="106" t="s">
        <v>162</v>
      </c>
      <c r="F69" s="107" t="s">
        <v>163</v>
      </c>
      <c r="G69" s="101"/>
      <c r="H69" s="102"/>
      <c r="I69" s="2"/>
      <c r="J69" s="2"/>
      <c r="K69" s="2"/>
      <c r="L69" s="2"/>
      <c r="M69" s="2"/>
      <c r="N69" s="2"/>
      <c r="O69" s="2"/>
      <c r="P69" s="2"/>
      <c r="Q69" s="2"/>
      <c r="R69" s="2"/>
      <c r="S69" s="2"/>
      <c r="T69" s="2"/>
      <c r="U69" s="2"/>
      <c r="V69" s="2"/>
      <c r="W69" s="2"/>
      <c r="X69" s="2"/>
      <c r="Y69" s="2"/>
      <c r="Z69" s="2"/>
    </row>
    <row r="70" spans="1:26" ht="12.75" customHeight="1" x14ac:dyDescent="0.3">
      <c r="A70" s="2"/>
      <c r="B70" s="2"/>
      <c r="C70" s="99"/>
      <c r="D70" s="99"/>
      <c r="E70" s="99"/>
      <c r="F70" s="66" t="s">
        <v>165</v>
      </c>
      <c r="G70" s="66" t="s">
        <v>167</v>
      </c>
      <c r="H70" s="66" t="s">
        <v>168</v>
      </c>
      <c r="I70" s="2"/>
      <c r="J70" s="2"/>
      <c r="K70" s="2"/>
      <c r="L70" s="2"/>
      <c r="M70" s="2"/>
      <c r="N70" s="2"/>
      <c r="O70" s="2"/>
      <c r="P70" s="2"/>
      <c r="Q70" s="2"/>
      <c r="R70" s="2"/>
      <c r="S70" s="2"/>
      <c r="T70" s="2"/>
      <c r="U70" s="2"/>
      <c r="V70" s="2"/>
      <c r="W70" s="2"/>
      <c r="X70" s="2"/>
      <c r="Y70" s="2"/>
      <c r="Z70" s="2"/>
    </row>
    <row r="71" spans="1:26" ht="12.75" customHeight="1" x14ac:dyDescent="0.3">
      <c r="A71" s="2"/>
      <c r="B71" s="2"/>
      <c r="C71" s="97"/>
      <c r="D71" s="46"/>
      <c r="E71" s="46"/>
      <c r="F71" s="46"/>
      <c r="G71" s="46"/>
      <c r="H71" s="46"/>
      <c r="I71" s="2"/>
      <c r="J71" s="2"/>
      <c r="K71" s="2"/>
      <c r="L71" s="2"/>
      <c r="M71" s="2"/>
      <c r="N71" s="2"/>
      <c r="O71" s="2"/>
      <c r="P71" s="2"/>
      <c r="Q71" s="2"/>
      <c r="R71" s="2"/>
      <c r="S71" s="2"/>
      <c r="T71" s="2"/>
      <c r="U71" s="2"/>
      <c r="V71" s="2"/>
      <c r="W71" s="2"/>
      <c r="X71" s="2"/>
      <c r="Y71" s="2"/>
      <c r="Z71" s="2"/>
    </row>
    <row r="72" spans="1:26" ht="12.75" customHeight="1" x14ac:dyDescent="0.3">
      <c r="A72" s="2"/>
      <c r="B72" s="2"/>
      <c r="C72" s="98"/>
      <c r="D72" s="46"/>
      <c r="E72" s="46"/>
      <c r="F72" s="46"/>
      <c r="G72" s="46"/>
      <c r="H72" s="46"/>
      <c r="I72" s="2"/>
      <c r="J72" s="2"/>
      <c r="K72" s="2"/>
      <c r="L72" s="2"/>
      <c r="M72" s="2"/>
      <c r="N72" s="2"/>
      <c r="O72" s="2"/>
      <c r="P72" s="2"/>
      <c r="Q72" s="2"/>
      <c r="R72" s="2"/>
      <c r="S72" s="2"/>
      <c r="T72" s="2"/>
      <c r="U72" s="2"/>
      <c r="V72" s="2"/>
      <c r="W72" s="2"/>
      <c r="X72" s="2"/>
      <c r="Y72" s="2"/>
      <c r="Z72" s="2"/>
    </row>
    <row r="73" spans="1:26" ht="12.75" customHeight="1" x14ac:dyDescent="0.3">
      <c r="A73" s="2"/>
      <c r="B73" s="2"/>
      <c r="C73" s="97"/>
      <c r="D73" s="46"/>
      <c r="E73" s="46"/>
      <c r="F73" s="46"/>
      <c r="G73" s="46"/>
      <c r="H73" s="46"/>
      <c r="I73" s="2"/>
      <c r="J73" s="2"/>
      <c r="K73" s="2"/>
      <c r="L73" s="2"/>
      <c r="M73" s="2"/>
      <c r="N73" s="2"/>
      <c r="O73" s="2"/>
      <c r="P73" s="2"/>
      <c r="Q73" s="2"/>
      <c r="R73" s="2"/>
      <c r="S73" s="2"/>
      <c r="T73" s="2"/>
      <c r="U73" s="2"/>
      <c r="V73" s="2"/>
      <c r="W73" s="2"/>
      <c r="X73" s="2"/>
      <c r="Y73" s="2"/>
      <c r="Z73" s="2"/>
    </row>
    <row r="74" spans="1:26" ht="12.75" customHeight="1" x14ac:dyDescent="0.3">
      <c r="A74" s="2"/>
      <c r="B74" s="2"/>
      <c r="C74" s="99"/>
      <c r="D74" s="46"/>
      <c r="E74" s="46"/>
      <c r="F74" s="46"/>
      <c r="G74" s="46"/>
      <c r="H74" s="46"/>
      <c r="I74" s="2"/>
      <c r="J74" s="2"/>
      <c r="K74" s="2"/>
      <c r="L74" s="2"/>
      <c r="M74" s="2"/>
      <c r="N74" s="2"/>
      <c r="O74" s="2"/>
      <c r="P74" s="2"/>
      <c r="Q74" s="2"/>
      <c r="R74" s="2"/>
      <c r="S74" s="2"/>
      <c r="T74" s="2"/>
      <c r="U74" s="2"/>
      <c r="V74" s="2"/>
      <c r="W74" s="2"/>
      <c r="X74" s="2"/>
      <c r="Y74" s="2"/>
      <c r="Z74" s="2"/>
    </row>
    <row r="75" spans="1:26" ht="12.75" customHeight="1" x14ac:dyDescent="0.3">
      <c r="A75" s="2"/>
      <c r="B75" s="2"/>
      <c r="C75" s="97"/>
      <c r="D75" s="46"/>
      <c r="E75" s="46"/>
      <c r="F75" s="46"/>
      <c r="G75" s="46"/>
      <c r="H75" s="46"/>
      <c r="I75" s="2"/>
      <c r="J75" s="2"/>
      <c r="K75" s="2"/>
      <c r="L75" s="2"/>
      <c r="M75" s="2"/>
      <c r="N75" s="2"/>
      <c r="O75" s="2"/>
      <c r="P75" s="2"/>
      <c r="Q75" s="2"/>
      <c r="R75" s="2"/>
      <c r="S75" s="2"/>
      <c r="T75" s="2"/>
      <c r="U75" s="2"/>
      <c r="V75" s="2"/>
      <c r="W75" s="2"/>
      <c r="X75" s="2"/>
      <c r="Y75" s="2"/>
      <c r="Z75" s="2"/>
    </row>
    <row r="76" spans="1:26" ht="12.75" customHeight="1" x14ac:dyDescent="0.3">
      <c r="A76" s="2"/>
      <c r="B76" s="2"/>
      <c r="C76" s="99"/>
      <c r="D76" s="46"/>
      <c r="E76" s="46"/>
      <c r="F76" s="46"/>
      <c r="G76" s="46"/>
      <c r="H76" s="46"/>
      <c r="I76" s="2"/>
      <c r="J76" s="2"/>
      <c r="K76" s="2"/>
      <c r="L76" s="2"/>
      <c r="M76" s="2"/>
      <c r="N76" s="2"/>
      <c r="O76" s="2"/>
      <c r="P76" s="2"/>
      <c r="Q76" s="2"/>
      <c r="R76" s="2"/>
      <c r="S76" s="2"/>
      <c r="T76" s="2"/>
      <c r="U76" s="2"/>
      <c r="V76" s="2"/>
      <c r="W76" s="2"/>
      <c r="X76" s="2"/>
      <c r="Y76" s="2"/>
      <c r="Z76" s="2"/>
    </row>
    <row r="77" spans="1:26" ht="12.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sheetData>
  <mergeCells count="27">
    <mergeCell ref="B1:S1"/>
    <mergeCell ref="B2:C2"/>
    <mergeCell ref="B3:C3"/>
    <mergeCell ref="B4:C4"/>
    <mergeCell ref="B5:C5"/>
    <mergeCell ref="B6:C6"/>
    <mergeCell ref="B8:E8"/>
    <mergeCell ref="C53:I53"/>
    <mergeCell ref="D54:I54"/>
    <mergeCell ref="D55:I55"/>
    <mergeCell ref="D56:I56"/>
    <mergeCell ref="D57:I57"/>
    <mergeCell ref="D58:I58"/>
    <mergeCell ref="C60:I60"/>
    <mergeCell ref="D69:D70"/>
    <mergeCell ref="E69:E70"/>
    <mergeCell ref="C71:C72"/>
    <mergeCell ref="C73:C74"/>
    <mergeCell ref="C75:C76"/>
    <mergeCell ref="D61:I61"/>
    <mergeCell ref="D62:I62"/>
    <mergeCell ref="D63:I63"/>
    <mergeCell ref="D64:I64"/>
    <mergeCell ref="D65:I65"/>
    <mergeCell ref="C67:I67"/>
    <mergeCell ref="C69:C70"/>
    <mergeCell ref="F69:H69"/>
  </mergeCells>
  <pageMargins left="0.74803149606299213" right="0.74803149606299213" top="0.98425196850393704" bottom="0.98425196850393704" header="0" footer="0"/>
  <pageSetup fitToHeight="0"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Instruccciones Generales</vt:lpstr>
      <vt:lpstr>Ficha de la Empresa</vt:lpstr>
      <vt:lpstr>Capacidades Empresariales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rjuarez</dc:creator>
  <cp:lastModifiedBy>Dario-Acer26</cp:lastModifiedBy>
  <dcterms:created xsi:type="dcterms:W3CDTF">2011-09-21T15:10:02Z</dcterms:created>
  <dcterms:modified xsi:type="dcterms:W3CDTF">2026-09-29T17:05:55Z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CatchAll">
    <vt:lpwstr/>
  </property>
  <property fmtid="{D5CDD505-2E9C-101B-9397-08002B2CF9AE}" pid="3" name="lcf76f155ced4ddcb4097134ff3c332f">
    <vt:lpwstr/>
  </property>
</Properties>
</file>