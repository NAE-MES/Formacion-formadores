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M&amp;E_ESP_FINAL" sheetId="2" r:id="rId5"/>
    <sheet state="visible" name="DASHBOARD" sheetId="3" r:id="rId6"/>
    <sheet state="hidden" name="M&amp;E_ESP_RSPTAs" sheetId="4" r:id="rId7"/>
    <sheet state="hidden" name="CIIU" sheetId="5" r:id="rId8"/>
    <sheet state="hidden" name="CIIU 1" sheetId="6" r:id="rId9"/>
    <sheet state="hidden" name="CIIU 2" sheetId="7" r:id="rId10"/>
    <sheet state="hidden" name="CIIU 3" sheetId="8" r:id="rId11"/>
    <sheet state="hidden" name="Indicadores de Impacto" sheetId="9" r:id="rId12"/>
  </sheets>
  <definedNames/>
  <calcPr/>
  <extLst>
    <ext uri="GoogleSheetsCustomDataVersion2">
      <go:sheetsCustomData xmlns:go="http://customooxmlschemas.google.com/" r:id="rId13" roundtripDataChecksum="fy6Isr6AL2egZXX2g2KrEf46SroBeidJ0kgzp1iFt6I="/>
    </ext>
  </extLst>
</workbook>
</file>

<file path=xl/sharedStrings.xml><?xml version="1.0" encoding="utf-8"?>
<sst xmlns="http://schemas.openxmlformats.org/spreadsheetml/2006/main" count="2235" uniqueCount="1461">
  <si>
    <r>
      <rPr>
        <rFont val="Calibri"/>
        <b/>
        <i/>
        <color theme="1"/>
        <sz val="18.0"/>
      </rPr>
      <t xml:space="preserve">Herramienta de Monitoreo y Evaluación
</t>
    </r>
    <r>
      <rPr>
        <rFont val="Calibri"/>
        <i/>
        <color theme="1"/>
        <sz val="18.0"/>
      </rPr>
      <t>Cadenas de Valor Inclusivas</t>
    </r>
  </si>
  <si>
    <r>
      <rPr>
        <rFont val="Calibri"/>
        <b/>
        <i/>
        <color rgb="FF000000"/>
        <sz val="18.0"/>
      </rPr>
      <t xml:space="preserve">Herramienta de Monitoreo y Evaluación
</t>
    </r>
    <r>
      <rPr>
        <rFont val="Calibri"/>
        <i/>
        <color rgb="FF000000"/>
        <sz val="18.0"/>
      </rPr>
      <t>Cadenas de Valor Inclusivas</t>
    </r>
  </si>
  <si>
    <r>
      <rPr>
        <rFont val="Calibri"/>
        <b/>
        <i/>
        <color rgb="FF000000"/>
        <sz val="18.0"/>
      </rPr>
      <t xml:space="preserve">Herramienta de Monitoreo y Evaluación
</t>
    </r>
    <r>
      <rPr>
        <rFont val="Calibri"/>
        <i/>
        <color rgb="FF000000"/>
        <sz val="18.0"/>
      </rPr>
      <t>Cadenas de Valor Inclusivas</t>
    </r>
  </si>
  <si>
    <t>El decisor(a) del negocio es aquella persona responsible de la toma de decisión final de la organización. Algunas veces es el dueño(a) del negocio, otras veces el Gerente General, etc.</t>
  </si>
  <si>
    <t>Omitir pregunta en caso se aplique en SDP</t>
  </si>
  <si>
    <t>Omitir en caso la respuesta anterior sea no</t>
  </si>
  <si>
    <t>Omitir en caso la respuesta sea no</t>
  </si>
  <si>
    <t>Las discapacidades pueden ser clasificadas en físicas, visual/auditiva, intelectual, psicosocial, múltiple. Esta pregunta no necesita especificación del tipo de discapacidad.</t>
  </si>
  <si>
    <t>Una persona en situación de vulnerabilidad es aquella que sufre múltiples desventajas estructurales (económicas, sociales, de salud, de género, étnicas, territoriales, etc)</t>
  </si>
  <si>
    <t>Puede especificarse en moneda local</t>
  </si>
  <si>
    <t>DASHBOARD M&amp;E</t>
  </si>
  <si>
    <t>Es importante que si no se cuenta con este dato, debe apoyarse a calcularlo y agregarlo. El margen de utilidad bruta es un indicador financiero que muestra qué tan rentable es la negocio antes de considerar gastos operativos, impuestos y otros costos indirectos. Se calcula a partir de las ventas y el costo directo de producir los bienes o servicios.</t>
  </si>
  <si>
    <t>El total de horas trabajadas es la sumatoria total de todas las horas trabajadas por todos los(as) empleados del negocio en un determinado periodo</t>
  </si>
  <si>
    <t>Esta pregunta es importante porque nos permite conocer el volumen de productos fabricados o servicios entregados por su negocio. Con esta información podemos calcular indicadores clave como la productividad y la innovación en productos, que son fundamentales para evaluar el desempeño y el crecimiento del negocio.</t>
  </si>
  <si>
    <t>Con software nos referimos a cualquier programa o sistema operativo que apoye al negocio en la gestión de sus operaciones. Desde MS Microsoft hasta softwares de gestión (SAP, Oracle)</t>
  </si>
  <si>
    <t>Incluya únicamente negocios u organizaciones registradas fiscalmente que compran directamente sus productos o servicios, no distribuidores ni consumidores finales.</t>
  </si>
  <si>
    <t>0. Metodología aplicada</t>
  </si>
  <si>
    <r>
      <rPr>
        <rFont val="Calibri"/>
        <color theme="1"/>
        <sz val="12.0"/>
      </rPr>
      <t xml:space="preserve">La siguiente herramienta es una de las más importantes para </t>
    </r>
    <r>
      <rPr>
        <rFont val="Calibri"/>
        <b/>
        <color theme="1"/>
        <sz val="12.0"/>
      </rPr>
      <t xml:space="preserve">monitorear y evaluar el desempeño y resultados </t>
    </r>
    <r>
      <rPr>
        <rFont val="Calibri"/>
        <color theme="1"/>
        <sz val="12.0"/>
      </rPr>
      <t>de los negocios participantes del Programa de Cadenas de Valor Inclusivas del PNUD. Cada pregunta ha sido formulada para sumar a los indicadores de medición de efectividad del Programa, además de identificar oportunidades y prioridades en las implementaciones específicas.</t>
    </r>
  </si>
  <si>
    <t>Colocar el número</t>
  </si>
  <si>
    <t>Instrucciones:</t>
  </si>
  <si>
    <t>CCSN</t>
  </si>
  <si>
    <t>1.</t>
  </si>
  <si>
    <t>Las preguntas están divididas en 10 categorías: Implementación, Información General del Decisor (a) del negocio, Gestión General del Negocio, Generación de Empleo, Operaciones y Ventas, Gestión Financiera, Cultura Organizacional, Gestión del Riesgo de Desastres, y Gestión Ambiental.</t>
  </si>
  <si>
    <t>Implementación</t>
  </si>
  <si>
    <t>Información General del decisor (a) del negocio</t>
  </si>
  <si>
    <t>Información General del Negocio</t>
  </si>
  <si>
    <t>Dashboard diseñador para resumir los resultados de la herramienta de Monitoreo y Evaluación del Programa de Cadenas de Valor Inclusivas</t>
  </si>
  <si>
    <t>Generación de empleo</t>
  </si>
  <si>
    <t>ICSN</t>
  </si>
  <si>
    <t>Operaciones y ventas</t>
  </si>
  <si>
    <t>2.</t>
  </si>
  <si>
    <r>
      <rPr>
        <rFont val="Calibri"/>
        <color theme="1"/>
        <sz val="11.0"/>
      </rPr>
      <t xml:space="preserve">La herramienta está construida para contemplar tanto la información al inicio de la implementación (captura inicial) como la información de cierre  (captura final). Algunas categorías solo serán llenadas una vez (Implementación o Información General del Decisor (a)). Las respuestas de la captura final, solo deberán ser llenadas al final de la implementación para comparar los resultados de inicio. Están marcados en color </t>
    </r>
    <r>
      <rPr>
        <rFont val="Calibri (Cuerpo)"/>
        <color theme="8"/>
        <sz val="11.0"/>
      </rPr>
      <t>azul</t>
    </r>
    <r>
      <rPr>
        <rFont val="Calibri"/>
        <color theme="1"/>
        <sz val="11.0"/>
      </rPr>
      <t xml:space="preserve"> y con la palabra "</t>
    </r>
    <r>
      <rPr>
        <rFont val="Calibri (Cuerpo)"/>
        <b/>
        <color theme="8"/>
        <sz val="11.0"/>
      </rPr>
      <t>FINAL</t>
    </r>
    <r>
      <rPr>
        <rFont val="Calibri"/>
        <color theme="1"/>
        <sz val="11.0"/>
      </rPr>
      <t>".</t>
    </r>
  </si>
  <si>
    <t>Gestión Financiera</t>
  </si>
  <si>
    <t>MDP</t>
  </si>
  <si>
    <t>Cultura organizacional</t>
  </si>
  <si>
    <t>Digitalización</t>
  </si>
  <si>
    <t>Gestión del Riesgo de desastres</t>
  </si>
  <si>
    <t>Gestión ambiental</t>
  </si>
  <si>
    <t>POR FAVOR NO MODIFICAR</t>
  </si>
  <si>
    <t>3.</t>
  </si>
  <si>
    <r>
      <rPr>
        <rFont val="Calibri"/>
        <b/>
        <color theme="1"/>
        <sz val="11.0"/>
      </rPr>
      <t>Cada fila de llenado representa a un negocio.</t>
    </r>
    <r>
      <rPr>
        <rFont val="Calibri"/>
        <color theme="1"/>
        <sz val="11.0"/>
      </rPr>
      <t xml:space="preserve"> El 98% de los campos son obligatorios. (solo hay dos pregunta que dependen)</t>
    </r>
  </si>
  <si>
    <t>En Marcha</t>
  </si>
  <si>
    <t>INICIO</t>
  </si>
  <si>
    <t>FINAL</t>
  </si>
  <si>
    <t>En Marcha Digital</t>
  </si>
  <si>
    <t>4.</t>
  </si>
  <si>
    <t>Se deberá elegir la respuesta más adecuada o que mejor responda la situación del negocio al momento de aplicar la herramienta</t>
  </si>
  <si>
    <t>5.</t>
  </si>
  <si>
    <t xml:space="preserve">Antes de iniciar el llenado, copiar las filas necesarias para llenar los datos de cada una de los negocios asignados </t>
  </si>
  <si>
    <t>I. Información General del Decisor (a) del Negocio</t>
  </si>
  <si>
    <t>III. Generación de Empleo</t>
  </si>
  <si>
    <t>VI. Cultura Organizacional</t>
  </si>
  <si>
    <t>País</t>
  </si>
  <si>
    <t>Metodología aplicada</t>
  </si>
  <si>
    <t xml:space="preserve">Género </t>
  </si>
  <si>
    <t>Edad</t>
  </si>
  <si>
    <t>6.</t>
  </si>
  <si>
    <t xml:space="preserve">Nivel educativo </t>
  </si>
  <si>
    <t>Alguanas preguntas cuentan con una breve explicación en la Fila 2. Aún así, en caso no tener claridad, contactar al equipo del PNUD para mayor explicación.</t>
  </si>
  <si>
    <t>¿Es el negocio su principal fuente de ingresos?</t>
  </si>
  <si>
    <t>Nombre comercial del negocio</t>
  </si>
  <si>
    <t>1. Género</t>
  </si>
  <si>
    <t xml:space="preserve">Tipo de propiedad de su negocio </t>
  </si>
  <si>
    <t>Municipio</t>
  </si>
  <si>
    <t>%</t>
  </si>
  <si>
    <t>Región</t>
  </si>
  <si>
    <t>Describir la actividad económica específica del negocio</t>
  </si>
  <si>
    <t xml:space="preserve">CIIU un dígito </t>
  </si>
  <si>
    <t xml:space="preserve">CIIU a dos dígitos </t>
  </si>
  <si>
    <t>12. ¿Cuántas personas en total trabajan actualmente en su negocio?  Incluir a la persona dueña y personal temporal y fijo.</t>
  </si>
  <si>
    <t xml:space="preserve">CIIU a  tres dígitos </t>
  </si>
  <si>
    <t>Años en operación  (periodo de tiempo en el que el negocio opera activamente y puede ser distinto a años desde la fundación)</t>
  </si>
  <si>
    <t xml:space="preserve">¿Su negocio cuenta con registro legal  activo? </t>
  </si>
  <si>
    <t>¿Su negocio cumple con las obligaciones tributarias correspondientes?</t>
  </si>
  <si>
    <t>37. ¿Su negocio cuenta con prácticas y/o  políticas  que prohíben expresamente la violencia basada en género (VBG)?</t>
  </si>
  <si>
    <t xml:space="preserve">¿Su negocio participa en redes, plataformas o espacios que fomenten alianzas estratégicas y colaboración con otras organizaciones? </t>
  </si>
  <si>
    <t>Si la respuesta es sí, especifique cuáles. 
Opción múltiple</t>
  </si>
  <si>
    <t>¿Usted o alguien de su equipo ha recibido capacitación formal relacionada con la gestión y operación del negocio?
(Por ejemplo: cursos, talleres, diplomados en administración, finanzas, marketing, etc.)</t>
  </si>
  <si>
    <t>Mujer</t>
  </si>
  <si>
    <t xml:space="preserve">   ¿Cuántas personas en total trabajan actualmente en su negocio? Si es un negocio unipersonal, incluir a la persona dueña. También incluir personal temporal y fijo.</t>
  </si>
  <si>
    <t xml:space="preserve">   ¿A cuántas mujeres emplea actualmente su negocio? 
No incluir a la persona dueña. Sí incluya personal temporal y fijo.</t>
  </si>
  <si>
    <t xml:space="preserve">   ¿A cuántos hombres emplea actualmente su negocio? No incluir a la persona dueña. Sí incluya personal temporal y fijo.</t>
  </si>
  <si>
    <t xml:space="preserve">   ¿A cuántos jóvenes (mujeres y hombres) emplea actualmente su negocio?    
No incluir a la persona dueña. Sí incluya personal temporal y fijo.
Una persona joven se considera entre los 18 a los 29 años.</t>
  </si>
  <si>
    <t xml:space="preserve">   ¿Cuántas personas con alguna discapacidad  emplea actualmente su negocio?
No incluir a la persona dueña. Sí incluya personal temporal y fijo.</t>
  </si>
  <si>
    <t xml:space="preserve">   ¿Cuántas personas en situación de vulnerabilidad emplea actualmente su negocio?
No incluir a la persona dueña. Sí incluya personal temporal y fijo.</t>
  </si>
  <si>
    <t>¿Cuenta con un proceso de selección de personal que asegure la inclusión y la no discriminación?</t>
  </si>
  <si>
    <t>¿Su negocio lleva un registro ordenado y constante de sus ventas y costos?
(Esto incluye anotar todas las ventas y los costos asociados de manera regular, para poder calcular indicadores como el margen bruto).</t>
  </si>
  <si>
    <t>¿Cuál es el promedio mensual de ventas de su negocio en CUP? (Si su negocio es estacional, calcule el promedio dividiendo el total de ventas del último año calendario entre 12 meses).</t>
  </si>
  <si>
    <t xml:space="preserve">¿Cuál es el margen (%) de utilidad bruta de su negocio? </t>
  </si>
  <si>
    <t>¿Cuál es el total de horas trabajadas en un mes aproximadamente?</t>
  </si>
  <si>
    <t xml:space="preserve">¿Cuál es el total de horas trabajadas en un mes aproximadamente? </t>
  </si>
  <si>
    <t>¿Cuántos productos fabrica o cuántos servicios entrega su negocio en promedio al mes?
(Indique un número aproximado considerando la producción o prestación habitual. Si su negocio es estacional, calcule el promedio mensual tomando el total anual y dividiéndolo entre 12).</t>
  </si>
  <si>
    <t>En los últimos 3 meses, ¿su negocio ha introducido nuevos productos o servicios, o ha innovado en los existentes (por ejemplo, mejoras en diseño, funcionalidad o procesos)?</t>
  </si>
  <si>
    <t>¿En promedio, cuántos clientes finales (personas) atiende su negocio al mes?
(Si su negocio es estacional, calcule el promedio mensual tomando el total de clientes atendidos en el último año y divídalo entre 12).</t>
  </si>
  <si>
    <t>7.</t>
  </si>
  <si>
    <t>Se recomienda que una sola persona llene el documento para evitar errores. Es esencial que se comparta la información recabada con el negocio. No olvide guardar los cambios ejecutados en el documento antes de cerrarlo.</t>
  </si>
  <si>
    <t>¿En promedio, cuántos clientes comerciales (negocios u otras entidades registradas fiscalmente) atiende su negocio al mes?
(Si su negocio es estacional, calcule el promedio mensual tomando el total de clientes comerciales atendidos en el último año y divídalo entre 12).</t>
  </si>
  <si>
    <t>¿Cuántos canales de venta tiene el negocio? Colocar el número</t>
  </si>
  <si>
    <t>¿Cuántos canales de venta tiene el negocio?</t>
  </si>
  <si>
    <t>¿Cuáles son los principales canales de venta de su negocio?
Selección múltiple</t>
  </si>
  <si>
    <t>¿Qué tan competitiva considera que es su negocio?</t>
  </si>
  <si>
    <t>¿Su negocio segmenta el mercado por criterios demográficos, psicográficos o de género?</t>
  </si>
  <si>
    <t>¿Su negocio dispone de elementos de imagen comercial, como logotipo, colores corporativos y diseño consistente en sus materiales?</t>
  </si>
  <si>
    <t>Hombre</t>
  </si>
  <si>
    <t xml:space="preserve">¿Cómo describiría el nivel de gestión financiera? </t>
  </si>
  <si>
    <t>¿El negocio separa satisfactoriamente las finanzas personales de las finanzas del negocio?</t>
  </si>
  <si>
    <t>¿Ha recibido capacitación en educación financiera en los últimos 12 meses?</t>
  </si>
  <si>
    <t>¿Su negocio utiliza una cuenta bancaria propia para sus operaciones?</t>
  </si>
  <si>
    <t xml:space="preserve">¿Qué tipo(s) de financiamiento externo ha utilizado su negocio en los últimos 24 meses? </t>
  </si>
  <si>
    <t>¿Su negocio cuenta con prácticas y/o  políticas  que prohíben expresamente la violencia basada en género (VBG)?</t>
  </si>
  <si>
    <t>¿Su negocio ha definido explícitamente su modelo de negocio (por ejemplo, propuesta de valor, segmentos de clientes, canales, fuentes de ingresos, costos, etc.)?</t>
  </si>
  <si>
    <t>¿Su negocio establece objetivos y estrategias anuales/procesos de planificación estratégica para orientar sus actividades?</t>
  </si>
  <si>
    <t>¿Su negocio promueve la igualdad en la remuneración?</t>
  </si>
  <si>
    <t>¿Cuáles son los principales canales de venta de su negocio?</t>
  </si>
  <si>
    <t>¿Qué nivel de participación tienen las mujeres de su negocio en espacios de toma de decisión?</t>
  </si>
  <si>
    <t>¿Qué presencia digital tiene su negocio (sitio web, redes sociales, e-commerce)? Seleccione principales plataformas.</t>
  </si>
  <si>
    <t xml:space="preserve">¿Utiliza algún software para la operación del negocio? </t>
  </si>
  <si>
    <t>¿Con qué frecuencia utiliza el negocio medios de pagos digitales?</t>
  </si>
  <si>
    <t xml:space="preserve">¿El negocio ha identificado los principales riesgos que enfrenta? </t>
  </si>
  <si>
    <t>¿Qué porcentaje de empleados está capacitado en gestión del riesgo de desastres?</t>
  </si>
  <si>
    <t>¿Existe un plan de continuidad de negocio documentado y actualizado?</t>
  </si>
  <si>
    <t>8.</t>
  </si>
  <si>
    <t>La pestaña del DASHBOARD, no debe ser modificada, únicamente deberá utilizarse para utilizarse para el análisis de los datos</t>
  </si>
  <si>
    <t>¿Su negocio cuenta con prácticas para la gestión adecuada de residuos sólidos generados por sus operaciones?
(Por ejemplo: separación, reciclaje, disposición segura, recolección por gestores autorizados).</t>
  </si>
  <si>
    <t>¿Mantiene un control del consumo de agua y energía de su negocio?</t>
  </si>
  <si>
    <t>Queda prohibida la reproducción de esta herramienta o uso externo fuera de la implementación del Programa de Cadenas de Valor Inclusivas del Programa de las Naciones Unidas para el Desarrollo.</t>
  </si>
  <si>
    <t>¿Qué tipo(s) de financiamiento externo ha utilizado su negocio en los últimos 24 meses? (Seleccione todas las que correspondan)</t>
  </si>
  <si>
    <t>No Binaria</t>
  </si>
  <si>
    <t>Respuestas</t>
  </si>
  <si>
    <t>LATAM</t>
  </si>
  <si>
    <t>No existen políticas</t>
  </si>
  <si>
    <t>Básica</t>
  </si>
  <si>
    <t>Sí</t>
  </si>
  <si>
    <t>MIPYME: sociedad de responsabilidad limitada unipersonal</t>
  </si>
  <si>
    <t>Opciones CIIU a un dígito</t>
  </si>
  <si>
    <t>Opciones CIIU a dos dígitos</t>
  </si>
  <si>
    <t>Opciones CIIU a tres dígitos</t>
  </si>
  <si>
    <t>Cámaras de comercio locales, nacionales o internacionales</t>
  </si>
  <si>
    <t>Sí, hemos recibido capacitación formal en gestión y operación del negocio.</t>
  </si>
  <si>
    <t>Prefiero no especificar</t>
  </si>
  <si>
    <t>Hay prácticas informales</t>
  </si>
  <si>
    <t xml:space="preserve">Sí </t>
  </si>
  <si>
    <t>Menos de 10</t>
  </si>
  <si>
    <t>Tienda física</t>
  </si>
  <si>
    <t>Muy baja: Nuestro negocio tiene dificultades para competir en su sector.</t>
  </si>
  <si>
    <t>Sí, utilizamos criterios demográficos, psicográficos y de género.</t>
  </si>
  <si>
    <t>No, el negocio no cuenta con elementos de imagen comercial.</t>
  </si>
  <si>
    <t>13.  ¿A cuántas mujeres emplea actualmente su negocio? 
No incluir a la persona dueña. Sí incluya personal temporal y fijo.</t>
  </si>
  <si>
    <t>Inexistentes: No lleva registro de ventas y gastos, no hay control de flujo de caja, no se utiliza ningún software ni hojas de cálculo, las decisiones financieras se toman de manera reactiva.</t>
  </si>
  <si>
    <t>No, las finanzas personales y del negocio no se separan.</t>
  </si>
  <si>
    <t>Existe al menos un documento</t>
  </si>
  <si>
    <t>Sí, cuenta con una cuenta bancaria negociorial a nombre del negocio.</t>
  </si>
  <si>
    <t>Préstamos informales: créditos obtenidos fuera del sistema financiero formal como por ejemplo, prestamistas, amigos, conocidos.</t>
  </si>
  <si>
    <t>No existen políticas ni prácticas sobre VBG.</t>
  </si>
  <si>
    <t>No tenemos un modelo de negocio definido.</t>
  </si>
  <si>
    <t>Sí, contamos con un plan estratégico formal y documentado.</t>
  </si>
  <si>
    <t>Sí, cuenta con políticas claras y aplicadas</t>
  </si>
  <si>
    <t>Nula: No hay mujeres en espacios de decisión.</t>
  </si>
  <si>
    <t>Ninguna: No tiene presencia digital.</t>
  </si>
  <si>
    <t>No utilizamos ningún software para gestionar el negocio.</t>
  </si>
  <si>
    <t>La política está implementada</t>
  </si>
  <si>
    <t>No utilizamos ningún medio de pago digital.</t>
  </si>
  <si>
    <t>0%: Ningún empleado capacitado.</t>
  </si>
  <si>
    <t>No contamos con un plan de continuidad del negocio.</t>
  </si>
  <si>
    <t>Sí, contamos con un sistema formal de gestión de residuos sólidos (separación, reciclaje y disposición segura).</t>
  </si>
  <si>
    <t>Sí, mantenemos control del consumo de agua y energía.</t>
  </si>
  <si>
    <t>2. Edad Promedio</t>
  </si>
  <si>
    <t>Ténica</t>
  </si>
  <si>
    <t>No</t>
  </si>
  <si>
    <t>MIPYME: sociedad de responsabilidad limitada pluripersonal</t>
  </si>
  <si>
    <t xml:space="preserve">Redes negocioriales sectoriales </t>
  </si>
  <si>
    <t>Estamos en proceso de recibir capacitación (inscritos o participando actualmente en un curso).</t>
  </si>
  <si>
    <t>La política está implementada, el personal está capacitado</t>
  </si>
  <si>
    <t>11 a 20</t>
  </si>
  <si>
    <t>Página web propia</t>
  </si>
  <si>
    <t>Baja: Estamos por debajo del promedio del sector.</t>
  </si>
  <si>
    <t>Sí, utilizamos algunos de estos criterios (por ejemplo, solo demográficos o género).</t>
  </si>
  <si>
    <t>Sí, contamos con algunos elementos básicos (por ejemplo, solo logotipo).</t>
  </si>
  <si>
    <t>Básicos: Se anotan ingresos y gastos en cuadernos o registros manuales, se revisa el flujo de caja solo cuando hay problemas de liquidez, no hay presupuestos formales, no se usan software, sólo cálculos manuales.</t>
  </si>
  <si>
    <t>Parcialmente, se separan en la mayoría de los casos, aunque hay ocasiones en que se mezclan.</t>
  </si>
  <si>
    <t>No tiene cuenta negociorial, pero utiliza la cuenta bancaria personal del propietario para las operaciones del negocio.</t>
  </si>
  <si>
    <t>Fondos familiares: Recursos económicos aportados por familiares para financiar el negocio.</t>
  </si>
  <si>
    <t>Hay prácticas informales que desalientan la VBG, pero no son sistemáticas.</t>
  </si>
  <si>
    <t>Conocemos algunos elementos (por ejemplo, clientes o propuesta de valor), pero no está estructurado.</t>
  </si>
  <si>
    <t>Sí, definimos objetivos anuales, pero no contamos con un plan estratégico formal.</t>
  </si>
  <si>
    <t>Sí, de manera informal (sin políticas escritas)</t>
  </si>
  <si>
    <t>Baja: Participan ocasionalmente, sin roles de liderazgo.</t>
  </si>
  <si>
    <t>Nivel Educativo</t>
  </si>
  <si>
    <t>Solo redes sociales: Facebook, Instagram, TikTok.</t>
  </si>
  <si>
    <t>Utilizamos herramientas básicas de oficina (ej. Microsoft Excel, Word).</t>
  </si>
  <si>
    <t>Utilizamos pagos digitales solamente para recibir pagos.</t>
  </si>
  <si>
    <t>1% - 25%: Muy pocos empleados capacitados.</t>
  </si>
  <si>
    <t>Contamos con acciones informales para emergencias, pero no con un plan de continuidad del negocio formal.</t>
  </si>
  <si>
    <t>Sí, realizamos algunas prácticas básicas (por ejemplo, separación parcial o entrega a recolectores informales).</t>
  </si>
  <si>
    <t>Sí, mantenemos control solo del consumo de agua.</t>
  </si>
  <si>
    <t xml:space="preserve">Universidad </t>
  </si>
  <si>
    <t>14. ¿A cuántos hombres emplea actualmente su negocio? No incluir a la persona dueña. Sí incluya personal temporal y fijo.</t>
  </si>
  <si>
    <t xml:space="preserve">Proyecto de Desarrollo Local </t>
  </si>
  <si>
    <t>Parcialmente</t>
  </si>
  <si>
    <t xml:space="preserve">Redes de sostenibilidad y RSE </t>
  </si>
  <si>
    <t>No, no hemos recibido capacitación formal en gestión y operación del negocio.</t>
  </si>
  <si>
    <t>38. ¿Su negocio ha definido explícitamente su modelo de negocio (por ejemplo, propuesta de valor, segmentos de clientes, canales, fuentes de ingresos, costos, etc.)?</t>
  </si>
  <si>
    <t>21 a 50</t>
  </si>
  <si>
    <t>Redes sociales</t>
  </si>
  <si>
    <t>Media: Somos competitivos en algunos aspectos, pero aún con varias brechas.</t>
  </si>
  <si>
    <t>No, no segmentamos el mercado con estos criterios.</t>
  </si>
  <si>
    <t>Sí, contamos con varios elementos de imagen comercial, pero no se usan de forma consistente.</t>
  </si>
  <si>
    <t>Intermedios: Se lleva el control de costos en hojas de cálculo, se proyecta el fliujo de caja mensual, se tiene un presupuesto annual básico, se utiliza un software contable simple (para facturación)</t>
  </si>
  <si>
    <t xml:space="preserve"> Sí, están totalmente separadas y existen mecanismos formales (cuentas separadas, registros contables, controles).</t>
  </si>
  <si>
    <t>No utiliza ninguna cuenta bancaria para las operaciones del negocio.</t>
  </si>
  <si>
    <t>Préstamo bancario</t>
  </si>
  <si>
    <t>Existe al menos un documento o procedimiento, pero su implementación es parcial.</t>
  </si>
  <si>
    <t>Contamos con la mayoría de los elementos definidos, aunque sin documentación formal.</t>
  </si>
  <si>
    <t>Estamos en proceso de desarrollar objetivos y/o un plan estratégico.</t>
  </si>
  <si>
    <t>No, pero está en proceso de implementarlas</t>
  </si>
  <si>
    <t>Media: Participan regularmente, algunos roles de liderazgo.</t>
  </si>
  <si>
    <t>Redes sociales + sitio web.</t>
  </si>
  <si>
    <t>Utilizamos software especializado para tareas específicas (ej. facturación, inventario, contabilidad).</t>
  </si>
  <si>
    <t>Utilizamos pagos digitales solamente para hacer pagos.</t>
  </si>
  <si>
    <t>26% - 50% : Aproximadamente la mitad del personal capacitado.</t>
  </si>
  <si>
    <t>Contamos con un plan de continuidad del negocio, pero necesita actualización.</t>
  </si>
  <si>
    <t>No, no contamos con prácticas específicas para la gestión de residuos sólidos.</t>
  </si>
  <si>
    <t>Sí, mantenemos control solo del consumo de energía.</t>
  </si>
  <si>
    <t>Posgrado</t>
  </si>
  <si>
    <t>Trabajador por Cuenta Propia</t>
  </si>
  <si>
    <t>No lo sé</t>
  </si>
  <si>
    <t>Incubadoras y aceleradoras</t>
  </si>
  <si>
    <t>Más de 50</t>
  </si>
  <si>
    <t>Distribuidores / Mayoristas</t>
  </si>
  <si>
    <t>Alta: Competimos bien y en muchos aspectos estamos por encima del promedio.</t>
  </si>
  <si>
    <t>No aplica (nuestros productos/servicios no requieren segmentación).</t>
  </si>
  <si>
    <t>Sí, contamos con una identidad visual completa (logotipo, colores, tipografías, lineamientos) y se aplica de manera consistente.</t>
  </si>
  <si>
    <t>Avanzados: Procesos estandarizados para control de costos y análisis de rentabilidad, flujo de caja proyectado trimestralmente, uso de software contable especializado (Quickbooks, Contpaq, etc) Informes financieros periódicos para la toma de decisiones.</t>
  </si>
  <si>
    <t>Inversión privada</t>
  </si>
  <si>
    <t>La política está implementada y es conocida por el personal.</t>
  </si>
  <si>
    <t>Tenemos un modelo de negocio completo y documentado (Ejemplo: Modelo de Negocio Canva)</t>
  </si>
  <si>
    <t>No realizamos planificación estratégica ni establecemos objetivos anuales.</t>
  </si>
  <si>
    <t>Sin instrucción formal</t>
  </si>
  <si>
    <t>Alta: Participan activamente y ocupan cargos relevantes.</t>
  </si>
  <si>
    <t>Redes sociales + sitio web + e-commerce.</t>
  </si>
  <si>
    <t>Utilizamos un sistema integrado de gestión para varias áreas (ej. QuickBooks.</t>
  </si>
  <si>
    <t>Utilizamos pagos digitales tanto para cobrar como para pagar, pero no regularmente.</t>
  </si>
  <si>
    <t>51% - 75%: Mayoría del personal capacitado.</t>
  </si>
  <si>
    <t>Contamos con un plan de continuidad del negocio actualizado que se revisa y comunica al personal.</t>
  </si>
  <si>
    <t>No aplica (nuestro negocio no genera residuos sólidos significativos).</t>
  </si>
  <si>
    <t xml:space="preserve">Conocemos algunos elementos </t>
  </si>
  <si>
    <t>No, no mantenemos control del consumo de agua ni de energía.</t>
  </si>
  <si>
    <t>Cooperativa no Agropecuaria</t>
  </si>
  <si>
    <t>Comunidades digitales de negocios (LinkedIn Groups, plataformas B2B)</t>
  </si>
  <si>
    <t>Prefiere no especificar</t>
  </si>
  <si>
    <t xml:space="preserve"> Marketplaces (ej. Amazon, Mercado Libre)</t>
  </si>
  <si>
    <t>Muy alta: Somos líderes o referentes en nuestro mercado.</t>
  </si>
  <si>
    <t>Sí, contamos con una identidad visual completa y además con un manual de marca formalmente establecido.</t>
  </si>
  <si>
    <t xml:space="preserve">15. ¿A cuántos jóvenes (mujeres y hombres) emplea actualmente su negocio?    </t>
  </si>
  <si>
    <t>Remesas familiares</t>
  </si>
  <si>
    <t>La política está implementada, el personal está capacitado y existe un mecanismo para reportes.</t>
  </si>
  <si>
    <t>El modelo de negocio está documentado, se revisa periódicamente y guía decisiones estratégicas.</t>
  </si>
  <si>
    <t>Muy alta :Lideran espacios y tienen influencia significativa.</t>
  </si>
  <si>
    <t>Ecosistema digital completo (integración con CRM, publicidad digital, analítica).</t>
  </si>
  <si>
    <t>Utilizamos un ERP empresarial avanzado (ej. SAP, Oracle, Microsoft Dynamics).</t>
  </si>
  <si>
    <t>Utilizamos pagos digitales de manera habitual para la mayoría de transacciones.</t>
  </si>
  <si>
    <t>76% - 100% :Todo o casi todo el personal capacitado.</t>
  </si>
  <si>
    <t>Fuerza de ventas/ ventas directas (equipo comercial)</t>
  </si>
  <si>
    <t>Tenemos un modelo de negocio completo</t>
  </si>
  <si>
    <t>Donaciones</t>
  </si>
  <si>
    <t>3. ¿Es el negocio su principal fuente de ingresos?</t>
  </si>
  <si>
    <t>Otros</t>
  </si>
  <si>
    <t>No he recibido ningún tipo de financiamiento externo</t>
  </si>
  <si>
    <t>El modelo de negocio está documentado</t>
  </si>
  <si>
    <t>16. ¿Cuántas personas con alguna discapacidad  emplea actualmente su negocio?</t>
  </si>
  <si>
    <t>39. ¿Su negocio establece objetivos y estrategias anuales/procesos de planificación estratégica para orientar sus actividades?</t>
  </si>
  <si>
    <t>II. Información General del Negocio</t>
  </si>
  <si>
    <t xml:space="preserve">4. Tipo de propiedad de su negocio </t>
  </si>
  <si>
    <t>Sí, contamos con un plan</t>
  </si>
  <si>
    <t>Sí, definimos objetivos anuales</t>
  </si>
  <si>
    <t xml:space="preserve">Propietario único: Negocio propiedad de una sola persona, sin separación legal entre el dueño y la negocio.
</t>
  </si>
  <si>
    <t>17. ¿Cuántas personas en situación de vulnerabilidad emplea actualmente su negocio?</t>
  </si>
  <si>
    <t>Estamos en proceso de desarrollar objetivos</t>
  </si>
  <si>
    <t>Sociedad: Dos o más personas comparten propiedad y responsabilidad.</t>
  </si>
  <si>
    <t>No realizamos planificación</t>
  </si>
  <si>
    <t>Sociedad de responsabilidad limitada: Estructura híbrida que ofrece responsabilidad limitada a los propietarios.</t>
  </si>
  <si>
    <t>Sociedad anónima: Entidad legal separada de sus propietarios, con acciones y posibilidad de cotizar en bolsa.</t>
  </si>
  <si>
    <t>40. ¿Su negocio promueve la igualdad en la remuneración?</t>
  </si>
  <si>
    <t>Cooperativa: Propiedad colectiva de miembros que comparten beneficios y decisiones.</t>
  </si>
  <si>
    <t>18. ¿Cuenta con un proceso de selección de personal que asegure la inclusión y la no discriminación?</t>
  </si>
  <si>
    <t>Sí, cuenta con políticas</t>
  </si>
  <si>
    <t xml:space="preserve">Sí, de manera informal </t>
  </si>
  <si>
    <t>5. CIIU de un dígito</t>
  </si>
  <si>
    <t>No, pero está en proceso</t>
  </si>
  <si>
    <t>A - Agricultura, Ganadería, Silvicultura Y Pesca.</t>
  </si>
  <si>
    <t>B - Explotación De Minas Y Canteras.</t>
  </si>
  <si>
    <t>C - Industrias Manufactureras.</t>
  </si>
  <si>
    <t>IV. Operaciones y Ventas</t>
  </si>
  <si>
    <t>D - Suministro De Electricidad, Gas, Vapor Y Aire Acondicionado.</t>
  </si>
  <si>
    <t>41. ¿Qué nivel de participación tienen las mujeres de su negocio en espacios de toma de decisión?</t>
  </si>
  <si>
    <t>E - Distribución De Agua; Alcantarillado, Gestión De Desechos Y Actividades De Saneamiento.</t>
  </si>
  <si>
    <t>19. ¿Su negocio lleva un registro ordenado y constante de sus ventas y costos?</t>
  </si>
  <si>
    <t>F - Construcción.</t>
  </si>
  <si>
    <t>Nula</t>
  </si>
  <si>
    <t>G - Comercio Al Por Mayor Y Al Por Menor; Reparación De Vehículos Automotores Y Motocicletas.</t>
  </si>
  <si>
    <t>Baja</t>
  </si>
  <si>
    <t>H - Transporte Y Almacenamiento.</t>
  </si>
  <si>
    <t>Uso del CIIU en el Sistema Integrado de Monitoreo Empresarial</t>
  </si>
  <si>
    <t>El CIIU (Clasificación Industrial Internacional Uniforme de todas las actividades económicas, Revisión 4 adaptada para América Latina – CIIU Rev.4 A.C.) permite identificar y categorizar la actividad económica principal de cada empresa.</t>
  </si>
  <si>
    <t>Media</t>
  </si>
  <si>
    <t>Campo</t>
  </si>
  <si>
    <t>Nivel de detalle</t>
  </si>
  <si>
    <t>Uso en la ficha</t>
  </si>
  <si>
    <t>Ejemplo</t>
  </si>
  <si>
    <t>CIIU a 1 dígito</t>
  </si>
  <si>
    <r>
      <rPr>
        <rFont val="Calibri"/>
        <b/>
        <color theme="1"/>
        <sz val="11.0"/>
      </rPr>
      <t>Sección</t>
    </r>
    <r>
      <rPr>
        <rFont val="Calibri"/>
        <b val="0"/>
        <color theme="1"/>
        <sz val="11.0"/>
      </rPr>
      <t xml:space="preserve"> – identifica el gran sector económico</t>
    </r>
  </si>
  <si>
    <t>Define el macrosector de la empresa.</t>
  </si>
  <si>
    <t>A - AGRICULTURA, GANADERÍA,  SILVICULTURA Y PESCA.</t>
  </si>
  <si>
    <t>I - Actividades De Alojamiento Y De Servicio De Comidas.</t>
  </si>
  <si>
    <t>CIIU a 2 dígitos</t>
  </si>
  <si>
    <r>
      <rPr>
        <rFont val="Calibri"/>
        <b/>
        <color theme="1"/>
        <sz val="11.0"/>
      </rPr>
      <t>División</t>
    </r>
    <r>
      <rPr>
        <rFont val="Calibri"/>
        <b val="0"/>
        <color theme="1"/>
        <sz val="11.0"/>
      </rPr>
      <t xml:space="preserve"> – describe la rama principal de actividad</t>
    </r>
  </si>
  <si>
    <t>Permite agrupar por cadena productiva o tipo de industria.</t>
  </si>
  <si>
    <t>A01 - AGRICULTURA, GANADERÍA, CAZA Y ACTIVIDADES DE SERVICIOS CONEXAS.</t>
  </si>
  <si>
    <t>CIIU a 3 dígitos</t>
  </si>
  <si>
    <r>
      <rPr>
        <rFont val="Calibri"/>
        <b/>
        <color theme="1"/>
        <sz val="11.0"/>
      </rPr>
      <t>Grupo</t>
    </r>
    <r>
      <rPr>
        <rFont val="Calibri"/>
        <b val="0"/>
        <color theme="1"/>
        <sz val="11.0"/>
      </rPr>
      <t xml:space="preserve"> – especifica el tipo exacto de producción o servicio</t>
    </r>
  </si>
  <si>
    <t>Permite análisis más precisos dentro del sector.</t>
  </si>
  <si>
    <t>A014 - GANADERÍA.</t>
  </si>
  <si>
    <t>CODIGO</t>
  </si>
  <si>
    <t>DESCRIPCION</t>
  </si>
  <si>
    <t>NIVEL</t>
  </si>
  <si>
    <t>A</t>
  </si>
  <si>
    <t>AGRICULTURA, GANADERÍA,  SILVICULTURA Y PESCA.</t>
  </si>
  <si>
    <t>A01</t>
  </si>
  <si>
    <t>AGRICULTURA, GANADERÍA, CAZA Y ACTIVIDADES DE SERVICIOS CONEXAS.</t>
  </si>
  <si>
    <t>Alta</t>
  </si>
  <si>
    <t>A011</t>
  </si>
  <si>
    <t>CULTIVO DE PLANTAS NO PERENNES.</t>
  </si>
  <si>
    <t>A012</t>
  </si>
  <si>
    <t>CULTIVO DE PLANTAS PERENNES.</t>
  </si>
  <si>
    <t>A013</t>
  </si>
  <si>
    <t>PROPAGACIÓN DE PLANTAS.</t>
  </si>
  <si>
    <t>A014</t>
  </si>
  <si>
    <t>GANADERÍA.</t>
  </si>
  <si>
    <t>A015</t>
  </si>
  <si>
    <t>CULTIVO DE PRODUCTOS AGRÍCOLAS EN COMBINACIÓN CON LA CRÍA DE ANIMALES (EXPLOTACIÓN MIXTA).</t>
  </si>
  <si>
    <t>A016</t>
  </si>
  <si>
    <t>ACTIVIDADES DE APOYO A LA AGRICULTURA Y LA GANADERÍA Y ACTIVIDADES POSCOSECHA.</t>
  </si>
  <si>
    <t>A017</t>
  </si>
  <si>
    <t>CAZA ORDINARIA, MEDIANTE TRAMPAS Y ACTIVIDADES DE SERVICIOS CONEXAS.</t>
  </si>
  <si>
    <t>A02</t>
  </si>
  <si>
    <t>SILVICULTURA Y EXTRACCIÓN DE MADERA.</t>
  </si>
  <si>
    <t>A021</t>
  </si>
  <si>
    <t>SILVICULTURA Y OTRAS ACTIVIDADES FORESTALES.</t>
  </si>
  <si>
    <t>J - Información Y Comunicación.</t>
  </si>
  <si>
    <t>A022</t>
  </si>
  <si>
    <t>EXTRACCIÓN DE MADERA.</t>
  </si>
  <si>
    <t>A023</t>
  </si>
  <si>
    <t>RECOLECCIÓN DE PRODUCTOS FORESTALES DISTINTOS DE LA MADERA.</t>
  </si>
  <si>
    <t>A024</t>
  </si>
  <si>
    <t>SERVICIOS DE APOYO A LA SILVICULTURA.</t>
  </si>
  <si>
    <t>A03</t>
  </si>
  <si>
    <t>PESCA Y ACUICULTURA.</t>
  </si>
  <si>
    <t>A031</t>
  </si>
  <si>
    <t>PESCA.</t>
  </si>
  <si>
    <t>A032</t>
  </si>
  <si>
    <t>ACUICULTURA.</t>
  </si>
  <si>
    <t>B</t>
  </si>
  <si>
    <t>EXPLOTACIÓN DE MINAS Y CANTERAS.</t>
  </si>
  <si>
    <t>B05</t>
  </si>
  <si>
    <t>EXTRACCIÓN DE CARBÓN DE PIEDRA Y LIGNITO.</t>
  </si>
  <si>
    <t>Muy alta</t>
  </si>
  <si>
    <t>B051</t>
  </si>
  <si>
    <t>EXTRACCIÓN DE CARBÓN DE PIEDRA.</t>
  </si>
  <si>
    <t>B052</t>
  </si>
  <si>
    <t>EXTRACCIÓN DE LIGNITO.</t>
  </si>
  <si>
    <t>B06</t>
  </si>
  <si>
    <t>EXTRACCIÓN DE PETRÓLEO CRUDO Y GAS NATURAL.</t>
  </si>
  <si>
    <t>B061</t>
  </si>
  <si>
    <t>EXTRACCIÓN DE PETRÓLEO CRUDO.</t>
  </si>
  <si>
    <t>B062</t>
  </si>
  <si>
    <t>EXTRACCIÓN DE GAS NATURAL.</t>
  </si>
  <si>
    <t>B07</t>
  </si>
  <si>
    <t>EXTRACCIÓN DE MINERALES METALÍFEROS.</t>
  </si>
  <si>
    <t>B071</t>
  </si>
  <si>
    <t>EXTRACCIÓN DE MINERALES DE HIERRO.</t>
  </si>
  <si>
    <t>K - Actividades Financieras Y De Seguros.</t>
  </si>
  <si>
    <t>B072</t>
  </si>
  <si>
    <t>EXTRACCIÓN DE MINERALES METALÍFEROS NO FERROSOS.</t>
  </si>
  <si>
    <t>B08</t>
  </si>
  <si>
    <t>EXPLOTACIÓN DE OTRAS MINAS Y CANTERAS.</t>
  </si>
  <si>
    <t xml:space="preserve">20. ¿Cuál es el promedio mensual de ventas de su negocio en USD? </t>
  </si>
  <si>
    <t>B081</t>
  </si>
  <si>
    <t>EXTRACCIÓN DE PIEDRA, ARENA Y ARCILLA.</t>
  </si>
  <si>
    <t>B089</t>
  </si>
  <si>
    <t>EXPLOTACIÓN DE MINAS Y CANTERAS N.C.P.</t>
  </si>
  <si>
    <t>B09</t>
  </si>
  <si>
    <t>ACTIVIDADES DE SERVICIOS DE APOYO PARA LA EXPLOTACIÓN DE MINAS Y CANTERAS.</t>
  </si>
  <si>
    <t>B091</t>
  </si>
  <si>
    <t>ACTIVIDADES DE APOYO PARA LA EXTRACCIÓN DE PETRÓLEO Y GAS NATURAL.</t>
  </si>
  <si>
    <t>B099</t>
  </si>
  <si>
    <t>ACTIVIDADES DE APOYO PARA LA EXPLOTACIÓN DE OTRAS MINAS Y CANTERAS.</t>
  </si>
  <si>
    <t>C</t>
  </si>
  <si>
    <t>INDUSTRIAS MANUFACTURERAS.</t>
  </si>
  <si>
    <t>L - Actividades Inmobiliarias.</t>
  </si>
  <si>
    <t>C10</t>
  </si>
  <si>
    <t>ELABORACIÓN DE PRODUCTOS ALIMENTICIOS.</t>
  </si>
  <si>
    <t>C101</t>
  </si>
  <si>
    <t>ELABORACIÓN Y CONSERVACIÓN DE CARNE.</t>
  </si>
  <si>
    <t>C102</t>
  </si>
  <si>
    <t>ELABORACIÓN Y CONSERVACIÓN DE PESCADOS, CRUSTÁCEOS Y MOLUSCOS.</t>
  </si>
  <si>
    <t>C103</t>
  </si>
  <si>
    <t>ELABORACIÓN Y CONSERVACIÓN DE FRUTAS, LEGUMBRES Y HORTALIZAS.</t>
  </si>
  <si>
    <t>C104</t>
  </si>
  <si>
    <t>ELABORACIÓN DE ACEITES Y GRASAS DE ORIGEN VEGETAL Y ANIMAL.</t>
  </si>
  <si>
    <t>C105</t>
  </si>
  <si>
    <t>ELABORACIÓN DE PRODUCTOS LÁCTEOS.</t>
  </si>
  <si>
    <t>C106</t>
  </si>
  <si>
    <t>ELABORACIÓN DE PRODUCTOS DE MOLINERÍA, ALMIDONES Y PRODUCTOS DERIVADOS DEL ALMIDÓN.</t>
  </si>
  <si>
    <t>C107</t>
  </si>
  <si>
    <t>ELABORACIÓN DE OTROS PRODUCTOS ALIMENTICIOS.</t>
  </si>
  <si>
    <t>C108</t>
  </si>
  <si>
    <t>VII. Digitalización</t>
  </si>
  <si>
    <t>ELABORACIÓN DE ALIMENTOS PREPARADOS PARA ANIMALES.</t>
  </si>
  <si>
    <t>C11</t>
  </si>
  <si>
    <t>ELABORACIÓN DE BEBIDAS.</t>
  </si>
  <si>
    <t>C110</t>
  </si>
  <si>
    <t>C12</t>
  </si>
  <si>
    <t>ELABORACIÓN DE PRODUCTOS DE TABACO.</t>
  </si>
  <si>
    <t>M - Actividades Profesionales, Científicas Y Técnicas.</t>
  </si>
  <si>
    <t>C120</t>
  </si>
  <si>
    <t>C13</t>
  </si>
  <si>
    <t>FABRICACIÓN DE PRODUCTOS TEXTILES.</t>
  </si>
  <si>
    <t>C131</t>
  </si>
  <si>
    <t>HILATURA, TEJEDURA Y ACABADOS DE PRODUCTOS TEXTILES.</t>
  </si>
  <si>
    <t>C139</t>
  </si>
  <si>
    <t>FABRICACIÓN DE OTROS PRODUCTOS TEXTILES.</t>
  </si>
  <si>
    <t>C14</t>
  </si>
  <si>
    <t>FABRICACIÓN DE PRENDAS DE VESTIR.</t>
  </si>
  <si>
    <t>C141</t>
  </si>
  <si>
    <t>FABRICACIÓN DE PRENDAS DE VESTIR, EXCEPTO PRENDAS DE PIEL.</t>
  </si>
  <si>
    <t>C142</t>
  </si>
  <si>
    <t>FABRICACIÓN DE ARTÍCULOS DE PIEL.</t>
  </si>
  <si>
    <t>C143</t>
  </si>
  <si>
    <t>FABRICACIÓN DE ARTÍCULOS DE PUNTO Y GANCHILLO.</t>
  </si>
  <si>
    <t>C15</t>
  </si>
  <si>
    <t>FABRICACIÓN DE CUEROS Y PRODUCTOS CONEXOS.</t>
  </si>
  <si>
    <t>C151</t>
  </si>
  <si>
    <t>CURTIDO Y ADOBO DE CUEROS; FABRICACIÓN DE MALETAS, BOLSOS DE MANO Y ARTÍCULOS DE TALABARTERÍA Y GUARNICIONERÍA; ADOBO Y TEÑIDO DE PIELES.</t>
  </si>
  <si>
    <t>C152</t>
  </si>
  <si>
    <t>FABRICACIÓN DE CALZADO.</t>
  </si>
  <si>
    <t>C16</t>
  </si>
  <si>
    <t>PRODUCCIÓN DE MADERA Y FABRICACIÓN DE PRODUCTOS DE MADERA Y CORCHO, EXCEPTO MUEBLES; FABRICACIÓN DE ARTÍCULOS DE PAJA Y DE MATERIALES TRENZABLES.</t>
  </si>
  <si>
    <t>C161</t>
  </si>
  <si>
    <t>ASERRADO Y ACEPILLADURA DE MADERA.</t>
  </si>
  <si>
    <t>N - Actividades De Servicios Administrativos Y De Apoyo.</t>
  </si>
  <si>
    <t>C162</t>
  </si>
  <si>
    <t>FABRICACIÓN DE HOJAS DE MADERA PARA ENCHAPADO Y TABLEROS A BASE DE MADERA.</t>
  </si>
  <si>
    <t>C17</t>
  </si>
  <si>
    <t>FABRICACIÓN DE PAPEL Y DE PRODUCTOS DE PAPEL.</t>
  </si>
  <si>
    <t>C170</t>
  </si>
  <si>
    <t>C18</t>
  </si>
  <si>
    <t>IMPRESIÓN Y REPRODUCCIÓN DE GRABACIONES.</t>
  </si>
  <si>
    <t>C181</t>
  </si>
  <si>
    <t>IMPRESIÓN Y ACTIVIDADES DE SERVICIOS RELACIONADOS CON LA IMPRESIÓN.</t>
  </si>
  <si>
    <t>C182</t>
  </si>
  <si>
    <t>REPRODUCCIÓN DE GRABACIONES.</t>
  </si>
  <si>
    <t>C19</t>
  </si>
  <si>
    <t>FABRICACIÓN DE COQUE Y DE PRODUCTOS DE LA REFINACIÓN DEL PETRÓLEO.</t>
  </si>
  <si>
    <t>C191</t>
  </si>
  <si>
    <t>FABRICACIÓN DE PRODUCTOS DE HORNO DE COQUE.</t>
  </si>
  <si>
    <t>42. ¿Qué presencia digital tiene su negocio (sitio web, redes sociales, e-commerce)? Seleccione principales plataformas.</t>
  </si>
  <si>
    <t>C192</t>
  </si>
  <si>
    <t>FABRICACIÓN DE PRODUCTOS DE LA REFINACIÓN DEL PETRÓLEO.</t>
  </si>
  <si>
    <t>C20</t>
  </si>
  <si>
    <t>FABRICACIÓN DE SUBSTANCIAS Y PRODUCTOS QUÍMICOS.</t>
  </si>
  <si>
    <t>C201</t>
  </si>
  <si>
    <t>FABRICACIÓN DE SUSTANCIAS QUÍMICAS BÁSICAS, DE ABONOS Y COMPUESTOS DE NITRÓGENO Y DE PLÁSTICOS Y CAUCHO SINTÉTICO EN FORMAS PRIMARIAS.</t>
  </si>
  <si>
    <t>O - Administración Pública Y Defensa; Planes De Seguridad Social De Afiliación Obligatoria.</t>
  </si>
  <si>
    <t>C202</t>
  </si>
  <si>
    <t>FABRICACIÓN DE OTROS PRODUCTOS QUÍMICOS.</t>
  </si>
  <si>
    <t>C203</t>
  </si>
  <si>
    <t>FABRICACIÓN DE FIBRAS ARTIFICIALES.</t>
  </si>
  <si>
    <t>C21</t>
  </si>
  <si>
    <t>FABRICACIÓN DE PRODUCTOS FARMACÉUTICOS, SUSTANCIAS QUÍMICAS MEDICINALES Y PRODUCTOS BOTÁNICOS DE USO FARMACÉUTICO.</t>
  </si>
  <si>
    <t>C210</t>
  </si>
  <si>
    <t>C22</t>
  </si>
  <si>
    <t>FABRICACIÓN DE PRODUCTOS DE CAUCHO Y PLÁSTICO.</t>
  </si>
  <si>
    <t>C221</t>
  </si>
  <si>
    <t>FABRICACIÓN DE PRODUCTOS DE CAUCHO.</t>
  </si>
  <si>
    <t>C222</t>
  </si>
  <si>
    <t xml:space="preserve">21. ¿Cuál es el margen (%) de utilidad bruta de su negocio? </t>
  </si>
  <si>
    <t>FABRICACIÓN DE PRODUCTOS DE PLÁSTICO.</t>
  </si>
  <si>
    <t>C23</t>
  </si>
  <si>
    <t>FABRICACIÓN DE OTROS PRODUCTOS MINERALES NO METÁLICOS.</t>
  </si>
  <si>
    <t>C231</t>
  </si>
  <si>
    <t>FABRICACIÓN DE VIDRIO Y PRODUCTOS DE VIDRIO.</t>
  </si>
  <si>
    <t>C239</t>
  </si>
  <si>
    <t>FABRICACIÓN DE PRODUCTOS MINERALES NO METÁLICOS N.C.P.</t>
  </si>
  <si>
    <t>C24</t>
  </si>
  <si>
    <t>FABRICACIÓN DE METALES COMUNES.</t>
  </si>
  <si>
    <t>C241</t>
  </si>
  <si>
    <t>INDUSTRIAS BÁSICAS DE HIERRO Y ACERO.</t>
  </si>
  <si>
    <t>C242</t>
  </si>
  <si>
    <t>FABRICACIÓN DE PRODUCTOS PRIMARIOS DE METALES PRECIOSOS Y METALES NO FERROSOS.</t>
  </si>
  <si>
    <t>C243</t>
  </si>
  <si>
    <t>P - Enseñanza.</t>
  </si>
  <si>
    <t>FUNDICIÓN DE METALES.</t>
  </si>
  <si>
    <t>C25</t>
  </si>
  <si>
    <t>FABRICACIÓN DE PRODUCTOS ELABORADOS DE METAL, EXCEPTO MAQUINARIA Y EQUIPO.</t>
  </si>
  <si>
    <t>C251</t>
  </si>
  <si>
    <t>FABRICACIÓN DE PRODUCTOS METÁLICOS PARA USO ESTRUCTURAL, TANQUES, DEPÓSITOS, RECIPIENTES DE METAL Y GENERADORES DE VAPOR.</t>
  </si>
  <si>
    <t>C252</t>
  </si>
  <si>
    <t>FABRICACIÓN DE ARMAS Y MUNICIONES.</t>
  </si>
  <si>
    <t>C259</t>
  </si>
  <si>
    <t>FABRICACIÓN DE OTROS PRODUCTOS ELABORADOS DE METAL, ACTIVIDADES DE TRABAJOS DE METALES.</t>
  </si>
  <si>
    <t>C26</t>
  </si>
  <si>
    <t>FABRICACIÓN DE PRODUCTOS DE INFORMÁTICA, ELECTRÓNICA Y ÓPTICA.</t>
  </si>
  <si>
    <t>C261</t>
  </si>
  <si>
    <t>FABRICACIÓN DE COMPONENTES Y TABLEROS ELECTRÓNICOS.</t>
  </si>
  <si>
    <t>C262</t>
  </si>
  <si>
    <t>FABRICACIÓN DE ORDENADORES Y EQUIPO PERIFÉRICO.</t>
  </si>
  <si>
    <t>C263</t>
  </si>
  <si>
    <t>FABRICACIÓN DE EQUIPO DE COMUNICACIONES.</t>
  </si>
  <si>
    <t>C264</t>
  </si>
  <si>
    <t>FABRICACIÓN DE APARATOS ELECTRÓNICOS DE CONSUMO.</t>
  </si>
  <si>
    <t>Ninguna</t>
  </si>
  <si>
    <t>C265</t>
  </si>
  <si>
    <t>FABRICACIÓN DE EQUIPOS DE MEDICIÓN, PRUEBA, NAVEGACIÓN, CONTROL Y DE RELOJES.</t>
  </si>
  <si>
    <t>C266</t>
  </si>
  <si>
    <t>FABRICACIÓN DE EQUIPO DE IRRADIACIÓN, Y EQUIPO ELECTRÓNICO DE USO MEDICO Y TERAPÉUTICO.</t>
  </si>
  <si>
    <t>C267</t>
  </si>
  <si>
    <t>FABRICACIÓN DE INSTRUMENTOS ÓPTICOS Y EQUIPO FOTOGRÁFICOS.</t>
  </si>
  <si>
    <t>C268</t>
  </si>
  <si>
    <t>FABRICACIÓN DE SOPORTES MAGNÉTICOS Y ÓPTICOS.</t>
  </si>
  <si>
    <t>C27</t>
  </si>
  <si>
    <t>FABRICACIÓN DE EQUIPO ELÉCTRICO.</t>
  </si>
  <si>
    <t>C271</t>
  </si>
  <si>
    <t>FABRICACIÓN DE MOTORES, GENERADORES, TRANSFORMADORES ELÉCTRICOS Y APARATOS DE DISTRIBUCIÓN Y CONTROL DE LA ENERGÍA ELÉCTRICA.</t>
  </si>
  <si>
    <t>C272</t>
  </si>
  <si>
    <t>FABRICACIÓN DE PILAS, BATERÍAS Y ACUMULADORES.</t>
  </si>
  <si>
    <t>C273</t>
  </si>
  <si>
    <t>FABRICACIÓN DE CABLES Y DISPOSITIVOS DE CABLEADO.</t>
  </si>
  <si>
    <t>C274</t>
  </si>
  <si>
    <t>FABRICACIÓN DE EQUIPO ELÉCTRICO DE ILUMINACIÓN.</t>
  </si>
  <si>
    <t>C275</t>
  </si>
  <si>
    <t>FABRICACIÓN DE APARATOS DE USO DOMÉSTICO.</t>
  </si>
  <si>
    <t>Q - Actividades De Atención De La Salud Humana Y De Asistencia Social.</t>
  </si>
  <si>
    <t>C279</t>
  </si>
  <si>
    <t>FABRICACIÓN DE OTROS TIPOS DE EQUIPO ELÉCTRICO.</t>
  </si>
  <si>
    <t>C28</t>
  </si>
  <si>
    <t>FABRICACIÓN DE MAQUINARIA Y EQUIPO N.C.P.</t>
  </si>
  <si>
    <t>C281</t>
  </si>
  <si>
    <t>FABRICACIÓN DE MOTORES Y TURBINAS, EXCEPTO MOTORES PARA AERONAVES, VEHÍCULOS AUTOMOTORES Y MOTOCICLETAS.</t>
  </si>
  <si>
    <t>C282</t>
  </si>
  <si>
    <t>FABRICACIÓN DE MAQUINARIA DE USO ESPECIAL.</t>
  </si>
  <si>
    <t>C29</t>
  </si>
  <si>
    <t>FABRICACIÓN DE VEHÍCULOS AUTOMOTORES, REMOLQUES Y SEMIRREMOLQUES.</t>
  </si>
  <si>
    <t>C291</t>
  </si>
  <si>
    <t>FABRICACIÓN DE VEHÍCULOS AUTOMOTORES.</t>
  </si>
  <si>
    <t>C292</t>
  </si>
  <si>
    <t>FABRICACIÓN DE CARROCERÍAS PARA VEHÍCULOS AUTOMOTORES; FABRICACIÓN DE REMOLQUES Y SEMIRREMOLQUES.</t>
  </si>
  <si>
    <t>C293</t>
  </si>
  <si>
    <t>FABRICACIÓN DE PARTES, PIEZAS Y ACCESORIOS PARA VEHÍCULOS AUTOMOTORES.</t>
  </si>
  <si>
    <t>Solo redes sociales</t>
  </si>
  <si>
    <t>C30</t>
  </si>
  <si>
    <t>FABRICACIÓN DE OTROS TIPOS DE EQUIPOS DE TRANSPORTE.</t>
  </si>
  <si>
    <t>C301</t>
  </si>
  <si>
    <t>CONSTRUCCIÓN DE BUQUES Y OTRAS EMBARCACIONES.</t>
  </si>
  <si>
    <t>C302</t>
  </si>
  <si>
    <t>FABRICACIÓN DE LOCOMOTORAS Y MATERIAL RODANTE.</t>
  </si>
  <si>
    <t>C303</t>
  </si>
  <si>
    <t>FABRICACIÓN DE AERONAVES Y NAVES ESPACIALES Y MAQUINARIA CONEXA.</t>
  </si>
  <si>
    <t>C304</t>
  </si>
  <si>
    <t>FABRICACIÓN DE VEHÍCULOS MILITARES DE COMBATE.</t>
  </si>
  <si>
    <t>C309</t>
  </si>
  <si>
    <t>FABRICACIÓN DE EQUIPO DE TRANSPORTE N.C.P.</t>
  </si>
  <si>
    <t>C31</t>
  </si>
  <si>
    <t>FABRICACIÓN DE MUEBLES.</t>
  </si>
  <si>
    <t>C310</t>
  </si>
  <si>
    <t>R - Artes, Entretenimiento Y Recreación.</t>
  </si>
  <si>
    <t>C32</t>
  </si>
  <si>
    <t>OTRAS INDUSTRIAS MANUFACTURERAS.</t>
  </si>
  <si>
    <t>C321</t>
  </si>
  <si>
    <t>FABRICACIÓN DE JOYAS, BISUTERÍA Y ARTÍCULOS CONEXOS.</t>
  </si>
  <si>
    <t>C322</t>
  </si>
  <si>
    <t>FABRICACIÓN DE INSTRUMENTOS MUSICALES.</t>
  </si>
  <si>
    <t>C323</t>
  </si>
  <si>
    <t>FABRICACIÓN DE ARTÍCULOS DE DEPORTE.</t>
  </si>
  <si>
    <t>C324</t>
  </si>
  <si>
    <t>FABRICACIÓN DE JUEGOS Y JUGUETES.</t>
  </si>
  <si>
    <t>C325</t>
  </si>
  <si>
    <t>FABRICACIÓN DE INSTRUMENTOS Y MATERIALES MÉDICOS Y ODONTOLÓGICOS.</t>
  </si>
  <si>
    <t>C329</t>
  </si>
  <si>
    <t>OTRAS INDUSTRIAS MANUFACTURERAS N.C.P.</t>
  </si>
  <si>
    <t>C33</t>
  </si>
  <si>
    <t>REPARACIÓN E INSTALACIÓN DE MAQUINARIA Y EQUIPO.</t>
  </si>
  <si>
    <t xml:space="preserve">C331 </t>
  </si>
  <si>
    <t>REPARACIÓN DE PRODUCTOS ELABORADOS DE METAL, MAQUINARIA Y EQUIPO.</t>
  </si>
  <si>
    <t>C332</t>
  </si>
  <si>
    <t>INSTALACIÓN DE MAQUINARIA Y EQUIPO INDUSTRIALES.</t>
  </si>
  <si>
    <t>D</t>
  </si>
  <si>
    <t>SUMINISTRO DE ELECTRICIDAD, GAS, VAPOR Y AIRE ACONDICIONADO.</t>
  </si>
  <si>
    <t>D35</t>
  </si>
  <si>
    <t>D351</t>
  </si>
  <si>
    <t>GENERACIÓN, TRANSMISIÓN Y DISTRIBUCIÓN DE ENERGÍA ELÉCTRICA.</t>
  </si>
  <si>
    <t>D352</t>
  </si>
  <si>
    <t>FABRICACIÓN DE GAS; DISTRIBUCIÓN DE COMBUSTIBLES GASEOSOS POR TUBERÍAS.</t>
  </si>
  <si>
    <t>D353</t>
  </si>
  <si>
    <t>SUMINISTRO DE VAPOR Y DE AIRE ACONDICIONADO.</t>
  </si>
  <si>
    <t>E</t>
  </si>
  <si>
    <t>DISTRIBUCIÓN DE AGUA; ALCANTARILLADO, GESTIÓN DE DESECHOS Y ACTIVIDADES DE SANEAMIENTO.</t>
  </si>
  <si>
    <t>S - Otras Actividades De Servicios.</t>
  </si>
  <si>
    <t>E36</t>
  </si>
  <si>
    <t>CAPTACIÓN, TRATAMIENTO Y DISTRIBUCIÓN DE AGUA.</t>
  </si>
  <si>
    <t>E360</t>
  </si>
  <si>
    <t>E37</t>
  </si>
  <si>
    <t>EVACUACIÓN DE AGUAS RESIDUALES.</t>
  </si>
  <si>
    <t>E370</t>
  </si>
  <si>
    <t>E38</t>
  </si>
  <si>
    <t>RECOLECCIÓN, TRATAMIENTO Y ELIMINACIÓN DE DESECHOS, RECUPERACIÓN DE MATERIALES.</t>
  </si>
  <si>
    <t>22. ¿Cuál es el total de horas trabajadas en un mes aproximadamente?</t>
  </si>
  <si>
    <t>E381</t>
  </si>
  <si>
    <t>RECOLECCIÓN DE DESECHOS.</t>
  </si>
  <si>
    <t>E382</t>
  </si>
  <si>
    <t>TRATAMIENTO Y ELIMINACIÓN DE DESECHOS.</t>
  </si>
  <si>
    <t>E383</t>
  </si>
  <si>
    <t>RECUPERACIÓN DE MATERIALES.</t>
  </si>
  <si>
    <t>E39</t>
  </si>
  <si>
    <t>ACTIVIDADES DE DESCONTAMINACIÓN Y OTROS SERVICIOS DE  GESTIÓN DE DESECHOS.</t>
  </si>
  <si>
    <t>E390</t>
  </si>
  <si>
    <t>F</t>
  </si>
  <si>
    <t>CONSTRUCCIÓN.</t>
  </si>
  <si>
    <t>F41</t>
  </si>
  <si>
    <t>CONSTRUCCIÓN DE EDIFICIOS.</t>
  </si>
  <si>
    <t>F410</t>
  </si>
  <si>
    <t>F42</t>
  </si>
  <si>
    <t>OBRAS DE INGENIERÍA CIVIL.</t>
  </si>
  <si>
    <t>F421</t>
  </si>
  <si>
    <t>CONSTRUCCIÓN DE CARRETERAS Y LÍNEAS DE FERROCARRIL.</t>
  </si>
  <si>
    <t>F422</t>
  </si>
  <si>
    <t>CONSTRUCCIÓN DE PROYECTOS DE SERVICIOS PÚBLICOS.</t>
  </si>
  <si>
    <t>F429</t>
  </si>
  <si>
    <t>CONSTRUCCIÓN DE OTRAS OBRAS DE INGENIERÍA CIVIL.</t>
  </si>
  <si>
    <t>F43</t>
  </si>
  <si>
    <t>ACTIVIDADES ESPECIALIZADAS DE LA CONSTRUCCIÓN.</t>
  </si>
  <si>
    <t>T - Actividades De Los Hogares Como Empleadores; Actividades No Diferenciadas De Los Hogares Como Productores De Bienes Y Servicios Para Uso Propio.</t>
  </si>
  <si>
    <t>F431</t>
  </si>
  <si>
    <t>DEMOLICIÓN Y PREPARACIÓN DEL TERRENO.</t>
  </si>
  <si>
    <t>F432</t>
  </si>
  <si>
    <t>INSTALACIONES ELÉCTRICAS Y DE FONTANERÍA Y OTRAS INSTALACIONES PARA OBRAS DE CONSTRUCCIÓN.</t>
  </si>
  <si>
    <t>F433</t>
  </si>
  <si>
    <t>TERMINACIÓN Y ACABADO DE EDIFICIOS.</t>
  </si>
  <si>
    <t>F439</t>
  </si>
  <si>
    <t>OTRAS ACTIVIDADES ESPECIALIZADAS DE CONSTRUCCIÓN.</t>
  </si>
  <si>
    <t>G</t>
  </si>
  <si>
    <t>COMERCIO AL POR MAYOR Y AL POR MENOR; REPARACIÓN DE VEHÍCULOS AUTOMOTORES Y MOTOCICLETAS.</t>
  </si>
  <si>
    <t>G45</t>
  </si>
  <si>
    <t>COMERCIO Y REPARACIÓN DE VEHÍCULOS AUTOMOTORES Y MOTOCICLETAS.</t>
  </si>
  <si>
    <t>G451</t>
  </si>
  <si>
    <t>VENTA DE VEHÍCULOS AUTOMOTORES.</t>
  </si>
  <si>
    <t>G452</t>
  </si>
  <si>
    <t>MANTENIMIENTO Y REPARACIÓN DE VEHÍCULOS AUTOMOTORES.</t>
  </si>
  <si>
    <t>G453</t>
  </si>
  <si>
    <t>VENTA DE PARTES, PIEZAS Y ACCESORIOS PARA VEHÍCULOS AUTOMOTORES.</t>
  </si>
  <si>
    <t>G454</t>
  </si>
  <si>
    <t>VENTA, MANTENIMIENTO Y REPARACIÓN DE MOTOCICLETAS Y DE SUS PARTES, PIEZAS Y ACCESORIOS.</t>
  </si>
  <si>
    <t>Ecosistema digital completo</t>
  </si>
  <si>
    <t>G46</t>
  </si>
  <si>
    <t>COMERCIO AL POR MAYOR, EXCEPTO EL DE VEHÍCULOS AUTOMOTORES Y MOTOCICLETAS.</t>
  </si>
  <si>
    <t>G461</t>
  </si>
  <si>
    <t>VENTA AL POR MAYOR A CAMBIO DE UNA COMISIÓN O POR CONTRATO.</t>
  </si>
  <si>
    <t>G462</t>
  </si>
  <si>
    <t>VENTA AL POR MAYOR DE MATERIAS PRIMAS AGROPECUARIAS Y ANIMALES VIVOS.</t>
  </si>
  <si>
    <t>G463</t>
  </si>
  <si>
    <t>VENTA AL POR MAYOR DE ALIMENTOS, BEBIDAS Y TABACO.</t>
  </si>
  <si>
    <t>G464</t>
  </si>
  <si>
    <t>VENTA AL POR MAYOR DE ENSERES DOMÉSTICOS.</t>
  </si>
  <si>
    <t>G465</t>
  </si>
  <si>
    <t>VENTA AL POR MAYOR DE MAQUINARIAS EQUIPOS Y MATERIALES.</t>
  </si>
  <si>
    <t>G466</t>
  </si>
  <si>
    <t>OTRAS ACTIVIDADES DE VENTA AL POR MAYOR ESPECIALIZADA.</t>
  </si>
  <si>
    <t>U - Actividades De Organizaciones Y Órganos Extraterritoriales.</t>
  </si>
  <si>
    <t>G469</t>
  </si>
  <si>
    <t>VENTA AL POR MAYOR DE OTROS PRODUCTOS NO ESPECIALIZADOS.</t>
  </si>
  <si>
    <t>G47</t>
  </si>
  <si>
    <t>COMERCIO AL POR MENOR, EXCEPTO EL DE VEHÍCULOS AUTOMOTORES Y MOTOCICLETAS.</t>
  </si>
  <si>
    <t>G471</t>
  </si>
  <si>
    <t>VENTA AL POR MENOR EN COMERCIOS NO ESPECIALIZADOS.</t>
  </si>
  <si>
    <t>G472</t>
  </si>
  <si>
    <t>VENTA AL POR MENOR DE ALIMENTOS, BEBIDAS Y TABACO EN COMERCIOS ESPECIALIZADOS.</t>
  </si>
  <si>
    <t>G473</t>
  </si>
  <si>
    <t>VENTA AL POR MENOR DE COMBUSTIBLES PARA VEHÍCULOS AUTOMOTORES EN COMERCIOS ESPECIALIZADOS.</t>
  </si>
  <si>
    <t>G474</t>
  </si>
  <si>
    <t>VENTA AL POR MENOR DE EQUIPO DE INFORMACIÓN Y DE COMUNICACIONES EN COMERCIOS ESPECIALIZADOS.</t>
  </si>
  <si>
    <t>G475</t>
  </si>
  <si>
    <t>VENTA AL POR MENOR DE OTROS ENSERES DOMÉSTICOS EN COMERCIOS ESPECIALIZADOS.</t>
  </si>
  <si>
    <t>G476</t>
  </si>
  <si>
    <t>VENTA AL POR MENOR DE PRODUCTOS CULTURALES Y RECREATIVOS EN COMERCIOS ESPECIALIZADOS.</t>
  </si>
  <si>
    <t>G477</t>
  </si>
  <si>
    <t>VENTA AL POR MENOR DE OTROS PRODUCTOS EN COMERCIOS ESPECIALIZADOS.</t>
  </si>
  <si>
    <t>G478</t>
  </si>
  <si>
    <t>VENTA AL POR MENOR EN PUESTOS DE VENTA Y MERCADOS.</t>
  </si>
  <si>
    <t>G479</t>
  </si>
  <si>
    <t>VENTA AL POR MENOR NO REALIZADA EN COMERCIOS, PUESTOS DE VENTA O MERCADOS.</t>
  </si>
  <si>
    <t>H</t>
  </si>
  <si>
    <t>TRANSPORTE Y ALMACENAMIENTO.</t>
  </si>
  <si>
    <t>H49</t>
  </si>
  <si>
    <t>TRANSPORTE POR VÍA TERRESTRE Y POR TUBERÍAS.</t>
  </si>
  <si>
    <t>H491</t>
  </si>
  <si>
    <t>TRANSPORTE POR FERROCARRIL.</t>
  </si>
  <si>
    <t>H492</t>
  </si>
  <si>
    <t>OTRAS ACTIVIDADES DE TRANSPORTE POR VÍA TERRESTRE.</t>
  </si>
  <si>
    <t>H493</t>
  </si>
  <si>
    <t>TRANSPORTE POR TUBERÍAS.</t>
  </si>
  <si>
    <t>H50</t>
  </si>
  <si>
    <t>TRANSPORTE POR VÍA ACUÁTICA.</t>
  </si>
  <si>
    <t>H501</t>
  </si>
  <si>
    <t>TRANSPORTE MARÍTIMO Y DE CABOTAJE.</t>
  </si>
  <si>
    <t>H502</t>
  </si>
  <si>
    <t>TRANSPORTE POR VÍAS DE NAVEGACIÓN INTERIORES.</t>
  </si>
  <si>
    <t>H51</t>
  </si>
  <si>
    <t>TRANSPORTE POR VÍA AÉREA.</t>
  </si>
  <si>
    <t>H511</t>
  </si>
  <si>
    <t>TRANSPORTE DE PASAJEROS POR VÍA AÉREA.</t>
  </si>
  <si>
    <t>H512</t>
  </si>
  <si>
    <t>TRANSPORTE DE CARGA POR VÍA AÉREA.</t>
  </si>
  <si>
    <t>H52</t>
  </si>
  <si>
    <t>ALMACENAMIENTO Y ACTIVIDADES DE APOYO AL TRANSPORTE.</t>
  </si>
  <si>
    <t>H521</t>
  </si>
  <si>
    <t>ALMACENAMIENTO Y DEPÓSITO.</t>
  </si>
  <si>
    <t>H522</t>
  </si>
  <si>
    <t>ACTIVIDADES DE APOYO AL TRANSPORTE.</t>
  </si>
  <si>
    <t>H53</t>
  </si>
  <si>
    <t>ACTIVIDADES POSTALES Y DE MENSAJERÍA.</t>
  </si>
  <si>
    <t>H531</t>
  </si>
  <si>
    <t>H532</t>
  </si>
  <si>
    <t>ACTIVIDADES DE MENSAJERÍA.</t>
  </si>
  <si>
    <t>I</t>
  </si>
  <si>
    <t>ACTIVIDADES DE ALOJAMIENTO Y DE SERVICIO DE COMIDAS.</t>
  </si>
  <si>
    <t>I55</t>
  </si>
  <si>
    <t>ACTIVIDADES DE ALOJAMIENTO.</t>
  </si>
  <si>
    <t>I551</t>
  </si>
  <si>
    <t>ACTIVIDADES DE ALOJAMIENTO PARA ESTANCIAS CORTAS.</t>
  </si>
  <si>
    <t>I552</t>
  </si>
  <si>
    <t>ACTIVIDADES DE CAMPAMENTOS, PARQUES DE VEHÍCULOS DE RECREO Y PARQUES DE CARAVANAS.</t>
  </si>
  <si>
    <t>I559</t>
  </si>
  <si>
    <t>OTRAS ACTIVIDADES DE ALOJAMIENTO.</t>
  </si>
  <si>
    <t xml:space="preserve">43. ¿Utiliza algún software para la operación del negocio? </t>
  </si>
  <si>
    <t>I56</t>
  </si>
  <si>
    <t>6. Años en operación  (periodo de tiempo en el que el negocio opera activamente y puede ser distinto a años desde la fundación)</t>
  </si>
  <si>
    <t>SERVICIO DE ALIMENTO Y BEBIDA.</t>
  </si>
  <si>
    <t>I561</t>
  </si>
  <si>
    <t>ACTIVIDADES DE RESTAURANTES Y DE SERVICIO MÓVIL DE COMIDAS.</t>
  </si>
  <si>
    <t>I562</t>
  </si>
  <si>
    <t>SUMINISTRO DE COMIDAS POR ENCARGO Y OTRAS ACTIVIDADES DE SERVICIO DE COMIDAS.</t>
  </si>
  <si>
    <t>I563</t>
  </si>
  <si>
    <t>ACTIVIDADES DE SERVICIO DE BEBIDAS.</t>
  </si>
  <si>
    <t>23. ¿Cuántos productos fabrica o cuántos servicios entrega su negocio en promedio al mes?</t>
  </si>
  <si>
    <t>J</t>
  </si>
  <si>
    <t>INFORMACIÓN Y COMUNICACIÓN.</t>
  </si>
  <si>
    <t>J58</t>
  </si>
  <si>
    <t>ACTIVIDADES DE PUBLICACIÓN.</t>
  </si>
  <si>
    <t>J581</t>
  </si>
  <si>
    <t>PUBLICACIÓN DE LIBROS, PERIÓDICOS Y OTRAS ACTIVIDADES DE PUBLICACIÓN.</t>
  </si>
  <si>
    <t>J582</t>
  </si>
  <si>
    <t>PUBLICACIÓN DE PROGRAMAS INFORMÁTICOS.</t>
  </si>
  <si>
    <t>J59</t>
  </si>
  <si>
    <t>ACTIVIDADES DE PRODUCCIÓN DE PELÍCULAS CINEMATOGRÁFICAS, VÍDEOS Y PROGRAMAS DE TELEVISIÓN, GRABACIÓN DE SONIDO Y EDICIÓN DE MÚSICA.</t>
  </si>
  <si>
    <t>J591</t>
  </si>
  <si>
    <t>ACTIVIDADES DE PRODUCCIÓN DE PELÍCULAS CINEMATOGRÁFICAS, VÍDEOS Y PROGRAMAS DE TELEVISIÓN.</t>
  </si>
  <si>
    <t>J592</t>
  </si>
  <si>
    <t>ACTIVIDADES DE GRABACIÓN DE SONIDO Y EDICIÓN DE MÚSICA.</t>
  </si>
  <si>
    <t>J60</t>
  </si>
  <si>
    <t>ACTIVIDADES DE PROGRAMACIÓN Y TRANSMISIÓN.</t>
  </si>
  <si>
    <t>J601</t>
  </si>
  <si>
    <t>TRANSMISIONES DE RADIO.</t>
  </si>
  <si>
    <t>J602</t>
  </si>
  <si>
    <t>PROGRAMACIÓN Y TRANSMISIONES DE TELEVISIÓN.</t>
  </si>
  <si>
    <t>J61</t>
  </si>
  <si>
    <t>TELECOMUNICACIONES.</t>
  </si>
  <si>
    <t>J611</t>
  </si>
  <si>
    <t>ACTIVIDADES DE TELECOMUNICACIONES ALÁMBRICA.</t>
  </si>
  <si>
    <t>J612</t>
  </si>
  <si>
    <t>ACTIVIDADES DE TELECOMUNICACIONES INALÁMBRICAS.</t>
  </si>
  <si>
    <t>J613</t>
  </si>
  <si>
    <t>No utilizamos ningún software</t>
  </si>
  <si>
    <t>ACTIVIDADES DE TELECOMUNICACIONES POR SATÉLITE.</t>
  </si>
  <si>
    <t>J619</t>
  </si>
  <si>
    <t>OTRAS ACTIVIDADES DE TELECOMUNICACIONES.</t>
  </si>
  <si>
    <t>J62</t>
  </si>
  <si>
    <t>PROGRAMACIÓN INFORMÁTICA, CONSULTORÍA DE INFORMÁTICA Y ACTIVIDADES CONEXAS.</t>
  </si>
  <si>
    <t>J620</t>
  </si>
  <si>
    <t>ACTIVIDADES DE PROGRAMACIÓN INFORMÁTICA Y DE CONSULTORÍA DE INFORMÁTICA Y ACTIVIDADES CONEXAS.</t>
  </si>
  <si>
    <t>J63</t>
  </si>
  <si>
    <t>ACTIVIDADES DE SERVICIOS DE INFORMACIÓN.</t>
  </si>
  <si>
    <t>J631</t>
  </si>
  <si>
    <t>PROCESAMIENTO DE DATOS, HOSPEDAJE Y ACTIVIDADES CONEXAS; PORTALES WEB.</t>
  </si>
  <si>
    <t>J639</t>
  </si>
  <si>
    <t>OTRAS ACTIVIDADES DE SERVICIOS DE INFORMACIÓN.</t>
  </si>
  <si>
    <t>K</t>
  </si>
  <si>
    <t>ACTIVIDADES FINANCIERAS Y DE SEGUROS.</t>
  </si>
  <si>
    <t>K64</t>
  </si>
  <si>
    <t>ACTIVIDADES DE SERVICIOS FINANCIEROS, EXCEPTO LAS DE SEGUROS Y FONDOS DE PENSIONES.</t>
  </si>
  <si>
    <t>K641</t>
  </si>
  <si>
    <t>INTERMEDIACIÓN MONETARIA.</t>
  </si>
  <si>
    <t>K642</t>
  </si>
  <si>
    <t>ACTIVIDADES DE SOCIEDADES DE CARTERA.</t>
  </si>
  <si>
    <t>K643</t>
  </si>
  <si>
    <t>FONDOS Y SOCIEDADES DE INVERSIÓN Y ENTIDADES FINANCIERAS SIMILARES.</t>
  </si>
  <si>
    <t>K649</t>
  </si>
  <si>
    <t>OTRAS ACTIVIDADES DE SERVICIOS FINANCIEROS, EXCEPTO LAS DE SEGUROS Y FONDOS DE PENSIONES.</t>
  </si>
  <si>
    <t>K65</t>
  </si>
  <si>
    <t>SEGUROS, REASEGUROS Y FONDOS DE PENSIONES, EXCEPTO LOS PLANES DE SEGURIDAD SOCIAL DE AFILIACIÓN OBLIGATORIA.</t>
  </si>
  <si>
    <t>K651</t>
  </si>
  <si>
    <t>SEGUROS.</t>
  </si>
  <si>
    <t>K652</t>
  </si>
  <si>
    <t>REASEGUROS.</t>
  </si>
  <si>
    <t>K653</t>
  </si>
  <si>
    <t>FONDOS DE PENSIÓN.</t>
  </si>
  <si>
    <t>K66</t>
  </si>
  <si>
    <t>ACTIVIDADES AUXILIARES DE LAS ACTIVIDADES DE SERVICIOS FINANCIEROS.</t>
  </si>
  <si>
    <t>K661</t>
  </si>
  <si>
    <t>ACTIVIDADES AUXILIARES DE LAS ACTIVIDADES DE SERVICIOS FINANCIEROS, EXCEPTO LAS DE SEGUROS Y FONDOS DE PENSIONES.</t>
  </si>
  <si>
    <t>K662</t>
  </si>
  <si>
    <t>ACTIVIDADES AUXILIARES DE SEGUROS Y FONDOS DE PENSIONES.</t>
  </si>
  <si>
    <t>K663</t>
  </si>
  <si>
    <t>ACTIVIDADES DE GESTIÓN DE FONDOS.</t>
  </si>
  <si>
    <t>L</t>
  </si>
  <si>
    <t>ACTIVIDADES INMOBILIARIAS.</t>
  </si>
  <si>
    <t>L68</t>
  </si>
  <si>
    <t>L681</t>
  </si>
  <si>
    <t>ACTIVIDADES INMOBILIARIAS REALIZADAS CON BIENES PROPIOS O ARRENDADOS.</t>
  </si>
  <si>
    <t>L682</t>
  </si>
  <si>
    <t>ACTIVIDADES INMOBILIARIAS REALIZADAS A CAMBIO DE UNA RETRIBUCIÓN O POR CONTRATO.</t>
  </si>
  <si>
    <t xml:space="preserve">Utilizamos herramientas básicas </t>
  </si>
  <si>
    <t>M</t>
  </si>
  <si>
    <t>ACTIVIDADES PROFESIONALES, CIENTÍFICAS Y TÉCNICAS.</t>
  </si>
  <si>
    <t>M69</t>
  </si>
  <si>
    <t>ACTIVIDADES JURÍDICAS Y DE CONTABILIDAD.</t>
  </si>
  <si>
    <t>M691</t>
  </si>
  <si>
    <t>ACTIVIDADES JURÍDICAS.</t>
  </si>
  <si>
    <t>M692</t>
  </si>
  <si>
    <t>ACTIVIDADES DE CONTABILIDAD, TENEDURÍA DE LIBROS Y AUDITORIA; CONSULTORÍA FISCAL.</t>
  </si>
  <si>
    <t>M70</t>
  </si>
  <si>
    <t>ACTIVIDADES DE OFICINAS PRINCIPALES; ACTIVIDADES DE CONSULTORÍA DE GESTIÓN.</t>
  </si>
  <si>
    <t>M701</t>
  </si>
  <si>
    <t>ACTIVIDADES DE OFICINAS PRINCIPALES.</t>
  </si>
  <si>
    <t>M702</t>
  </si>
  <si>
    <t>ACTIVIDADES DE CONSULTORÍA DE GESTIÓN.</t>
  </si>
  <si>
    <t>M71</t>
  </si>
  <si>
    <t>ACTIVIDADES DE ARQUITECTURA E INGENIERÍA; ENSAYOS Y ANÁLISIS TÉCNICOS.</t>
  </si>
  <si>
    <t>M711</t>
  </si>
  <si>
    <t>ACTIVIDADES DE ARQUITECTURA E INGENIERÍA Y ACTIVIDADES CONEXAS DE CONSULTORÍA TÉCNICA.</t>
  </si>
  <si>
    <t>M712</t>
  </si>
  <si>
    <t>ENSAYOS Y ANÁLISIS TÉCNICOS.</t>
  </si>
  <si>
    <t xml:space="preserve">7. ¿Su negocio cuenta con registro legal  activo? </t>
  </si>
  <si>
    <t>M72</t>
  </si>
  <si>
    <t>INVESTIGACIÓN CIENTÍFICA Y DESARROLLO.</t>
  </si>
  <si>
    <t>M721</t>
  </si>
  <si>
    <t>INVESTIGACIONES Y DESARROLLO EXPERIMENTAL EN EL CAMPO DE LAS CIENCIAS NATURALES Y LA INGENIERÍA.</t>
  </si>
  <si>
    <t>M722</t>
  </si>
  <si>
    <t>INVESTIGACIONES Y DESARROLLO EXPERIMENTAL EN EL CAMPO DE LAS CIENCIAS SOCIALES Y LAS HUMANIDADES.</t>
  </si>
  <si>
    <t>M73</t>
  </si>
  <si>
    <t>PUBLICIDAD Y ESTUDIOS DE MERCADO.</t>
  </si>
  <si>
    <t>M731</t>
  </si>
  <si>
    <t>PUBLICIDAD.</t>
  </si>
  <si>
    <t>M732</t>
  </si>
  <si>
    <t>ESTUDIOS DE MERCADO Y ENCUESTAS DE OPINIÓN PÚBLICA.</t>
  </si>
  <si>
    <t>M74</t>
  </si>
  <si>
    <t>Utilizamos software especializado para tareas específicas</t>
  </si>
  <si>
    <t>OTRAS ACTIVIDADES PROFESIONALES, CIENTÍFICAS Y TÉCNICAS.</t>
  </si>
  <si>
    <t>M741</t>
  </si>
  <si>
    <t>ACTIVIDADES ESPECIALIZADAS DE DISEÑO.</t>
  </si>
  <si>
    <t>M742</t>
  </si>
  <si>
    <t>ACTIVIDADES DE FOTOGRAFÍA.</t>
  </si>
  <si>
    <t>M749</t>
  </si>
  <si>
    <t>OTRAS ACTIVIDADES PROFESIONALES, CIENTÍFICAS Y TÉCNICAS N.C.P.</t>
  </si>
  <si>
    <t>M75</t>
  </si>
  <si>
    <t>ACTIVIDADES VETERINARIAS.</t>
  </si>
  <si>
    <t>M750</t>
  </si>
  <si>
    <t>N</t>
  </si>
  <si>
    <t>ACTIVIDADES DE SERVICIOS ADMINISTRATIVOS Y DE APOYO.</t>
  </si>
  <si>
    <t>N77</t>
  </si>
  <si>
    <t>ACTIVIDADES DE ALQUILER Y ARRENDAMIENTO.</t>
  </si>
  <si>
    <t>N771</t>
  </si>
  <si>
    <t>ALQUILER DE VEHÍCULOS AUTOMOTORES.</t>
  </si>
  <si>
    <t>N772</t>
  </si>
  <si>
    <t>ALQUILER DE EFECTOS PERSONALES Y ARTÍCULOS DE USO DOMÉSTICO.</t>
  </si>
  <si>
    <t>N773</t>
  </si>
  <si>
    <t>ALQUILER DE OTROS TIPOS DE MAQUINARIA, EQUIPO Y BIENES TANGIBLES.</t>
  </si>
  <si>
    <t>24. En los últimos 3 meses, ¿su negocio ha introducido nuevos productos o servicios, o ha innovado en los existentes?</t>
  </si>
  <si>
    <t>N774</t>
  </si>
  <si>
    <t>ARRENDAMIENTO DE PROPIEDAD INTELECTUAL Y PRODUCTOS SIMILARES, EXCEPTO OBRAS PROTEGIDAS POR DERECHOS DE AUTOR.</t>
  </si>
  <si>
    <t>N78</t>
  </si>
  <si>
    <t>ACTIVIDADES DE EMPLEO.</t>
  </si>
  <si>
    <t>N781</t>
  </si>
  <si>
    <t>ACTIVIDADES DE AGENCIAS DE EMPLEO.</t>
  </si>
  <si>
    <t>Utilizamos un sistema integrado</t>
  </si>
  <si>
    <t>N782</t>
  </si>
  <si>
    <t>ACTIVIDADES DE AGENCIAS DE EMPLEO TEMPORAL.</t>
  </si>
  <si>
    <t>N783</t>
  </si>
  <si>
    <t>OTRAS ACTIVIDADES DE DOTACIÓN DE RECURSOS HUMANOS.</t>
  </si>
  <si>
    <t>N79</t>
  </si>
  <si>
    <t>ACTIVIDADES DE AGENCIAS DE VIAJES, OPERADORES TURÍSTICOS, SERVICIOS DE RESERVAS Y ACTIVIDADES CONEXAS.</t>
  </si>
  <si>
    <t>N791</t>
  </si>
  <si>
    <t>ACTIVIDADES DE AGENCIAS DE VIAJES Y OPERADORES TURÍSTICOS.</t>
  </si>
  <si>
    <t>N799</t>
  </si>
  <si>
    <t>OTROS SERVICIOS DE RESERVAS Y ACTIVIDADES CONEXAS.</t>
  </si>
  <si>
    <t>N80</t>
  </si>
  <si>
    <t>ACTIVIDADES DE SEGURIDAD E INVESTIGACIÓN.</t>
  </si>
  <si>
    <t>N801</t>
  </si>
  <si>
    <t>ACTIVIDADES DE SEGURIDAD PRIVADA.</t>
  </si>
  <si>
    <t>N802</t>
  </si>
  <si>
    <t>ACTIVIDADES DE SERVICIOS DE SISTEMAS DE SEGURIDAD.</t>
  </si>
  <si>
    <t>N803</t>
  </si>
  <si>
    <t>ACTIVIDADES DE INVESTIGACIÓN.</t>
  </si>
  <si>
    <t>N81</t>
  </si>
  <si>
    <t>ACTIVIDADES DE SERVICIOS A EDIFICIOS Y PAISAJISMO.</t>
  </si>
  <si>
    <t>N811</t>
  </si>
  <si>
    <t>ACTIVIDADES COMBINADAS DE APOYO A INSTALACIONES.</t>
  </si>
  <si>
    <t>Utilizamos un ERP empresarial avanzado</t>
  </si>
  <si>
    <t>N812</t>
  </si>
  <si>
    <t>ACTIVIDADES DE LIMPIEZA.</t>
  </si>
  <si>
    <t>N813</t>
  </si>
  <si>
    <t>ACTIVIDADES DE PAISAJISMO Y SERVICIOS DE MANTENIMIENTO CONEXOS.</t>
  </si>
  <si>
    <t>N82</t>
  </si>
  <si>
    <t>ACTIVIDADES ADMINISTRATIVAS Y DE APOYO DE OFICINA Y OTRAS ACTIVIDADES DE APOYO A LAS EMPRESAS.</t>
  </si>
  <si>
    <t>N821</t>
  </si>
  <si>
    <t>ACTIVIDADES ADMINISTRATIVAS Y DE APOYO DE OFICINA.</t>
  </si>
  <si>
    <t>N822</t>
  </si>
  <si>
    <t>ACTIVIDADES DE CENTROS DE LLAMADAS.</t>
  </si>
  <si>
    <t>N823</t>
  </si>
  <si>
    <t>ORGANIZACIÓN DE CONVENCIONES Y EXPOSICIONES COMERCIALES.</t>
  </si>
  <si>
    <t>N829</t>
  </si>
  <si>
    <t>ACTIVIDADES DE SERVICIOS DE APOYO A LAS EMPRESAS N.C.P.</t>
  </si>
  <si>
    <t>O</t>
  </si>
  <si>
    <t>ADMINISTRACIÓN PÚBLICA Y DEFENSA; PLANES DE SEGURIDAD SOCIAL DE AFILIACIÓN OBLIGATORIA.</t>
  </si>
  <si>
    <t>O84</t>
  </si>
  <si>
    <t>O841</t>
  </si>
  <si>
    <t>ADMINISTRACIÓN DEL ESTADO Y APLICACIÓN DE LA POLÍTICA ECONÓMICA Y SOCIAL DE LA COMUNIDAD.</t>
  </si>
  <si>
    <t>O842</t>
  </si>
  <si>
    <t>PRESTACIÓN DE SERVICIOS A LA COMUNIDAD EN GENERAL.</t>
  </si>
  <si>
    <t>O843</t>
  </si>
  <si>
    <t>ACTIVIDADES DE PLANES DE SEGURIDAD SOCIAL DE AFILIACIÓN OBLIGATORIA.</t>
  </si>
  <si>
    <t>P</t>
  </si>
  <si>
    <t>ENSEÑANZA.</t>
  </si>
  <si>
    <t>P85</t>
  </si>
  <si>
    <t>P851</t>
  </si>
  <si>
    <t>ENSEÑANZA PREPRIMARIA Y PRIMARIA.</t>
  </si>
  <si>
    <t>P852</t>
  </si>
  <si>
    <t>ENSEÑANZA SECUNDARIA.</t>
  </si>
  <si>
    <t>P853</t>
  </si>
  <si>
    <t>ENSEÑANZA SUPERIOR.</t>
  </si>
  <si>
    <t>P854</t>
  </si>
  <si>
    <t>OTROS TIPOS DE ENSEÑANZA.</t>
  </si>
  <si>
    <t>P855</t>
  </si>
  <si>
    <t>ACTIVIDADES DE APOYO A LA ENSEÑANZA.</t>
  </si>
  <si>
    <t>Q</t>
  </si>
  <si>
    <t>ACTIVIDADES DE ATENCIÓN DE LA SALUD HUMANA Y DE ASISTENCIA SOCIAL.</t>
  </si>
  <si>
    <t>Q86</t>
  </si>
  <si>
    <t>ACTIVIDADES DE ATENCIÓN DE LA SALUD HUMANA.</t>
  </si>
  <si>
    <t>Q861</t>
  </si>
  <si>
    <t>ACTIVIDADES DE HOSPITALES Y CLÍNICAS.</t>
  </si>
  <si>
    <t>Q862</t>
  </si>
  <si>
    <t>ACTIVIDADES DE MÉDICOS Y ODONTÓLOGOS.</t>
  </si>
  <si>
    <t>Q869</t>
  </si>
  <si>
    <t>OTRAS ACTIVIDADES DE ATENCIÓN DE LA SALUD HUMANA.</t>
  </si>
  <si>
    <t>Q87</t>
  </si>
  <si>
    <t>ACTIVIDADES DE ATENCIÓN EN INSTITUCIONES.</t>
  </si>
  <si>
    <t>Q871</t>
  </si>
  <si>
    <t>ACTIVIDADES DE ATENCIÓN DE ENFERMERÍA EN INSTITUCIONES.</t>
  </si>
  <si>
    <t>Q872</t>
  </si>
  <si>
    <t>ACTIVIDADES DE ATENCIÓN EN INSTITUCIONES PARA PERSONAS CON RETRASO MENTAL, ENFERMOS MENTALES Y TOXICÓMANOS.</t>
  </si>
  <si>
    <t>Q873</t>
  </si>
  <si>
    <t>ACTIVIDADES DE ATENCIÓN EN INSTITUCIONES PARA PERSONAS DE EDAD Y PERSONAS CON DISCAPACIDAD.</t>
  </si>
  <si>
    <t>Q879</t>
  </si>
  <si>
    <t>OTRAS ACTIVIDADES DE ATENCIÓN EN INSTITUCIONES.</t>
  </si>
  <si>
    <t>Q88</t>
  </si>
  <si>
    <t>ACTIVIDADES DE ASISTENCIA SOCIAL SIN ALOJAMIENTO.</t>
  </si>
  <si>
    <t>Q881</t>
  </si>
  <si>
    <t>ACTIVIDADES DE ASISTENCIA SOCIAL SIN ALOJAMIENTO PARA PERSONAS DE EDAD Y PERSONAS CON DISCAPACIDAD.</t>
  </si>
  <si>
    <t>Q889</t>
  </si>
  <si>
    <t>OTRAS ACTIVIDADES DE ASISTENCIA SOCIAL SIN ALOJAMIENTO.</t>
  </si>
  <si>
    <t>R</t>
  </si>
  <si>
    <t>ARTES, ENTRETENIMIENTO Y RECREACIÓN.</t>
  </si>
  <si>
    <t>R90</t>
  </si>
  <si>
    <t>ACTIVIDADES CREATIVAS, ARTÍSTICAS Y DE ENTRETENIMIENTO.</t>
  </si>
  <si>
    <t>R900</t>
  </si>
  <si>
    <t>R91</t>
  </si>
  <si>
    <t>ACTIVIDADES DE BIBLIOTECAS, ARCHIVOS, MUSEOS Y OTRAS ACTIVIDADES CULTURALES.</t>
  </si>
  <si>
    <t>R910</t>
  </si>
  <si>
    <t>R92</t>
  </si>
  <si>
    <t>ACTIVIDADES DE JUEGOS DE AZAR Y APUESTAS.</t>
  </si>
  <si>
    <t>R920</t>
  </si>
  <si>
    <t>R93</t>
  </si>
  <si>
    <t>ACTIVIDADES DEPORTIVAS, DE ESPARCIMIENTO Y RECREATIVAS.</t>
  </si>
  <si>
    <t>R931</t>
  </si>
  <si>
    <t>ACTIVIDADES DEPORTIVAS.</t>
  </si>
  <si>
    <t>R932</t>
  </si>
  <si>
    <t>OTRAS ACTIVIDADES DE ESPARCIMIENTO Y RECREATIVAS.</t>
  </si>
  <si>
    <t>S</t>
  </si>
  <si>
    <t>OTRAS ACTIVIDADES DE SERVICIOS.</t>
  </si>
  <si>
    <t>S94</t>
  </si>
  <si>
    <t>ACTIVIDADES DE ASOCIACIONES.</t>
  </si>
  <si>
    <t>S941</t>
  </si>
  <si>
    <t>ACTIVIDADES DE ASOCIACIONES EMPRESARIALES, PROFESIONALES Y DE EMPLEADORES.</t>
  </si>
  <si>
    <t>S942</t>
  </si>
  <si>
    <t>ACTIVIDADES DE SINDICATOS.</t>
  </si>
  <si>
    <t>S949</t>
  </si>
  <si>
    <t>ACTIVIDADES DE OTRAS ASOCIACIONES.</t>
  </si>
  <si>
    <t>S95</t>
  </si>
  <si>
    <t>REPARACIÓN DE COMPUTADORES Y DE EFECTOS PERSONALES Y ENSERES DOMÉSTICOS.</t>
  </si>
  <si>
    <t>S951</t>
  </si>
  <si>
    <t>REPARACIÓN DE COMPUTADORAS Y EQUIPO DE COMUNICACIONES.</t>
  </si>
  <si>
    <t>S952</t>
  </si>
  <si>
    <t>REPARACIÓN DE EFECTOS PERSONALES Y ENSERES DOMÉSTICOS.</t>
  </si>
  <si>
    <t>S96</t>
  </si>
  <si>
    <t>OTRAS ACTIVIDADES DE SERVICIOS PERSONALES.</t>
  </si>
  <si>
    <t>S960</t>
  </si>
  <si>
    <t>T</t>
  </si>
  <si>
    <t>ACTIVIDADES DE LOS HOGARES COMO EMPLEADORES; ACTIVIDADES NO DIFERENCIADAS DE LOS HOGARES COMO PRODUCTORES DE BIENES Y SERVICIOS PARA USO PROPIO.</t>
  </si>
  <si>
    <t>T97</t>
  </si>
  <si>
    <t>ACTIVIDADES DE LOS HOGARES COMO EMPLEADORES DE PERSONAL DOMÉSTICO.</t>
  </si>
  <si>
    <t>T970</t>
  </si>
  <si>
    <t>T98</t>
  </si>
  <si>
    <t>ACTIVIDADES NO DIFERENCIADAS DE LOS HOGARES COMO PRODUCTORES DE BIENES Y SERVICIOS PARA USO PROPIO.</t>
  </si>
  <si>
    <t>T981</t>
  </si>
  <si>
    <t>T982</t>
  </si>
  <si>
    <t>ACTIVIDADES NO DIFERENCIADAS DE LOS HOGARES COMO PRODUCTORES DE SERVICIOS PARA USO PROPIO.</t>
  </si>
  <si>
    <t>U</t>
  </si>
  <si>
    <t>ACTIVIDADES DE ORGANIZACIONES Y ÓRGANOS EXTRATERRITORIALES.</t>
  </si>
  <si>
    <t>U99</t>
  </si>
  <si>
    <t>U990</t>
  </si>
  <si>
    <t>44. ¿Con qué frecuencia utiliza el negocio medios de pagos digitales?</t>
  </si>
  <si>
    <t>8. ¿Su negocio cumple con las obligaciones tributarias correspondientes?</t>
  </si>
  <si>
    <t xml:space="preserve">25. ¿En promedio, cuántos clientes finales (personas) atiende su negocio al mes?
</t>
  </si>
  <si>
    <t xml:space="preserve">No utilizamos </t>
  </si>
  <si>
    <t>NIVEL 1</t>
  </si>
  <si>
    <t>A - AGRICULTURA, GANADERÍA, SILVICULTURA Y PESCA.</t>
  </si>
  <si>
    <t>B - EXPLOTACIÓN DE MINAS Y CANTERAS.</t>
  </si>
  <si>
    <t>C - INDUSTRIAS MANUFACTURERAS.</t>
  </si>
  <si>
    <t>D - SUMINISTRO DE ELECTRICIDAD, GAS, VAPOR Y AIRE ACONDICIONADO.</t>
  </si>
  <si>
    <t>E - DISTRIBUCIÓN DE AGUA; ALCANTARILLADO, GESTIÓN DE DESECHOS Y ACTIVIDADES DE SANEAMIENTO.</t>
  </si>
  <si>
    <t>F - CONSTRUCCIÓN.</t>
  </si>
  <si>
    <t xml:space="preserve">Utilizamos pagos digitales </t>
  </si>
  <si>
    <t>G - COMERCIO AL POR MAYOR Y AL POR MENOR; REPARACIÓN DE VEHÍCULOS AUTOMOTORES Y MOTOCICLETAS.</t>
  </si>
  <si>
    <t>H - TRANSPORTE Y ALMACENAMIENTO.</t>
  </si>
  <si>
    <t>I - ACTIVIDADES DE ALOJAMIENTO Y DE SERVICIO DE COMIDAS.</t>
  </si>
  <si>
    <t>J - INFORMACIÓN Y COMUNICACIÓN.</t>
  </si>
  <si>
    <t>K - ACTIVIDADES FINANCIERAS Y DE SEGUROS.</t>
  </si>
  <si>
    <t>L - ACTIVIDADES INMOBILIARIAS.</t>
  </si>
  <si>
    <t>M - ACTIVIDADES PROFESIONALES, CIENTÍFICAS Y TÉCNICAS.</t>
  </si>
  <si>
    <t>N - ACTIVIDADES DE SERVICIOS ADMINISTRATIVOS Y DE APOYO.</t>
  </si>
  <si>
    <t>O - ADMINISTRACIÓN PÚBLICA Y DEFENSA; PLANES DE SEGURIDAD SOCIAL DE AFILIACIÓN OBLIGATORIA.</t>
  </si>
  <si>
    <t>P - ENSEÑANZA.</t>
  </si>
  <si>
    <t>Q - ACTIVIDADES DE ATENCIÓN DE LA SALUD HUMANA Y DE ASISTENCIA SOCIAL.</t>
  </si>
  <si>
    <t>R - ARTES, ENTRETENIMIENTO Y RECREACIÓN.</t>
  </si>
  <si>
    <t>S - OTRAS ACTIVIDADES DE SERVICIOS.</t>
  </si>
  <si>
    <t>T - ACTIVIDADES DE LOS HOGARES COMO EMPLEADORES; ACTIVIDADES NO DIFERENCIADAS DE LOS HOGARES COMO PRODUCTORES DE BIENES Y SERVICIOS PARA USO PROPIO.</t>
  </si>
  <si>
    <t>U - ACTIVIDADES DE ORGANIZACIONES Y ÓRGANOS EXTRATERRITORIALES.</t>
  </si>
  <si>
    <t>NIVEL 2</t>
  </si>
  <si>
    <t>A02 - SILVICULTURA Y EXTRACCIÓN DE MADERA.</t>
  </si>
  <si>
    <t>A03 - PESCA Y ACUICULTURA.</t>
  </si>
  <si>
    <t>B05 - EXTRACCIÓN DE CARBÓN DE PIEDRA Y LIGNITO.</t>
  </si>
  <si>
    <t>B06 - EXTRACCIÓN DE PETRÓLEO CRUDO Y GAS NATURAL.</t>
  </si>
  <si>
    <t>B07 - EXTRACCIÓN DE MINERALES METALÍFEROS.</t>
  </si>
  <si>
    <t>B08 - EXPLOTACIÓN DE OTRAS MINAS Y CANTERAS.</t>
  </si>
  <si>
    <t>B09 - ACTIVIDADES DE SERVICIOS DE APOYO PARA LA EXPLOTACIÓN DE MINAS Y CANTERAS.</t>
  </si>
  <si>
    <t>C10 - ELABORACIÓN DE PRODUCTOS ALIMENTICIOS.</t>
  </si>
  <si>
    <t>C11 - ELABORACIÓN DE BEBIDAS.</t>
  </si>
  <si>
    <t>C12 - ELABORACIÓN DE PRODUCTOS DE TABACO.</t>
  </si>
  <si>
    <t>C13 - FABRICACIÓN DE PRODUCTOS TEXTILES.</t>
  </si>
  <si>
    <t>C14 - FABRICACIÓN DE PRENDAS DE VESTIR.</t>
  </si>
  <si>
    <t>C15 - FABRICACIÓN DE CUEROS Y PRODUCTOS CONEXOS.</t>
  </si>
  <si>
    <t>C16 - PRODUCCIÓN DE MADERA Y FABRICACIÓN DE PRODUCTOS DE MADERA Y CORCHO, EXCEPTO MUEBLES; FABRICACIÓN DE ARTÍCULOS DE PAJA Y DE MATERIALES TRENZABLES.</t>
  </si>
  <si>
    <t>C17 - FABRICACIÓN DE PAPEL Y DE PRODUCTOS DE PAPEL.</t>
  </si>
  <si>
    <t>C18 - IMPRESIÓN Y REPRODUCCIÓN DE GRABACIONES.</t>
  </si>
  <si>
    <t>C19 - FABRICACIÓN DE COQUE Y DE PRODUCTOS DE LA REFINACIÓN DEL PETRÓLEO.</t>
  </si>
  <si>
    <t>C20 - FABRICACIÓN DE SUBSTANCIAS Y PRODUCTOS QUÍMICOS.</t>
  </si>
  <si>
    <t>C21 - FABRICACIÓN DE PRODUCTOS FARMACÉUTICOS, SUSTANCIAS QUÍMICAS MEDICINALES Y PRODUCTOS BOTÁNICOS DE USO FARMACÉUTICO.</t>
  </si>
  <si>
    <t>C22 - FABRICACIÓN DE PRODUCTOS DE CAUCHO Y PLÁSTICO.</t>
  </si>
  <si>
    <t>C23 - FABRICACIÓN DE OTROS PRODUCTOS MINERALES NO METÁLICOS.</t>
  </si>
  <si>
    <t>C24 - FABRICACIÓN DE METALES COMUNES.</t>
  </si>
  <si>
    <t>C25 - FABRICACIÓN DE PRODUCTOS ELABORADOS DE METAL, EXCEPTO MAQUINARIA Y EQUIPO.</t>
  </si>
  <si>
    <t>C26 - FABRICACIÓN DE PRODUCTOS DE INFORMÁTICA, ELECTRÓNICA Y ÓPTICA.</t>
  </si>
  <si>
    <t>C27 - FABRICACIÓN DE EQUIPO ELÉCTRICO.</t>
  </si>
  <si>
    <t>C28 - FABRICACIÓN DE MAQUINARIA Y EQUIPO N.C.P.</t>
  </si>
  <si>
    <t>C29 - FABRICACIÓN DE VEHÍCULOS AUTOMOTORES, REMOLQUES Y SEMIRREMOLQUES.</t>
  </si>
  <si>
    <t>C30 - FABRICACIÓN DE OTROS TIPOS DE EQUIPOS DE TRANSPORTE.</t>
  </si>
  <si>
    <t>C31 - FABRICACIÓN DE MUEBLES.</t>
  </si>
  <si>
    <t>C32 - OTRAS INDUSTRIAS MANUFACTURERAS.</t>
  </si>
  <si>
    <t>C33 - REPARACIÓN E INSTALACIÓN DE MAQUINARIA Y EQUIPO.</t>
  </si>
  <si>
    <t>D35 - SUMINISTRO DE ELECTRICIDAD, GAS, VAPOR Y AIRE ACONDICIONADO.</t>
  </si>
  <si>
    <t>E36 - CAPTACIÓN, TRATAMIENTO Y DISTRIBUCIÓN DE AGUA.</t>
  </si>
  <si>
    <t>E37 - EVACUACIÓN DE AGUAS RESIDUALES.</t>
  </si>
  <si>
    <t>E38 - RECOLECCIÓN, TRATAMIENTO Y ELIMINACIÓN DE DESECHOS, RECUPERACIÓN DE MATERIALES.</t>
  </si>
  <si>
    <t>E39 - ACTIVIDADES DE DESCONTAMINACIÓN Y OTROS SERVICIOS DE  GESTIÓN DE DESECHOS.</t>
  </si>
  <si>
    <t>F41 - CONSTRUCCIÓN DE EDIFICIOS.</t>
  </si>
  <si>
    <t>F42 - OBRAS DE INGENIERÍA CIVIL.</t>
  </si>
  <si>
    <t>F43 - ACTIVIDADES ESPECIALIZADAS DE LA CONSTRUCCIÓN.</t>
  </si>
  <si>
    <t>G45 - COMERCIO Y REPARACIÓN DE VEHÍCULOS AUTOMOTORES Y MOTOCICLETAS.</t>
  </si>
  <si>
    <t>G46 - COMERCIO AL POR MAYOR, EXCEPTO EL DE VEHÍCULOS AUTOMOTORES Y MOTOCICLETAS.</t>
  </si>
  <si>
    <t>G47 - COMERCIO AL POR MENOR, EXCEPTO EL DE VEHÍCULOS AUTOMOTORES Y MOTOCICLETAS.</t>
  </si>
  <si>
    <t>H49 - TRANSPORTE POR VÍA TERRESTRE Y POR TUBERÍAS.</t>
  </si>
  <si>
    <t>H50 - TRANSPORTE POR VÍA ACUÁTICA.</t>
  </si>
  <si>
    <t>H51 - TRANSPORTE POR VÍA AÉREA.</t>
  </si>
  <si>
    <t>H52 - ALMACENAMIENTO Y ACTIVIDADES DE APOYO AL TRANSPORTE.</t>
  </si>
  <si>
    <t>H53 - ACTIVIDADES POSTALES Y DE MENSAJERÍA.</t>
  </si>
  <si>
    <t>I55 - ACTIVIDADES DE ALOJAMIENTO.</t>
  </si>
  <si>
    <t>I56 - SERVICIO DE ALIMENTO Y BEBIDA.</t>
  </si>
  <si>
    <t>J58 - ACTIVIDADES DE PUBLICACIÓN.</t>
  </si>
  <si>
    <t>J59 - ACTIVIDADES DE PRODUCCIÓN DE PELÍCULAS CINEMATOGRÁFICAS, VÍDEOS Y PROGRAMAS DE TELEVISIÓN, GRABACIÓN DE SONIDO Y EDICIÓN DE MÚSICA.</t>
  </si>
  <si>
    <t>J60 - ACTIVIDADES DE PROGRAMACIÓN Y TRANSMISIÓN.</t>
  </si>
  <si>
    <t>J61 - TELECOMUNICACIONES.</t>
  </si>
  <si>
    <t>J62 - PROGRAMACIÓN INFORMÁTICA, CONSULTORÍA DE INFORMÁTICA Y ACTIVIDADES CONEXAS.</t>
  </si>
  <si>
    <t>J63 - ACTIVIDADES DE SERVICIOS DE INFORMACIÓN.</t>
  </si>
  <si>
    <t>K64 - ACTIVIDADES DE SERVICIOS FINANCIEROS, EXCEPTO LAS DE SEGUROS Y FONDOS DE PENSIONES.</t>
  </si>
  <si>
    <t>K65 - SEGUROS, REASEGUROS Y FONDOS DE PENSIONES, EXCEPTO LOS PLANES DE SEGURIDAD SOCIAL DE AFILIACIÓN OBLIGATORIA.</t>
  </si>
  <si>
    <t>K66 - ACTIVIDADES AUXILIARES DE LAS ACTIVIDADES DE SERVICIOS FINANCIEROS.</t>
  </si>
  <si>
    <t>L68 - ACTIVIDADES INMOBILIARIAS.</t>
  </si>
  <si>
    <t>M69 - ACTIVIDADES JURÍDICAS Y DE CONTABILIDAD.</t>
  </si>
  <si>
    <t>M70 - ACTIVIDADES DE OFICINAS PRINCIPALES; ACTIVIDADES DE CONSULTORÍA DE GESTIÓN.</t>
  </si>
  <si>
    <t>M71 - ACTIVIDADES DE ARQUITECTURA E INGENIERÍA; ENSAYOS Y ANÁLISIS TÉCNICOS.</t>
  </si>
  <si>
    <t>M72 - INVESTIGACIÓN CIENTÍFICA Y DESARROLLO.</t>
  </si>
  <si>
    <t>M73 - PUBLICIDAD Y ESTUDIOS DE MERCADO.</t>
  </si>
  <si>
    <t>M74 - OTRAS ACTIVIDADES PROFESIONALES, CIENTÍFICAS Y TÉCNICAS.</t>
  </si>
  <si>
    <t>M75 - ACTIVIDADES VETERINARIAS.</t>
  </si>
  <si>
    <t>N77 - ACTIVIDADES DE ALQUILER Y ARRENDAMIENTO.</t>
  </si>
  <si>
    <t>N78 - ACTIVIDADES DE EMPLEO.</t>
  </si>
  <si>
    <t>N79 - ACTIVIDADES DE AGENCIAS DE VIAJES, OPERADORES TURÍSTICOS, SERVICIOS DE RESERVAS Y ACTIVIDADES CONEXAS.</t>
  </si>
  <si>
    <t>N80 - ACTIVIDADES DE SEGURIDAD E INVESTIGACIÓN.</t>
  </si>
  <si>
    <t>N81 - ACTIVIDADES DE SERVICIOS A EDIFICIOS Y PAISAJISMO.</t>
  </si>
  <si>
    <t>N82 - ACTIVIDADES ADMINISTRATIVAS Y DE APOYO DE OFICINA Y OTRAS ACTIVIDADES DE APOYO A LAS EMPRESAS.</t>
  </si>
  <si>
    <t>O84 - ADMINISTRACIÓN PÚBLICA Y DEFENSA; PLANES DE SEGURIDAD SOCIAL DE AFILIACIÓN OBLIGATORIA.</t>
  </si>
  <si>
    <t>P85 - ENSEÑANZA.</t>
  </si>
  <si>
    <t>Q86 - ACTIVIDADES DE ATENCIÓN DE LA SALUD HUMANA.</t>
  </si>
  <si>
    <t>Q87 - ACTIVIDADES DE ATENCIÓN EN INSTITUCIONES.</t>
  </si>
  <si>
    <t>Q88 - ACTIVIDADES DE ASISTENCIA SOCIAL SIN ALOJAMIENTO.</t>
  </si>
  <si>
    <t>R90 - ACTIVIDADES CREATIVAS, ARTÍSTICAS Y DE ENTRETENIMIENTO.</t>
  </si>
  <si>
    <t>R91 - ACTIVIDADES DE BIBLIOTECAS, ARCHIVOS, MUSEOS Y OTRAS ACTIVIDADES CULTURALES.</t>
  </si>
  <si>
    <t>R92 - ACTIVIDADES DE JUEGOS DE AZAR Y APUESTAS.</t>
  </si>
  <si>
    <t>R93 - ACTIVIDADES DEPORTIVAS, DE ESPARCIMIENTO Y RECREATIVAS.</t>
  </si>
  <si>
    <t>S94 - ACTIVIDADES DE ASOCIACIONES.</t>
  </si>
  <si>
    <t>S95 - REPARACIÓN DE COMPUTADORES Y DE EFECTOS PERSONALES Y ENSERES DOMÉSTICOS.</t>
  </si>
  <si>
    <t>S96 - OTRAS ACTIVIDADES DE SERVICIOS PERSONALES.</t>
  </si>
  <si>
    <t>T97 - ACTIVIDADES DE LOS HOGARES COMO EMPLEADORES DE PERSONAL DOMÉSTICO.</t>
  </si>
  <si>
    <t>T98 - ACTIVIDADES NO DIFERENCIADAS DE LOS HOGARES COMO PRODUCTORES DE BIENES Y SERVICIOS PARA USO PROPIO.</t>
  </si>
  <si>
    <t>U99 - ACTIVIDADES DE ORGANIZACIONES Y ÓRGANOS EXTRATERRITORIALES.</t>
  </si>
  <si>
    <t>NIVEL 3</t>
  </si>
  <si>
    <t>A011 - CULTIVO DE PLANTAS NO PERENNES.</t>
  </si>
  <si>
    <t>A012 - CULTIVO DE PLANTAS PERENNES.</t>
  </si>
  <si>
    <t>A013 - PROPAGACIÓN DE PLANTAS.</t>
  </si>
  <si>
    <t>A015 - CULTIVO DE PRODUCTOS AGRÍCOLAS EN COMBINACIÓN CON LA CRÍA DE ANIMALES (EXPLOTACIÓN MIXTA).</t>
  </si>
  <si>
    <t>A016 - ACTIVIDADES DE APOYO A LA AGRICULTURA Y LA GANADERÍA Y ACTIVIDADES POSCOSECHA.</t>
  </si>
  <si>
    <t>A017 - CAZA ORDINARIA, MEDIANTE TRAMPAS Y ACTIVIDADES DE SERVICIOS CONEXAS.</t>
  </si>
  <si>
    <t>A021 - SILVICULTURA Y OTRAS ACTIVIDADES FORESTALES.</t>
  </si>
  <si>
    <t>A022 - EXTRACCIÓN DE MADERA.</t>
  </si>
  <si>
    <t>A023 - RECOLECCIÓN DE PRODUCTOS FORESTALES DISTINTOS DE LA MADERA.</t>
  </si>
  <si>
    <t>A024 - SERVICIOS DE APOYO A LA SILVICULTURA.</t>
  </si>
  <si>
    <t>A031 - PESCA.</t>
  </si>
  <si>
    <t>A032 - ACUICULTURA.</t>
  </si>
  <si>
    <t>B051 - EXTRACCIÓN DE CARBÓN DE PIEDRA.</t>
  </si>
  <si>
    <t>B052 - EXTRACCIÓN DE LIGNITO.</t>
  </si>
  <si>
    <t>B061 - EXTRACCIÓN DE PETRÓLEO CRUDO.</t>
  </si>
  <si>
    <t>B062 - EXTRACCIÓN DE GAS NATURAL.</t>
  </si>
  <si>
    <t xml:space="preserve">9. ¿Su negocio participa en redes, plataformas o espacios que fomenten alianzas estratégicas y colaboración con otras organizaciones? </t>
  </si>
  <si>
    <t>B071 - EXTRACCIÓN DE MINERALES DE HIERRO.</t>
  </si>
  <si>
    <t>B072 - EXTRACCIÓN DE MINERALES METALÍFEROS NO FERROSOS.</t>
  </si>
  <si>
    <t>B081 - EXTRACCIÓN DE PIEDRA, ARENA Y ARCILLA.</t>
  </si>
  <si>
    <t>B089 - EXPLOTACIÓN DE MINAS Y CANTERAS N.C.P.</t>
  </si>
  <si>
    <t>B091 - ACTIVIDADES DE APOYO PARA LA EXTRACCIÓN DE PETRÓLEO Y GAS NATURAL.</t>
  </si>
  <si>
    <t>26. ¿En promedio, cuántos clientes comerciales (negocios u otras entidades registradas fiscalmente) atiende su negocio al mes?</t>
  </si>
  <si>
    <t>B099 - ACTIVIDADES DE APOYO PARA LA EXPLOTACIÓN DE OTRAS MINAS Y CANTERAS.</t>
  </si>
  <si>
    <t>C101 - ELABORACIÓN Y CONSERVACIÓN DE CARNE.</t>
  </si>
  <si>
    <t>C102 - ELABORACIÓN Y CONSERVACIÓN DE PESCADOS, CRUSTÁCEOS Y MOLUSCOS.</t>
  </si>
  <si>
    <t>C103 - ELABORACIÓN Y CONSERVACIÓN DE FRUTAS, LEGUMBRES Y HORTALIZAS.</t>
  </si>
  <si>
    <t>C104 - ELABORACIÓN DE ACEITES Y GRASAS DE ORIGEN VEGETAL Y ANIMAL.</t>
  </si>
  <si>
    <t>C105 - ELABORACIÓN DE PRODUCTOS LÁCTEOS.</t>
  </si>
  <si>
    <t>C106 - ELABORACIÓN DE PRODUCTOS DE MOLINERÍA, ALMIDONES Y PRODUCTOS DERIVADOS DEL ALMIDÓN.</t>
  </si>
  <si>
    <t>C107 - ELABORACIÓN DE OTROS PRODUCTOS ALIMENTICIOS.</t>
  </si>
  <si>
    <t>C108 - ELABORACIÓN DE ALIMENTOS PREPARADOS PARA ANIMALES.</t>
  </si>
  <si>
    <t>C110 - ELABORACIÓN DE BEBIDAS.</t>
  </si>
  <si>
    <t>C120 - ELABORACIÓN DE PRODUCTOS DE TABACO.</t>
  </si>
  <si>
    <t>C131 - HILATURA, TEJEDURA Y ACABADOS DE PRODUCTOS TEXTILES.</t>
  </si>
  <si>
    <t>C139 - FABRICACIÓN DE OTROS PRODUCTOS TEXTILES.</t>
  </si>
  <si>
    <t>C141 - FABRICACIÓN DE PRENDAS DE VESTIR, EXCEPTO PRENDAS DE PIEL.</t>
  </si>
  <si>
    <t>C142 - FABRICACIÓN DE ARTÍCULOS DE PIEL.</t>
  </si>
  <si>
    <t>C143 - FABRICACIÓN DE ARTÍCULOS DE PUNTO Y GANCHILLO.</t>
  </si>
  <si>
    <t>C151 - CURTIDO Y ADOBO DE CUEROS; FABRICACIÓN DE MALETAS, BOLSOS DE MANO Y ARTÍCULOS DE TALABARTERÍA Y GUARNICIONERÍA; ADOBO Y TEÑIDO DE PIELES.</t>
  </si>
  <si>
    <t>C152 - FABRICACIÓN DE CALZADO.</t>
  </si>
  <si>
    <t>C161 - ASERRADO Y ACEPILLADURA DE MADERA.</t>
  </si>
  <si>
    <t>C162 - FABRICACIÓN DE HOJAS DE MADERA PARA ENCHAPADO Y TABLEROS A BASE DE MADERA.</t>
  </si>
  <si>
    <t>C170 - FABRICACIÓN DE PAPEL Y DE PRODUCTOS DE PAPEL.</t>
  </si>
  <si>
    <t>C181 - IMPRESIÓN Y ACTIVIDADES DE SERVICIOS RELACIONADOS CON LA IMPRESIÓN.</t>
  </si>
  <si>
    <t>C182 - REPRODUCCIÓN DE GRABACIONES.</t>
  </si>
  <si>
    <t>C191 - FABRICACIÓN DE PRODUCTOS DE HORNO DE COQUE.</t>
  </si>
  <si>
    <t>C192 - FABRICACIÓN DE PRODUCTOS DE LA REFINACIÓN DEL PETRÓLEO.</t>
  </si>
  <si>
    <t>C201 - FABRICACIÓN DE SUSTANCIAS QUÍMICAS BÁSICAS, DE ABONOS Y COMPUESTOS DE NITRÓGENO Y DE PLÁSTICOS Y CAUCHO SINTÉTICO EN FORMAS PRIMARIAS.</t>
  </si>
  <si>
    <t>C202 - FABRICACIÓN DE OTROS PRODUCTOS QUÍMICOS.</t>
  </si>
  <si>
    <t>C203 - FABRICACIÓN DE FIBRAS ARTIFICIALES.</t>
  </si>
  <si>
    <t>VIII. Gestión del Riesgo de Desastres</t>
  </si>
  <si>
    <t>C210 - FABRICACIÓN DE PRODUCTOS FARMACÉUTICOS, SUSTANCIAS QUÍMICAS MEDICINALES Y PRODUCTOS BOTÁNICOS DE USO FARMACÉUTICO.</t>
  </si>
  <si>
    <t>C221 - FABRICACIÓN DE PRODUCTOS DE CAUCHO.</t>
  </si>
  <si>
    <t>C222 - FABRICACIÓN DE PRODUCTOS DE PLÁSTICO.</t>
  </si>
  <si>
    <t>C231 - FABRICACIÓN DE VIDRIO Y PRODUCTOS DE VIDRIO.</t>
  </si>
  <si>
    <t>C239 - FABRICACIÓN DE PRODUCTOS MINERALES NO METÁLICOS N.C.P.</t>
  </si>
  <si>
    <t>C241 - INDUSTRIAS BÁSICAS DE HIERRO Y ACERO.</t>
  </si>
  <si>
    <t>C242 - FABRICACIÓN DE PRODUCTOS PRIMARIOS DE METALES PRECIOSOS Y METALES NO FERROSOS.</t>
  </si>
  <si>
    <t>C243 - FUNDICIÓN DE METALES.</t>
  </si>
  <si>
    <t>C251 - FABRICACIÓN DE PRODUCTOS METÁLICOS PARA USO ESTRUCTURAL, TANQUES, DEPÓSITOS, RECIPIENTES DE METAL Y GENERADORES DE VAPOR.</t>
  </si>
  <si>
    <t>C252 - FABRICACIÓN DE ARMAS Y MUNICIONES.</t>
  </si>
  <si>
    <t>C259 - FABRICACIÓN DE OTROS PRODUCTOS ELABORADOS DE METAL, ACTIVIDADES DE TRABAJOS DE METALES.</t>
  </si>
  <si>
    <t>C261 - FABRICACIÓN DE COMPONENTES Y TABLEROS ELECTRÓNICOS.</t>
  </si>
  <si>
    <t>C262 - FABRICACIÓN DE ORDENADORES Y EQUIPO PERIFÉRICO.</t>
  </si>
  <si>
    <t>C263 - FABRICACIÓN DE EQUIPO DE COMUNICACIONES.</t>
  </si>
  <si>
    <t>C264 - FABRICACIÓN DE APARATOS ELECTRÓNICOS DE CONSUMO.</t>
  </si>
  <si>
    <t>C265 - FABRICACIÓN DE EQUIPOS DE MEDICIÓN, PRUEBA, NAVEGACIÓN, CONTROL Y DE RELOJES.</t>
  </si>
  <si>
    <t>C266 - FABRICACIÓN DE EQUIPO DE IRRADIACIÓN, Y EQUIPO ELECTRÓNICO DE USO MEDICO Y TERAPÉUTICO.</t>
  </si>
  <si>
    <t>C267 - FABRICACIÓN DE INSTRUMENTOS ÓPTICOS Y EQUIPO FOTOGRÁFICOS.</t>
  </si>
  <si>
    <t>C268 - FABRICACIÓN DE SOPORTES MAGNÉTICOS Y ÓPTICOS.</t>
  </si>
  <si>
    <t>C271 - FABRICACIÓN DE MOTORES, GENERADORES, TRANSFORMADORES ELÉCTRICOS Y APARATOS DE DISTRIBUCIÓN Y CONTROL DE LA ENERGÍA ELÉCTRICA.</t>
  </si>
  <si>
    <t>C272 - FABRICACIÓN DE PILAS, BATERÍAS Y ACUMULADORES.</t>
  </si>
  <si>
    <t>C273 - FABRICACIÓN DE CABLES Y DISPOSITIVOS DE CABLEADO.</t>
  </si>
  <si>
    <t>C274 - FABRICACIÓN DE EQUIPO ELÉCTRICO DE ILUMINACIÓN.</t>
  </si>
  <si>
    <t>C275 - FABRICACIÓN DE APARATOS DE USO DOMÉSTICO.</t>
  </si>
  <si>
    <t>C279 - FABRICACIÓN DE OTROS TIPOS DE EQUIPO ELÉCTRICO.</t>
  </si>
  <si>
    <t>C281 - FABRICACIÓN DE MOTORES Y TURBINAS, EXCEPTO MOTORES PARA AERONAVES, VEHÍCULOS AUTOMOTORES Y MOTOCICLETAS.</t>
  </si>
  <si>
    <t>C282 - FABRICACIÓN DE MAQUINARIA DE USO ESPECIAL.</t>
  </si>
  <si>
    <t>C291 - FABRICACIÓN DE VEHÍCULOS AUTOMOTORES.</t>
  </si>
  <si>
    <t>C292 - FABRICACIÓN DE CARROCERÍAS PARA VEHÍCULOS AUTOMOTORES; FABRICACIÓN DE REMOLQUES Y SEMIRREMOLQUES.</t>
  </si>
  <si>
    <t>C293 - FABRICACIÓN DE PARTES, PIEZAS Y ACCESORIOS PARA VEHÍCULOS AUTOMOTORES.</t>
  </si>
  <si>
    <t>C301 - CONSTRUCCIÓN DE BUQUES Y OTRAS EMBARCACIONES.</t>
  </si>
  <si>
    <t>C302 - FABRICACIÓN DE LOCOMOTORAS Y MATERIAL RODANTE.</t>
  </si>
  <si>
    <t>C303 - FABRICACIÓN DE AERONAVES Y NAVES ESPACIALES Y MAQUINARIA CONEXA.</t>
  </si>
  <si>
    <t>C304 - FABRICACIÓN DE VEHÍCULOS MILITARES DE COMBATE.</t>
  </si>
  <si>
    <t>C309 - FABRICACIÓN DE EQUIPO DE TRANSPORTE N.C.P.</t>
  </si>
  <si>
    <t>C310 - FABRICACIÓN DE MUEBLES.</t>
  </si>
  <si>
    <t>C321 - FABRICACIÓN DE JOYAS, BISUTERÍA Y ARTÍCULOS CONEXOS.</t>
  </si>
  <si>
    <t>C322 - FABRICACIÓN DE INSTRUMENTOS MUSICALES.</t>
  </si>
  <si>
    <t>C323 - FABRICACIÓN DE ARTÍCULOS DE DEPORTE.</t>
  </si>
  <si>
    <t>C324 - FABRICACIÓN DE JUEGOS Y JUGUETES.</t>
  </si>
  <si>
    <t>C325 - FABRICACIÓN DE INSTRUMENTOS Y MATERIALES MÉDICOS Y ODONTOLÓGICOS.</t>
  </si>
  <si>
    <t>C329 - OTRAS INDUSTRIAS MANUFACTURERAS N.C.P.</t>
  </si>
  <si>
    <t>C331  - REPARACIÓN DE PRODUCTOS ELABORADOS DE METAL, MAQUINARIA Y EQUIPO.</t>
  </si>
  <si>
    <t>C332 - INSTALACIÓN DE MAQUINARIA Y EQUIPO INDUSTRIALES.</t>
  </si>
  <si>
    <t>D351 - GENERACIÓN, TRANSMISIÓN Y DISTRIBUCIÓN DE ENERGÍA ELÉCTRICA.</t>
  </si>
  <si>
    <t>D352 - FABRICACIÓN DE GAS; DISTRIBUCIÓN DE COMBUSTIBLES GASEOSOS POR TUBERÍAS.</t>
  </si>
  <si>
    <t>D353 - SUMINISTRO DE VAPOR Y DE AIRE ACONDICIONADO.</t>
  </si>
  <si>
    <t>E360 - CAPTACIÓN, TRATAMIENTO Y DISTRIBUCIÓN DE AGUA.</t>
  </si>
  <si>
    <t>E370 - EVACUACIÓN DE AGUAS RESIDUALES.</t>
  </si>
  <si>
    <t>E381 - RECOLECCIÓN DE DESECHOS.</t>
  </si>
  <si>
    <t>E382 - TRATAMIENTO Y ELIMINACIÓN DE DESECHOS.</t>
  </si>
  <si>
    <t>E383 - RECUPERACIÓN DE MATERIALES.</t>
  </si>
  <si>
    <t>E390 - ACTIVIDADES DE DESCONTAMINACIÓN Y OTROS SERVICIOS DE  GESTIÓN DE DESECHOS.</t>
  </si>
  <si>
    <t>F410 - CONSTRUCCIÓN DE EDIFICIOS.</t>
  </si>
  <si>
    <t>F421 - CONSTRUCCIÓN DE CARRETERAS Y LÍNEAS DE FERROCARRIL.</t>
  </si>
  <si>
    <t>F422 - CONSTRUCCIÓN DE PROYECTOS DE SERVICIOS PÚBLICOS.</t>
  </si>
  <si>
    <t>F429 - CONSTRUCCIÓN DE OTRAS OBRAS DE INGENIERÍA CIVIL.</t>
  </si>
  <si>
    <t>F431 - DEMOLICIÓN Y PREPARACIÓN DEL TERRENO.</t>
  </si>
  <si>
    <t>F432 - INSTALACIONES ELÉCTRICAS Y DE FONTANERÍA Y OTRAS INSTALACIONES PARA OBRAS DE CONSTRUCCIÓN.</t>
  </si>
  <si>
    <t>F433 - TERMINACIÓN Y ACABADO DE EDIFICIOS.</t>
  </si>
  <si>
    <t>F439 - OTRAS ACTIVIDADES ESPECIALIZADAS DE CONSTRUCCIÓN.</t>
  </si>
  <si>
    <t>G451 - VENTA DE VEHÍCULOS AUTOMOTORES.</t>
  </si>
  <si>
    <t>G452 - MANTENIMIENTO Y REPARACIÓN DE VEHÍCULOS AUTOMOTORES.</t>
  </si>
  <si>
    <t>G453 - VENTA DE PARTES, PIEZAS Y ACCESORIOS PARA VEHÍCULOS AUTOMOTORES.</t>
  </si>
  <si>
    <t>G454 - VENTA, MANTENIMIENTO Y REPARACIÓN DE MOTOCICLETAS Y DE SUS PARTES, PIEZAS Y ACCESORIOS.</t>
  </si>
  <si>
    <t>G461 - VENTA AL POR MAYOR A CAMBIO DE UNA COMISIÓN O POR CONTRATO.</t>
  </si>
  <si>
    <t>G462 - VENTA AL POR MAYOR DE MATERIAS PRIMAS AGROPECUARIAS Y ANIMALES VIVOS.</t>
  </si>
  <si>
    <t>G463 - VENTA AL POR MAYOR DE ALIMENTOS, BEBIDAS Y TABACO.</t>
  </si>
  <si>
    <t>G464 - VENTA AL POR MAYOR DE ENSERES DOMÉSTICOS.</t>
  </si>
  <si>
    <t>G465 - VENTA AL POR MAYOR DE MAQUINARIAS EQUIPOS Y MATERIALES.</t>
  </si>
  <si>
    <t>G466 - OTRAS ACTIVIDADES DE VENTA AL POR MAYOR ESPECIALIZADA.</t>
  </si>
  <si>
    <t>G469 - VENTA AL POR MAYOR DE OTROS PRODUCTOS NO ESPECIALIZADOS.</t>
  </si>
  <si>
    <t>G471 - VENTA AL POR MENOR EN COMERCIOS NO ESPECIALIZADOS.</t>
  </si>
  <si>
    <t>G472 - VENTA AL POR MENOR DE ALIMENTOS, BEBIDAS Y TABACO EN COMERCIOS ESPECIALIZADOS.</t>
  </si>
  <si>
    <t>G473 - VENTA AL POR MENOR DE COMBUSTIBLES PARA VEHÍCULOS AUTOMOTORES EN COMERCIOS ESPECIALIZADOS.</t>
  </si>
  <si>
    <t>G474 - VENTA AL POR MENOR DE EQUIPO DE INFORMACIÓN Y DE COMUNICACIONES EN COMERCIOS ESPECIALIZADOS.</t>
  </si>
  <si>
    <t>G475 - VENTA AL POR MENOR DE OTROS ENSERES DOMÉSTICOS EN COMERCIOS ESPECIALIZADOS.</t>
  </si>
  <si>
    <t>G476 - VENTA AL POR MENOR DE PRODUCTOS CULTURALES Y RECREATIVOS EN COMERCIOS ESPECIALIZADOS.</t>
  </si>
  <si>
    <t>G477 - VENTA AL POR MENOR DE OTROS PRODUCTOS EN COMERCIOS ESPECIALIZADOS.</t>
  </si>
  <si>
    <t>G478 - VENTA AL POR MENOR EN PUESTOS DE VENTA Y MERCADOS.</t>
  </si>
  <si>
    <t>G479 - VENTA AL POR MENOR NO REALIZADA EN COMERCIOS, PUESTOS DE VENTA O MERCADOS.</t>
  </si>
  <si>
    <t>H491 - TRANSPORTE POR FERROCARRIL.</t>
  </si>
  <si>
    <t>H492 - OTRAS ACTIVIDADES DE TRANSPORTE POR VÍA TERRESTRE.</t>
  </si>
  <si>
    <t>H493 - TRANSPORTE POR TUBERÍAS.</t>
  </si>
  <si>
    <t>H501 - TRANSPORTE MARÍTIMO Y DE CABOTAJE.</t>
  </si>
  <si>
    <t>H502 - TRANSPORTE POR VÍAS DE NAVEGACIÓN INTERIORES.</t>
  </si>
  <si>
    <t>H511 - TRANSPORTE DE PASAJEROS POR VÍA AÉREA.</t>
  </si>
  <si>
    <t>H512 - TRANSPORTE DE CARGA POR VÍA AÉREA.</t>
  </si>
  <si>
    <t>H521 - ALMACENAMIENTO Y DEPÓSITO.</t>
  </si>
  <si>
    <t>H522 - ACTIVIDADES DE APOYO AL TRANSPORTE.</t>
  </si>
  <si>
    <t>H531 - ACTIVIDADES POSTALES Y DE MENSAJERÍA.</t>
  </si>
  <si>
    <t>H532 - ACTIVIDADES DE MENSAJERÍA.</t>
  </si>
  <si>
    <t>I551 - ACTIVIDADES DE ALOJAMIENTO PARA ESTANCIAS CORTAS.</t>
  </si>
  <si>
    <t>I552 - ACTIVIDADES DE CAMPAMENTOS, PARQUES DE VEHÍCULOS DE RECREO Y PARQUES DE CARAVANAS.</t>
  </si>
  <si>
    <t>I559 - OTRAS ACTIVIDADES DE ALOJAMIENTO.</t>
  </si>
  <si>
    <t>I561 - ACTIVIDADES DE RESTAURANTES Y DE SERVICIO MÓVIL DE COMIDAS.</t>
  </si>
  <si>
    <t>I562 - SUMINISTRO DE COMIDAS POR ENCARGO Y OTRAS ACTIVIDADES DE SERVICIO DE COMIDAS.</t>
  </si>
  <si>
    <t>I563 - ACTIVIDADES DE SERVICIO DE BEBIDAS.</t>
  </si>
  <si>
    <t>J581 - PUBLICACIÓN DE LIBROS, PERIÓDICOS Y OTRAS ACTIVIDADES DE PUBLICACIÓN.</t>
  </si>
  <si>
    <t>J582 - PUBLICACIÓN DE PROGRAMAS INFORMÁTICOS.</t>
  </si>
  <si>
    <t>J591 - ACTIVIDADES DE PRODUCCIÓN DE PELÍCULAS CINEMATOGRÁFICAS, VÍDEOS Y PROGRAMAS DE TELEVISIÓN.</t>
  </si>
  <si>
    <t>J592 - ACTIVIDADES DE GRABACIÓN DE SONIDO Y EDICIÓN DE MÚSICA.</t>
  </si>
  <si>
    <t>J601 - TRANSMISIONES DE RADIO.</t>
  </si>
  <si>
    <t>J602 - PROGRAMACIÓN Y TRANSMISIONES DE TELEVISIÓN.</t>
  </si>
  <si>
    <t>J611 - ACTIVIDADES DE TELECOMUNICACIONES ALÁMBRICA.</t>
  </si>
  <si>
    <t>J612 - ACTIVIDADES DE TELECOMUNICACIONES INALÁMBRICAS.</t>
  </si>
  <si>
    <t>J613 - ACTIVIDADES DE TELECOMUNICACIONES POR SATÉLITE.</t>
  </si>
  <si>
    <t>J619 - OTRAS ACTIVIDADES DE TELECOMUNICACIONES.</t>
  </si>
  <si>
    <t>J620 - ACTIVIDADES DE PROGRAMACIÓN INFORMÁTICA Y DE CONSULTORÍA DE INFORMÁTICA Y ACTIVIDADES CONEXAS.</t>
  </si>
  <si>
    <t>J631 - PROCESAMIENTO DE DATOS, HOSPEDAJE Y ACTIVIDADES CONEXAS; PORTALES WEB.</t>
  </si>
  <si>
    <t>J639 - OTRAS ACTIVIDADES DE SERVICIOS DE INFORMACIÓN.</t>
  </si>
  <si>
    <t>K641 - INTERMEDIACIÓN MONETARIA.</t>
  </si>
  <si>
    <t>K642 - ACTIVIDADES DE SOCIEDADES DE CARTERA.</t>
  </si>
  <si>
    <t>K643 - FONDOS Y SOCIEDADES DE INVERSIÓN Y ENTIDADES FINANCIERAS SIMILARES.</t>
  </si>
  <si>
    <t>K649 - OTRAS ACTIVIDADES DE SERVICIOS FINANCIEROS, EXCEPTO LAS DE SEGUROS Y FONDOS DE PENSIONES.</t>
  </si>
  <si>
    <t>K651 - SEGUROS.</t>
  </si>
  <si>
    <t>K652 - REASEGUROS.</t>
  </si>
  <si>
    <t>K653 - FONDOS DE PENSIÓN.</t>
  </si>
  <si>
    <t>K661 - ACTIVIDADES AUXILIARES DE LAS ACTIVIDADES DE SERVICIOS FINANCIEROS, EXCEPTO LAS DE SEGUROS Y FONDOS DE PENSIONES.</t>
  </si>
  <si>
    <t>K662 - ACTIVIDADES AUXILIARES DE SEGUROS Y FONDOS DE PENSIONES.</t>
  </si>
  <si>
    <t>K663 - ACTIVIDADES DE GESTIÓN DE FONDOS.</t>
  </si>
  <si>
    <t>L681 - ACTIVIDADES INMOBILIARIAS REALIZADAS CON BIENES PROPIOS O ARRENDADOS.</t>
  </si>
  <si>
    <t>L682 - ACTIVIDADES INMOBILIARIAS REALIZADAS A CAMBIO DE UNA RETRIBUCIÓN O POR CONTRATO.</t>
  </si>
  <si>
    <t>M691 - ACTIVIDADES JURÍDICAS.</t>
  </si>
  <si>
    <t>M692 - ACTIVIDADES DE CONTABILIDAD, TENEDURÍA DE LIBROS Y AUDITORIA; CONSULTORÍA FISCAL.</t>
  </si>
  <si>
    <t>M701 - ACTIVIDADES DE OFICINAS PRINCIPALES.</t>
  </si>
  <si>
    <t>M702 - ACTIVIDADES DE CONSULTORÍA DE GESTIÓN.</t>
  </si>
  <si>
    <t>M711 - ACTIVIDADES DE ARQUITECTURA E INGENIERÍA Y ACTIVIDADES CONEXAS DE CONSULTORÍA TÉCNICA.</t>
  </si>
  <si>
    <t>M712 - ENSAYOS Y ANÁLISIS TÉCNICOS.</t>
  </si>
  <si>
    <t>M721 - INVESTIGACIONES Y DESARROLLO EXPERIMENTAL EN EL CAMPO DE LAS CIENCIAS NATURALES Y LA INGENIERÍA.</t>
  </si>
  <si>
    <t>M722 - INVESTIGACIONES Y DESARROLLO EXPERIMENTAL EN EL CAMPO DE LAS CIENCIAS SOCIALES Y LAS HUMANIDADES.</t>
  </si>
  <si>
    <t>M731 - PUBLICIDAD.</t>
  </si>
  <si>
    <t>M732 - ESTUDIOS DE MERCADO Y ENCUESTAS DE OPINIÓN PÚBLICA.</t>
  </si>
  <si>
    <t>M741 - ACTIVIDADES ESPECIALIZADAS DE DISEÑO.</t>
  </si>
  <si>
    <t>M742 - ACTIVIDADES DE FOTOGRAFÍA.</t>
  </si>
  <si>
    <t>M749 - OTRAS ACTIVIDADES PROFESIONALES, CIENTÍFICAS Y TÉCNICAS N.C.P.</t>
  </si>
  <si>
    <t>M750 - ACTIVIDADES VETERINARIAS.</t>
  </si>
  <si>
    <t xml:space="preserve">45. ¿El negocio ha identificado los principales riesgos que enfrenta? </t>
  </si>
  <si>
    <t>N771 - ALQUILER DE VEHÍCULOS AUTOMOTORES.</t>
  </si>
  <si>
    <t>N772 - ALQUILER DE EFECTOS PERSONALES Y ARTÍCULOS DE USO DOMÉSTICO.</t>
  </si>
  <si>
    <t>N773 - ALQUILER DE OTROS TIPOS DE MAQUINARIA, EQUIPO Y BIENES TANGIBLES.</t>
  </si>
  <si>
    <t>N774 - ARRENDAMIENTO DE PROPIEDAD INTELECTUAL Y PRODUCTOS SIMILARES, EXCEPTO OBRAS PROTEGIDAS POR DERECHOS DE AUTOR.</t>
  </si>
  <si>
    <t>N781 - ACTIVIDADES DE AGENCIAS DE EMPLEO.</t>
  </si>
  <si>
    <t>N782 - ACTIVIDADES DE AGENCIAS DE EMPLEO TEMPORAL.</t>
  </si>
  <si>
    <t>N783 - OTRAS ACTIVIDADES DE DOTACIÓN DE RECURSOS HUMANOS.</t>
  </si>
  <si>
    <t>N791 - ACTIVIDADES DE AGENCIAS DE VIAJES Y OPERADORES TURÍSTICOS.</t>
  </si>
  <si>
    <t>N799 - OTROS SERVICIOS DE RESERVAS Y ACTIVIDADES CONEXAS.</t>
  </si>
  <si>
    <t>N801 - ACTIVIDADES DE SEGURIDAD PRIVADA.</t>
  </si>
  <si>
    <t>N802 - ACTIVIDADES DE SERVICIOS DE SISTEMAS DE SEGURIDAD.</t>
  </si>
  <si>
    <t>N803 - ACTIVIDADES DE INVESTIGACIÓN.</t>
  </si>
  <si>
    <t>N811 - ACTIVIDADES COMBINADAS DE APOYO A INSTALACIONES.</t>
  </si>
  <si>
    <t>N812 - ACTIVIDADES DE LIMPIEZA.</t>
  </si>
  <si>
    <t>N813 - ACTIVIDADES DE PAISAJISMO Y SERVICIOS DE MANTENIMIENTO CONEXOS.</t>
  </si>
  <si>
    <t>N821 - ACTIVIDADES ADMINISTRATIVAS Y DE APOYO DE OFICINA.</t>
  </si>
  <si>
    <t>N822 - ACTIVIDADES DE CENTROS DE LLAMADAS.</t>
  </si>
  <si>
    <t>N823 - ORGANIZACIÓN DE CONVENCIONES Y EXPOSICIONES COMERCIALES.</t>
  </si>
  <si>
    <t>N829 - ACTIVIDADES DE SERVICIOS DE APOYO A LAS EMPRESAS N.C.P.</t>
  </si>
  <si>
    <t>O841 - ADMINISTRACIÓN DEL ESTADO Y APLICACIÓN DE LA POLÍTICA ECONÓMICA Y SOCIAL DE LA COMUNIDAD.</t>
  </si>
  <si>
    <t>O842 - PRESTACIÓN DE SERVICIOS A LA COMUNIDAD EN GENERAL.</t>
  </si>
  <si>
    <t>O843 - ACTIVIDADES DE PLANES DE SEGURIDAD SOCIAL DE AFILIACIÓN OBLIGATORIA.</t>
  </si>
  <si>
    <t>P851 - ENSEÑANZA PREPRIMARIA Y PRIMARIA.</t>
  </si>
  <si>
    <t>P852 - ENSEÑANZA SECUNDARIA.</t>
  </si>
  <si>
    <t>P853 - ENSEÑANZA SUPERIOR.</t>
  </si>
  <si>
    <t>P854 - OTROS TIPOS DE ENSEÑANZA.</t>
  </si>
  <si>
    <t>P855 - ACTIVIDADES DE APOYO A LA ENSEÑANZA.</t>
  </si>
  <si>
    <t>Q861 - ACTIVIDADES DE HOSPITALES Y CLÍNICAS.</t>
  </si>
  <si>
    <t>Q862 - ACTIVIDADES DE MÉDICOS Y ODONTÓLOGOS.</t>
  </si>
  <si>
    <t>Q869 - OTRAS ACTIVIDADES DE ATENCIÓN DE LA SALUD HUMANA.</t>
  </si>
  <si>
    <t>Q871 - ACTIVIDADES DE ATENCIÓN DE ENFERMERÍA EN INSTITUCIONES.</t>
  </si>
  <si>
    <t>Q872 - ACTIVIDADES DE ATENCIÓN EN INSTITUCIONES PARA PERSONAS CON RETRASO MENTAL, ENFERMOS MENTALES Y TOXICÓMANOS.</t>
  </si>
  <si>
    <t>Q873 - ACTIVIDADES DE ATENCIÓN EN INSTITUCIONES PARA PERSONAS DE EDAD Y PERSONAS CON DISCAPACIDAD.</t>
  </si>
  <si>
    <t>Q879 - OTRAS ACTIVIDADES DE ATENCIÓN EN INSTITUCIONES.</t>
  </si>
  <si>
    <t>Q881 - ACTIVIDADES DE ASISTENCIA SOCIAL SIN ALOJAMIENTO PARA PERSONAS DE EDAD Y PERSONAS CON DISCAPACIDAD.</t>
  </si>
  <si>
    <t>Q889 - OTRAS ACTIVIDADES DE ASISTENCIA SOCIAL SIN ALOJAMIENTO.</t>
  </si>
  <si>
    <t>R900 - ACTIVIDADES CREATIVAS, ARTÍSTICAS Y DE ENTRETENIMIENTO.</t>
  </si>
  <si>
    <t>R910 - ACTIVIDADES DE BIBLIOTECAS, ARCHIVOS, MUSEOS Y OTRAS ACTIVIDADES CULTURALES.</t>
  </si>
  <si>
    <t>R920 - ACTIVIDADES DE JUEGOS DE AZAR Y APUESTAS.</t>
  </si>
  <si>
    <t>R931 - ACTIVIDADES DEPORTIVAS.</t>
  </si>
  <si>
    <t>R932 - OTRAS ACTIVIDADES DE ESPARCIMIENTO Y RECREATIVAS.</t>
  </si>
  <si>
    <t>S941 - ACTIVIDADES DE ASOCIACIONES EMPRESARIALES, PROFESIONALES Y DE EMPLEADORES.</t>
  </si>
  <si>
    <t>S942 - ACTIVIDADES DE SINDICATOS.</t>
  </si>
  <si>
    <t>S949 - ACTIVIDADES DE OTRAS ASOCIACIONES.</t>
  </si>
  <si>
    <t>S951 - REPARACIÓN DE COMPUTADORAS Y EQUIPO DE COMUNICACIONES.</t>
  </si>
  <si>
    <t>S952 - REPARACIÓN DE EFECTOS PERSONALES Y ENSERES DOMÉSTICOS.</t>
  </si>
  <si>
    <t>S960 - OTRAS ACTIVIDADES DE SERVICIOS PERSONALES.</t>
  </si>
  <si>
    <t>T970 - ACTIVIDADES DE LOS HOGARES COMO EMPLEADORES DE PERSONAL DOMÉSTICO.</t>
  </si>
  <si>
    <t>T981 - ACTIVIDADES NO DIFERENCIADAS DE LOS HOGARES COMO PRODUCTORES DE BIENES Y SERVICIOS PARA USO PROPIO.</t>
  </si>
  <si>
    <t>T982 - ACTIVIDADES NO DIFERENCIADAS DE LOS HOGARES COMO PRODUCTORES DE SERVICIOS PARA USO PROPIO.</t>
  </si>
  <si>
    <t>U990 - ACTIVIDADES DE ORGANIZACIONES Y ÓRGANOS EXTRATERRITORIALES.</t>
  </si>
  <si>
    <t>Periodo Inicial</t>
  </si>
  <si>
    <t>Periodo Final</t>
  </si>
  <si>
    <t>10. Si la respuesta es sí, especifique cuáles. (Condicional: Solo si la respuesta anterior fue "Sì")</t>
  </si>
  <si>
    <t>Aumento P2 - P1</t>
  </si>
  <si>
    <t>Aumento (P2 - P1)</t>
  </si>
  <si>
    <t>Tasa de Crecimiento %</t>
  </si>
  <si>
    <t>#</t>
  </si>
  <si>
    <t>Promedio x Beneficiario</t>
  </si>
  <si>
    <t>27. ¿Cuántos canales de venta tiene el negocio? Colocar el número</t>
  </si>
  <si>
    <t>No Aplica</t>
  </si>
  <si>
    <t>Total</t>
  </si>
  <si>
    <t>46. ¿Qué porcentaje de empleados está capacitado en gestión del riesgo de desastres?</t>
  </si>
  <si>
    <t>28. ¿Cuáles son los principales canales de venta de su negocio?</t>
  </si>
  <si>
    <t>1% - 25%</t>
  </si>
  <si>
    <t>Aumento # (P2 - P1)</t>
  </si>
  <si>
    <t>Aumento % (P2 - P1)</t>
  </si>
  <si>
    <t>11. ¿Usted o alguien de su equipo ha recibido capacitación formal relacionada con la gestión y operación del negocio?</t>
  </si>
  <si>
    <t xml:space="preserve">26% - 50% </t>
  </si>
  <si>
    <t>51% - 75%</t>
  </si>
  <si>
    <t xml:space="preserve">76% - 100% </t>
  </si>
  <si>
    <t>Marketplaces</t>
  </si>
  <si>
    <t>47. ¿Existe un plan de continuidad de negocio documentado y actualizado?</t>
  </si>
  <si>
    <t>Fuerza de ventas/ ventas directas</t>
  </si>
  <si>
    <t>Bancos</t>
  </si>
  <si>
    <t>No contamos con un plan de continuidad</t>
  </si>
  <si>
    <t>Cooperativas</t>
  </si>
  <si>
    <t>Amigos</t>
  </si>
  <si>
    <t>Familiares</t>
  </si>
  <si>
    <t>Contamos con acciones informales para emergencias</t>
  </si>
  <si>
    <t>Prestamista Informal</t>
  </si>
  <si>
    <t>24. # de Trabajadores en la Empresa</t>
  </si>
  <si>
    <t>29. ¿Qué tan competitiva considera que es su negocio?</t>
  </si>
  <si>
    <t>Mujeres</t>
  </si>
  <si>
    <t>Hombres</t>
  </si>
  <si>
    <t>Muy baja</t>
  </si>
  <si>
    <t>Promedio x Beneficiario que reportó tener crédtio</t>
  </si>
  <si>
    <t>Reparación de estructura del negocio</t>
  </si>
  <si>
    <t>Ampliación del negocio</t>
  </si>
  <si>
    <t>Pago de arriendo</t>
  </si>
  <si>
    <t>Compra de mercadería</t>
  </si>
  <si>
    <t>IX. Gestión ambiental</t>
  </si>
  <si>
    <t>Reposición o adquisición de equipos</t>
  </si>
  <si>
    <t>Otro</t>
  </si>
  <si>
    <t xml:space="preserve">48. ¿Su negocio cuenta con prácticas para la gestión adecuada de residuos sólidos generados por sus operaciones?
</t>
  </si>
  <si>
    <t>N/A</t>
  </si>
  <si>
    <t>Sí, contamos con un sistema formal de gestión de residuos sólidos</t>
  </si>
  <si>
    <t>30. ¿Su negocio segmenta el mercado por criterios demográficos, psicográficos o de género?</t>
  </si>
  <si>
    <t>Sí, realizamos algunas prácticas básicas</t>
  </si>
  <si>
    <t xml:space="preserve">No, no contamos con prácticas específicas </t>
  </si>
  <si>
    <t>Sí, utilizamos criterios demográficos</t>
  </si>
  <si>
    <t>Sí, utilizamos algunos de estos criterios</t>
  </si>
  <si>
    <t>No, no segmentamos el mercado</t>
  </si>
  <si>
    <t>49. ¿Mantiene un control del consumo de agua y energía de su negocio?</t>
  </si>
  <si>
    <t>No aplica</t>
  </si>
  <si>
    <t>31. ¿Su negocio dispone de elementos de imagen comercial, como logotipo, colores corporativos y diseño consistente en sus materiales?</t>
  </si>
  <si>
    <t>No, el negocio no cuenta</t>
  </si>
  <si>
    <t>Sí, contamos con algunos elementos</t>
  </si>
  <si>
    <t>Sí, contamos con varios elementos</t>
  </si>
  <si>
    <t>Sí, contamos con una identidad visual</t>
  </si>
  <si>
    <t>Sí, contamos con una identidad visual completa y además</t>
  </si>
  <si>
    <t>V. Gestión financiera</t>
  </si>
  <si>
    <t xml:space="preserve">32. ¿Cómo describiría el nivel de gestión financiera? </t>
  </si>
  <si>
    <t>Inexistentes</t>
  </si>
  <si>
    <t>Básicos</t>
  </si>
  <si>
    <t>Intermedios</t>
  </si>
  <si>
    <t>Avanzados</t>
  </si>
  <si>
    <t>33. ¿El negocio separa satisfactoriamente las finanzas personales de las finanzas del negocio?</t>
  </si>
  <si>
    <t>34. ¿Ha recibido capacitación en educación financiera en los últimos 12 meses?</t>
  </si>
  <si>
    <t>35. ¿Su negocio utiliza una cuenta bancaria propia para sus operaciones?</t>
  </si>
  <si>
    <t>Sí, cuenta</t>
  </si>
  <si>
    <t>No tiene cuenta negociorial</t>
  </si>
  <si>
    <t xml:space="preserve">No utiliza ninguna cuenta </t>
  </si>
  <si>
    <t xml:space="preserve">36. ¿Qué tipo(s) de financiamiento externo ha utilizado su negocio en los últimos 24 meses? </t>
  </si>
  <si>
    <t>Préstamos informales</t>
  </si>
  <si>
    <t>Fondos familiares</t>
  </si>
  <si>
    <t>No he recibido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</si>
</sst>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quot;$&quot;* #,##0.00_ ;_ &quot;$&quot;* \-#,##0.00_ ;_ &quot;$&quot;* &quot;-&quot;??_ ;_ @_ "/>
  </numFmts>
  <fonts count="23">
    <font>
      <sz val="11.0"/>
      <color theme="1"/>
      <name val="Calibri"/>
      <scheme val="minor"/>
    </font>
    <font>
      <i/>
      <sz val="11.0"/>
      <color theme="1"/>
      <name val="Calibri"/>
    </font>
    <font>
      <i/>
      <sz val="18.0"/>
      <color theme="1"/>
      <name val="Calibri"/>
    </font>
    <font/>
    <font>
      <b/>
      <sz val="18.0"/>
      <color theme="1"/>
      <name val="Calibri"/>
    </font>
    <font>
      <i/>
      <sz val="10.0"/>
      <color theme="1"/>
      <name val="Calibri"/>
    </font>
    <font>
      <sz val="11.0"/>
      <color theme="1"/>
      <name val="Calibri"/>
    </font>
    <font>
      <i/>
      <sz val="18.0"/>
      <color rgb="FF000000"/>
      <name val="Calibri"/>
    </font>
    <font>
      <i/>
      <sz val="11.0"/>
      <color rgb="FF000000"/>
      <name val="Calibri"/>
    </font>
    <font>
      <b/>
      <sz val="16.0"/>
      <color theme="0"/>
      <name val="Calibri"/>
    </font>
    <font>
      <b/>
      <sz val="11.0"/>
      <color theme="1"/>
      <name val="Calibri"/>
    </font>
    <font>
      <sz val="12.0"/>
      <color theme="1"/>
      <name val="Calibri"/>
    </font>
    <font>
      <b/>
      <sz val="11.0"/>
      <color theme="8"/>
      <name val="Calibri"/>
    </font>
    <font>
      <b/>
      <sz val="11.0"/>
      <color theme="0"/>
      <name val="Calibri"/>
    </font>
    <font>
      <b/>
      <sz val="11.0"/>
      <color rgb="FFFF0000"/>
      <name val="Calibri"/>
    </font>
    <font>
      <color theme="1"/>
      <name val="Calibri"/>
      <scheme val="minor"/>
    </font>
    <font>
      <i/>
      <sz val="11.0"/>
      <color rgb="FFC55A11"/>
      <name val="Calibri"/>
    </font>
    <font>
      <b/>
      <i/>
      <sz val="12.0"/>
      <color theme="8"/>
      <name val="Calibri"/>
    </font>
    <font>
      <sz val="11.0"/>
      <color theme="1"/>
      <name val="Aptos Narrow"/>
    </font>
    <font>
      <i/>
      <sz val="11.0"/>
      <color rgb="FFC55A11"/>
      <name val="Quattrocento Sans"/>
    </font>
    <font>
      <sz val="11.0"/>
      <color rgb="FF000000"/>
      <name val="Calibri"/>
    </font>
    <font>
      <sz val="11.0"/>
      <color theme="1"/>
      <name val="Quattrocento Sans"/>
    </font>
    <font>
      <sz val="11.0"/>
      <color rgb="FF333333"/>
      <name val="Calibri"/>
    </font>
  </fonts>
  <fills count="18">
    <fill>
      <patternFill patternType="none"/>
    </fill>
    <fill>
      <patternFill patternType="lightGray"/>
    </fill>
    <fill>
      <patternFill patternType="solid">
        <fgColor rgb="FF0070C0"/>
        <bgColor rgb="FF0070C0"/>
      </patternFill>
    </fill>
    <fill>
      <patternFill patternType="solid">
        <fgColor rgb="FFD8C0F0"/>
        <bgColor rgb="FFD8C0F0"/>
      </patternFill>
    </fill>
    <fill>
      <patternFill patternType="solid">
        <fgColor rgb="FF1F3864"/>
        <bgColor rgb="FF1F3864"/>
      </patternFill>
    </fill>
    <fill>
      <patternFill patternType="solid">
        <fgColor rgb="FF44546A"/>
        <bgColor rgb="FF44546A"/>
      </patternFill>
    </fill>
    <fill>
      <patternFill patternType="solid">
        <fgColor rgb="FFFFE598"/>
        <bgColor rgb="FFFFE598"/>
      </patternFill>
    </fill>
    <fill>
      <patternFill patternType="solid">
        <fgColor theme="7"/>
        <bgColor theme="7"/>
      </patternFill>
    </fill>
    <fill>
      <patternFill patternType="solid">
        <fgColor rgb="FF385623"/>
        <bgColor rgb="FF385623"/>
      </patternFill>
    </fill>
    <fill>
      <patternFill patternType="solid">
        <fgColor rgb="FF8E81FF"/>
        <bgColor rgb="FF8E81FF"/>
      </patternFill>
    </fill>
    <fill>
      <patternFill patternType="solid">
        <fgColor rgb="FFBF9000"/>
        <bgColor rgb="FFBF9000"/>
      </patternFill>
    </fill>
    <fill>
      <patternFill patternType="solid">
        <fgColor rgb="FFC55A11"/>
        <bgColor rgb="FFC55A11"/>
      </patternFill>
    </fill>
    <fill>
      <patternFill patternType="solid">
        <fgColor theme="9"/>
        <bgColor theme="9"/>
      </patternFill>
    </fill>
    <fill>
      <patternFill patternType="solid">
        <fgColor rgb="FF00B0F0"/>
        <bgColor rgb="FF00B0F0"/>
      </patternFill>
    </fill>
    <fill>
      <patternFill patternType="solid">
        <fgColor theme="0"/>
        <bgColor theme="0"/>
      </patternFill>
    </fill>
    <fill>
      <patternFill patternType="solid">
        <fgColor rgb="FF002060"/>
        <bgColor rgb="FF002060"/>
      </patternFill>
    </fill>
    <fill>
      <patternFill patternType="solid">
        <fgColor rgb="FFFFF2CB"/>
        <bgColor rgb="FFFFF2CB"/>
      </patternFill>
    </fill>
    <fill>
      <patternFill patternType="solid">
        <fgColor rgb="FFFFFF00"/>
        <bgColor rgb="FFFFFF00"/>
      </patternFill>
    </fill>
  </fills>
  <borders count="34">
    <border/>
    <border>
      <bottom style="thin">
        <color rgb="FF000000"/>
      </bottom>
    </border>
    <border>
      <left/>
      <top/>
      <bottom/>
    </border>
    <border>
      <top/>
      <bottom/>
    </border>
    <border>
      <right/>
      <top/>
      <bottom/>
    </border>
    <border>
      <left style="thin">
        <color rgb="FF000000"/>
      </left>
      <top style="thin">
        <color rgb="FF000000"/>
      </top>
      <bottom/>
    </border>
    <border>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top style="thin">
        <color rgb="FF000000"/>
      </top>
      <bottom style="thin">
        <color rgb="FF000000"/>
      </bottom>
    </border>
    <border>
      <top style="thin">
        <color rgb="FF000000"/>
      </top>
      <bottom/>
    </border>
    <border>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top style="thin">
        <color rgb="FF000000"/>
      </top>
      <bottom/>
    </border>
    <border>
      <left/>
      <right/>
      <top/>
      <bottom/>
    </border>
    <border>
      <left/>
      <right/>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right style="thin">
        <color rgb="FF000000"/>
      </right>
    </border>
    <border>
      <left style="thin">
        <color rgb="FF000000"/>
      </left>
    </border>
    <border>
      <right style="thin">
        <color rgb="FF000000"/>
      </right>
      <bottom style="thin">
        <color rgb="FF000000"/>
      </bottom>
    </border>
    <border>
      <left style="thin">
        <color rgb="FF000000"/>
      </left>
      <bottom style="thin">
        <color rgb="FF000000"/>
      </bottom>
    </border>
    <border>
      <left/>
      <right style="thin">
        <color rgb="FF000000"/>
      </right>
      <top/>
      <bottom/>
    </border>
    <border>
      <right style="thin">
        <color rgb="FF000000"/>
      </right>
      <top style="thin">
        <color rgb="FF000000"/>
      </top>
    </border>
    <border>
      <top style="thin">
        <color rgb="FF000000"/>
      </top>
    </border>
    <border>
      <left/>
      <right style="thin">
        <color rgb="FF000000"/>
      </right>
      <top style="thin">
        <color rgb="FF000000"/>
      </top>
      <bottom/>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0" fillId="0" fontId="1" numFmtId="0" xfId="0" applyAlignment="1" applyFont="1">
      <alignment horizontal="left"/>
    </xf>
    <xf borderId="1" fillId="0" fontId="2" numFmtId="0" xfId="0" applyAlignment="1" applyBorder="1" applyFont="1">
      <alignment horizontal="left" shrinkToFit="0" vertical="center" wrapText="1"/>
    </xf>
    <xf borderId="1" fillId="0" fontId="3" numFmtId="0" xfId="0" applyBorder="1" applyFont="1"/>
    <xf borderId="0" fillId="0" fontId="4" numFmtId="0" xfId="0" applyAlignment="1" applyFont="1">
      <alignment vertical="center"/>
    </xf>
    <xf borderId="1" fillId="0" fontId="1" numFmtId="0" xfId="0" applyAlignment="1" applyBorder="1" applyFont="1">
      <alignment horizontal="left" shrinkToFit="0" wrapText="1"/>
    </xf>
    <xf borderId="0" fillId="0" fontId="5" numFmtId="0" xfId="0" applyAlignment="1" applyFont="1">
      <alignment horizontal="left" shrinkToFit="0" wrapText="1"/>
    </xf>
    <xf borderId="0" fillId="0" fontId="6" numFmtId="0" xfId="0" applyAlignment="1" applyFont="1">
      <alignment horizontal="center" shrinkToFit="0" vertical="center" wrapText="1"/>
    </xf>
    <xf borderId="0" fillId="0" fontId="2" numFmtId="0" xfId="0" applyAlignment="1" applyFont="1">
      <alignment horizontal="left"/>
    </xf>
    <xf borderId="0" fillId="0" fontId="1" numFmtId="0" xfId="0" applyAlignment="1" applyFont="1">
      <alignment horizontal="left" shrinkToFit="0" wrapText="1"/>
    </xf>
    <xf borderId="1" fillId="0" fontId="7" numFmtId="0" xfId="0" applyAlignment="1" applyBorder="1" applyFont="1">
      <alignment horizontal="left" shrinkToFit="0" vertical="center" wrapText="1"/>
    </xf>
    <xf borderId="1" fillId="0" fontId="1" numFmtId="0" xfId="0" applyAlignment="1" applyBorder="1" applyFont="1">
      <alignment horizontal="center" shrinkToFit="0" wrapText="1"/>
    </xf>
    <xf borderId="0" fillId="0" fontId="6" numFmtId="0" xfId="0" applyAlignment="1" applyFont="1">
      <alignment vertical="center"/>
    </xf>
    <xf borderId="1" fillId="0" fontId="5" numFmtId="0" xfId="0" applyAlignment="1" applyBorder="1" applyFont="1">
      <alignment horizontal="left" shrinkToFit="0" wrapText="1"/>
    </xf>
    <xf borderId="1" fillId="0" fontId="8" numFmtId="0" xfId="0" applyAlignment="1" applyBorder="1" applyFont="1">
      <alignment shrinkToFit="0" wrapText="1"/>
    </xf>
    <xf borderId="1" fillId="0" fontId="1" numFmtId="0" xfId="0" applyAlignment="1" applyBorder="1" applyFont="1">
      <alignment horizontal="left" shrinkToFit="0" vertical="center" wrapText="1"/>
    </xf>
    <xf borderId="2" fillId="2" fontId="9" numFmtId="0" xfId="0" applyAlignment="1" applyBorder="1" applyFill="1" applyFont="1">
      <alignment horizontal="center" vertical="center"/>
    </xf>
    <xf borderId="3" fillId="0" fontId="3" numFmtId="0" xfId="0" applyBorder="1" applyFont="1"/>
    <xf borderId="4" fillId="0" fontId="3" numFmtId="0" xfId="0" applyBorder="1" applyFont="1"/>
    <xf borderId="0" fillId="0" fontId="10" numFmtId="0" xfId="0" applyAlignment="1" applyFont="1">
      <alignment vertical="center"/>
    </xf>
    <xf borderId="0" fillId="0" fontId="11" numFmtId="0" xfId="0" applyAlignment="1" applyFont="1">
      <alignment horizontal="left" shrinkToFit="0" vertical="center" wrapText="1"/>
    </xf>
    <xf borderId="0" fillId="0" fontId="12" numFmtId="0" xfId="0" applyFont="1"/>
    <xf borderId="0" fillId="0" fontId="6" numFmtId="0" xfId="0" applyAlignment="1" applyFont="1">
      <alignment horizontal="right" shrinkToFit="0" vertical="center" wrapText="1"/>
    </xf>
    <xf borderId="0" fillId="0" fontId="6" numFmtId="0" xfId="0" applyAlignment="1" applyFont="1">
      <alignment horizontal="left" shrinkToFit="0" vertical="center" wrapText="1"/>
    </xf>
    <xf borderId="0" fillId="0" fontId="6" numFmtId="0" xfId="0" applyAlignment="1" applyFont="1">
      <alignment shrinkToFit="0" vertical="center" wrapText="1"/>
    </xf>
    <xf borderId="0" fillId="0" fontId="10" numFmtId="0" xfId="0" applyFont="1"/>
    <xf borderId="5" fillId="3" fontId="10" numFmtId="0" xfId="0" applyAlignment="1" applyBorder="1" applyFill="1" applyFont="1">
      <alignment horizontal="center"/>
    </xf>
    <xf borderId="6" fillId="0" fontId="3" numFmtId="0" xfId="0" applyBorder="1" applyFont="1"/>
    <xf borderId="7" fillId="0" fontId="6" numFmtId="0" xfId="0" applyAlignment="1" applyBorder="1" applyFont="1">
      <alignment vertical="center"/>
    </xf>
    <xf borderId="8" fillId="4" fontId="13" numFmtId="0" xfId="0" applyAlignment="1" applyBorder="1" applyFill="1" applyFont="1">
      <alignment horizontal="center"/>
    </xf>
    <xf borderId="9" fillId="0" fontId="3" numFmtId="0" xfId="0" applyBorder="1" applyFont="1"/>
    <xf borderId="10" fillId="0" fontId="3" numFmtId="0" xfId="0" applyBorder="1" applyFont="1"/>
    <xf borderId="0" fillId="0" fontId="6" numFmtId="9" xfId="0" applyAlignment="1" applyFont="1" applyNumberFormat="1">
      <alignment vertical="center"/>
    </xf>
    <xf borderId="8" fillId="5" fontId="13" numFmtId="0" xfId="0" applyAlignment="1" applyBorder="1" applyFill="1" applyFont="1">
      <alignment horizontal="center" vertical="center"/>
    </xf>
    <xf borderId="11" fillId="0" fontId="3" numFmtId="0" xfId="0" applyBorder="1" applyFont="1"/>
    <xf borderId="12" fillId="6" fontId="10" numFmtId="0" xfId="0" applyAlignment="1" applyBorder="1" applyFill="1" applyFont="1">
      <alignment horizontal="center" vertical="center"/>
    </xf>
    <xf borderId="8" fillId="7" fontId="10" numFmtId="0" xfId="0" applyAlignment="1" applyBorder="1" applyFill="1" applyFont="1">
      <alignment horizontal="center"/>
    </xf>
    <xf borderId="12" fillId="8" fontId="13" numFmtId="0" xfId="0" applyAlignment="1" applyBorder="1" applyFill="1" applyFont="1">
      <alignment horizontal="center"/>
    </xf>
    <xf borderId="12" fillId="9" fontId="13" numFmtId="0" xfId="0" applyAlignment="1" applyBorder="1" applyFill="1" applyFont="1">
      <alignment horizontal="center"/>
    </xf>
    <xf borderId="8" fillId="10" fontId="13" numFmtId="0" xfId="0" applyAlignment="1" applyBorder="1" applyFill="1" applyFont="1">
      <alignment horizontal="center"/>
    </xf>
    <xf borderId="8" fillId="11" fontId="13" numFmtId="0" xfId="0" applyAlignment="1" applyBorder="1" applyFill="1" applyFont="1">
      <alignment horizontal="center"/>
    </xf>
    <xf borderId="5" fillId="12" fontId="13" numFmtId="0" xfId="0" applyAlignment="1" applyBorder="1" applyFill="1" applyFont="1">
      <alignment horizontal="center"/>
    </xf>
    <xf borderId="13" fillId="0" fontId="3" numFmtId="0" xfId="0" applyBorder="1" applyFont="1"/>
    <xf borderId="14" fillId="0" fontId="3" numFmtId="0" xfId="0" applyBorder="1" applyFont="1"/>
    <xf borderId="0" fillId="0" fontId="10" numFmtId="0" xfId="0" applyAlignment="1" applyFont="1">
      <alignment horizontal="center"/>
    </xf>
    <xf borderId="7" fillId="0" fontId="10" numFmtId="0" xfId="0" applyAlignment="1" applyBorder="1" applyFont="1">
      <alignment horizontal="center"/>
    </xf>
    <xf borderId="10" fillId="0" fontId="13" numFmtId="0" xfId="0" applyAlignment="1" applyBorder="1" applyFont="1">
      <alignment horizontal="center"/>
    </xf>
    <xf borderId="0" fillId="0" fontId="14" numFmtId="0" xfId="0" applyAlignment="1" applyFont="1">
      <alignment vertical="center"/>
    </xf>
    <xf borderId="7" fillId="0" fontId="13" numFmtId="0" xfId="0" applyAlignment="1" applyBorder="1" applyFont="1">
      <alignment horizontal="center"/>
    </xf>
    <xf borderId="15" fillId="0" fontId="13" numFmtId="0" xfId="0" applyAlignment="1" applyBorder="1" applyFont="1">
      <alignment horizontal="center"/>
    </xf>
    <xf borderId="16" fillId="0" fontId="13" numFmtId="0" xfId="0" applyAlignment="1" applyBorder="1" applyFont="1">
      <alignment horizontal="center"/>
    </xf>
    <xf borderId="7" fillId="0" fontId="13" numFmtId="0" xfId="0" applyAlignment="1" applyBorder="1" applyFont="1">
      <alignment horizontal="center" vertical="center"/>
    </xf>
    <xf borderId="15" fillId="0" fontId="13" numFmtId="0" xfId="0" applyAlignment="1" applyBorder="1" applyFont="1">
      <alignment horizontal="center" vertical="center"/>
    </xf>
    <xf borderId="17" fillId="13" fontId="13" numFmtId="0" xfId="0" applyAlignment="1" applyBorder="1" applyFill="1" applyFont="1">
      <alignment horizontal="center" vertical="center"/>
    </xf>
    <xf borderId="18" fillId="2" fontId="13" numFmtId="0" xfId="0" applyAlignment="1" applyBorder="1" applyFill="1" applyFont="1">
      <alignment horizontal="center" vertical="center"/>
    </xf>
    <xf borderId="7" fillId="2" fontId="13" numFmtId="0" xfId="0" applyAlignment="1" applyBorder="1" applyFill="1" applyFont="1">
      <alignment horizontal="center" vertical="center"/>
    </xf>
    <xf borderId="19" fillId="14" fontId="13" numFmtId="0" xfId="0" applyAlignment="1" applyBorder="1" applyFill="1" applyFont="1">
      <alignment horizontal="center" vertical="center"/>
    </xf>
    <xf borderId="8" fillId="0" fontId="13" numFmtId="0" xfId="0" applyAlignment="1" applyBorder="1" applyFont="1">
      <alignment horizontal="center" vertical="center"/>
    </xf>
    <xf borderId="7" fillId="14" fontId="13" numFmtId="0" xfId="0" applyAlignment="1" applyBorder="1" applyFill="1" applyFont="1">
      <alignment horizontal="center" vertical="center"/>
    </xf>
    <xf borderId="20" fillId="2" fontId="13" numFmtId="0" xfId="0" applyAlignment="1" applyBorder="1" applyFill="1" applyFont="1">
      <alignment horizontal="center" vertical="center"/>
    </xf>
    <xf borderId="21" fillId="2" fontId="13" numFmtId="0" xfId="0" applyAlignment="1" applyBorder="1" applyFill="1" applyFont="1">
      <alignment horizontal="center" vertical="center"/>
    </xf>
    <xf borderId="18" fillId="14" fontId="13" numFmtId="0" xfId="0" applyAlignment="1" applyBorder="1" applyFill="1" applyFont="1">
      <alignment horizontal="center" vertical="center"/>
    </xf>
    <xf borderId="22" fillId="2" fontId="13" numFmtId="0" xfId="0" applyAlignment="1" applyBorder="1" applyFill="1" applyFont="1">
      <alignment horizontal="center" vertical="center"/>
    </xf>
    <xf borderId="15" fillId="0" fontId="6" numFmtId="0" xfId="0" applyAlignment="1" applyBorder="1" applyFont="1">
      <alignment horizontal="center"/>
    </xf>
    <xf borderId="23" fillId="0" fontId="13" numFmtId="0" xfId="0" applyAlignment="1" applyBorder="1" applyFont="1">
      <alignment horizontal="center" vertical="center"/>
    </xf>
    <xf borderId="0" fillId="0" fontId="10" numFmtId="0" xfId="0" applyAlignment="1" applyFont="1">
      <alignment horizontal="center" vertical="center"/>
    </xf>
    <xf borderId="24" fillId="0" fontId="13" numFmtId="0" xfId="0" applyAlignment="1" applyBorder="1" applyFont="1">
      <alignment horizontal="center" vertical="center"/>
    </xf>
    <xf borderId="25" fillId="2" fontId="13" numFmtId="0" xfId="0" applyAlignment="1" applyBorder="1" applyFill="1" applyFont="1">
      <alignment horizontal="center" vertical="center"/>
    </xf>
    <xf borderId="23" fillId="0" fontId="13" numFmtId="0" xfId="0" applyAlignment="1" applyBorder="1" applyFont="1">
      <alignment horizontal="center"/>
    </xf>
    <xf borderId="26" fillId="0" fontId="13" numFmtId="0" xfId="0" applyAlignment="1" applyBorder="1" applyFont="1">
      <alignment horizontal="center"/>
    </xf>
    <xf borderId="0" fillId="0" fontId="13" numFmtId="0" xfId="0" applyAlignment="1" applyFont="1">
      <alignment horizontal="center" vertical="center"/>
    </xf>
    <xf borderId="21" fillId="14" fontId="13" numFmtId="0" xfId="0" applyAlignment="1" applyBorder="1" applyFill="1" applyFont="1">
      <alignment horizontal="center" vertical="center"/>
    </xf>
    <xf borderId="2" fillId="15" fontId="13" numFmtId="0" xfId="0" applyAlignment="1" applyBorder="1" applyFill="1" applyFont="1">
      <alignment horizontal="left" vertical="center"/>
    </xf>
    <xf borderId="19" fillId="2" fontId="13" numFmtId="0" xfId="0" applyAlignment="1" applyBorder="1" applyFill="1" applyFont="1">
      <alignment horizontal="center" vertical="center"/>
    </xf>
    <xf borderId="21" fillId="15" fontId="6" numFmtId="0" xfId="0" applyAlignment="1" applyBorder="1" applyFill="1" applyFont="1">
      <alignment vertical="center"/>
    </xf>
    <xf borderId="7" fillId="0" fontId="6" numFmtId="0" xfId="0" applyAlignment="1" applyBorder="1" applyFont="1">
      <alignment horizontal="center"/>
    </xf>
    <xf borderId="2" fillId="16" fontId="10" numFmtId="0" xfId="0" applyAlignment="1" applyBorder="1" applyFill="1" applyFont="1">
      <alignment horizontal="left" vertical="center"/>
    </xf>
    <xf borderId="9" fillId="0" fontId="13" numFmtId="0" xfId="0" applyAlignment="1" applyBorder="1" applyFont="1">
      <alignment horizontal="center" vertical="center"/>
    </xf>
    <xf borderId="2" fillId="9" fontId="13" numFmtId="0" xfId="0" applyAlignment="1" applyBorder="1" applyFill="1" applyFont="1">
      <alignment horizontal="left" vertical="center"/>
    </xf>
    <xf borderId="0" fillId="0" fontId="6" numFmtId="0" xfId="0" applyAlignment="1" applyFont="1">
      <alignment horizontal="center"/>
    </xf>
    <xf borderId="15" fillId="0" fontId="6" numFmtId="0" xfId="0" applyAlignment="1" applyBorder="1" applyFont="1">
      <alignment horizontal="center" shrinkToFit="0" vertical="center" wrapText="1"/>
    </xf>
    <xf borderId="26" fillId="0" fontId="6" numFmtId="0" xfId="0" applyAlignment="1" applyBorder="1" applyFont="1">
      <alignment horizontal="center" shrinkToFit="0" vertical="center" wrapText="1"/>
    </xf>
    <xf borderId="7" fillId="0" fontId="6" numFmtId="0" xfId="0" applyAlignment="1" applyBorder="1" applyFont="1">
      <alignment horizontal="center" shrinkToFit="0" vertical="center" wrapText="1"/>
    </xf>
    <xf borderId="27" fillId="0" fontId="6" numFmtId="0" xfId="0" applyAlignment="1" applyBorder="1" applyFont="1">
      <alignment horizontal="center" shrinkToFit="0" vertical="center" wrapText="1"/>
    </xf>
    <xf borderId="28" fillId="0" fontId="6" numFmtId="0" xfId="0" applyAlignment="1" applyBorder="1" applyFont="1">
      <alignment horizontal="center" shrinkToFit="0" vertical="center" wrapText="1"/>
    </xf>
    <xf borderId="29" fillId="0" fontId="6" numFmtId="0" xfId="0" applyAlignment="1" applyBorder="1" applyFont="1">
      <alignment horizontal="center" shrinkToFit="0" vertical="center" wrapText="1"/>
    </xf>
    <xf borderId="17" fillId="14" fontId="6" numFmtId="0" xfId="0" applyAlignment="1" applyBorder="1" applyFill="1" applyFont="1">
      <alignment horizontal="center" shrinkToFit="0" vertical="center" wrapText="1"/>
    </xf>
    <xf borderId="0" fillId="0" fontId="6" numFmtId="0" xfId="0" applyAlignment="1" applyFont="1">
      <alignment horizontal="center" vertical="center"/>
    </xf>
    <xf borderId="23" fillId="0" fontId="6"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7" fillId="14" fontId="6" numFmtId="0" xfId="0" applyAlignment="1" applyBorder="1" applyFill="1" applyFont="1">
      <alignment horizontal="center" shrinkToFit="0" vertical="center" wrapText="1"/>
    </xf>
    <xf borderId="24" fillId="0" fontId="6" numFmtId="0" xfId="0" applyAlignment="1" applyBorder="1" applyFont="1">
      <alignment horizontal="center" shrinkToFit="0" vertical="center" wrapText="1"/>
    </xf>
    <xf borderId="30" fillId="0" fontId="6" numFmtId="0" xfId="0" applyAlignment="1" applyBorder="1" applyFont="1">
      <alignment horizontal="center" shrinkToFit="0" vertical="center" wrapText="1"/>
    </xf>
    <xf borderId="25" fillId="0" fontId="6" numFmtId="0" xfId="0" applyAlignment="1" applyBorder="1" applyFont="1">
      <alignment horizontal="center" shrinkToFit="0" vertical="center" wrapText="1"/>
    </xf>
    <xf borderId="16" fillId="0" fontId="6" numFmtId="0" xfId="0" applyAlignment="1" applyBorder="1" applyFont="1">
      <alignment horizontal="center" shrinkToFit="0" vertical="center" wrapText="1"/>
    </xf>
    <xf borderId="7" fillId="0" fontId="6" numFmtId="9" xfId="0" applyAlignment="1" applyBorder="1" applyFont="1" applyNumberFormat="1">
      <alignment vertical="center"/>
    </xf>
    <xf borderId="2" fillId="13" fontId="13" numFmtId="0" xfId="0" applyAlignment="1" applyBorder="1" applyFill="1" applyFont="1">
      <alignment horizontal="center" vertical="center"/>
    </xf>
    <xf borderId="31" fillId="0" fontId="6" numFmtId="0" xfId="0" applyAlignment="1" applyBorder="1" applyFont="1">
      <alignment horizontal="center" shrinkToFit="0" vertical="center" wrapText="1"/>
    </xf>
    <xf borderId="2" fillId="2" fontId="13" numFmtId="0" xfId="0" applyAlignment="1" applyBorder="1" applyFill="1" applyFont="1">
      <alignment horizontal="center" vertical="center"/>
    </xf>
    <xf borderId="8" fillId="0" fontId="6" numFmtId="0" xfId="0" applyAlignment="1" applyBorder="1" applyFont="1">
      <alignment horizontal="center" shrinkToFit="0" vertical="center" wrapText="1"/>
    </xf>
    <xf borderId="32" fillId="0" fontId="6" numFmtId="0" xfId="0" applyAlignment="1" applyBorder="1" applyFont="1">
      <alignment horizontal="center" shrinkToFit="0" vertical="center" wrapText="1"/>
    </xf>
    <xf borderId="33" fillId="17" fontId="6" numFmtId="0" xfId="0" applyAlignment="1" applyBorder="1" applyFill="1" applyFont="1">
      <alignment horizontal="center" shrinkToFit="0" vertical="center" wrapText="1"/>
    </xf>
    <xf borderId="10" fillId="0" fontId="6" numFmtId="0" xfId="0" applyAlignment="1" applyBorder="1" applyFont="1">
      <alignment horizontal="center" shrinkToFit="0" vertical="center" wrapText="1"/>
    </xf>
    <xf borderId="8" fillId="0" fontId="6" numFmtId="0" xfId="0" applyAlignment="1" applyBorder="1" applyFont="1">
      <alignment vertical="center"/>
    </xf>
    <xf borderId="9" fillId="0" fontId="6" numFmtId="0" xfId="0" applyAlignment="1" applyBorder="1" applyFont="1">
      <alignment horizontal="center" shrinkToFit="0" vertical="center" wrapText="1"/>
    </xf>
    <xf borderId="0" fillId="0" fontId="15" numFmtId="0" xfId="0" applyFont="1"/>
    <xf borderId="9" fillId="0" fontId="6" numFmtId="0" xfId="0" applyAlignment="1" applyBorder="1" applyFont="1">
      <alignment vertical="center"/>
    </xf>
    <xf borderId="0" fillId="0" fontId="16" numFmtId="0" xfId="0" applyAlignment="1" applyFont="1">
      <alignment horizontal="center" shrinkToFit="0" vertical="center" wrapText="1"/>
    </xf>
    <xf borderId="7" fillId="0" fontId="16" numFmtId="0" xfId="0" applyAlignment="1" applyBorder="1" applyFont="1">
      <alignment horizontal="center" shrinkToFit="0" vertical="center" wrapText="1"/>
    </xf>
    <xf borderId="0" fillId="0" fontId="17" numFmtId="0" xfId="0" applyAlignment="1" applyFont="1">
      <alignment horizontal="left" shrinkToFit="0" vertical="center" wrapText="1"/>
    </xf>
    <xf borderId="10" fillId="0" fontId="6" numFmtId="0" xfId="0" applyAlignment="1" applyBorder="1" applyFont="1">
      <alignment vertical="center"/>
    </xf>
    <xf borderId="0" fillId="0" fontId="18" numFmtId="0" xfId="0" applyAlignment="1" applyFont="1">
      <alignment shrinkToFit="0" vertical="center" wrapText="1"/>
    </xf>
    <xf borderId="8" fillId="0" fontId="16" numFmtId="0" xfId="0" applyAlignment="1" applyBorder="1" applyFont="1">
      <alignment horizontal="center" shrinkToFit="0" vertical="center" wrapText="1"/>
    </xf>
    <xf borderId="9" fillId="0" fontId="16" numFmtId="0" xfId="0" applyAlignment="1" applyBorder="1" applyFont="1">
      <alignment horizontal="center" shrinkToFit="0" vertical="center" wrapText="1"/>
    </xf>
    <xf borderId="24" fillId="0" fontId="6" numFmtId="0" xfId="0" applyAlignment="1" applyBorder="1" applyFont="1">
      <alignment vertical="center"/>
    </xf>
    <xf borderId="23" fillId="0" fontId="6" numFmtId="0" xfId="0" applyAlignment="1" applyBorder="1" applyFont="1">
      <alignment vertical="center"/>
    </xf>
    <xf borderId="15" fillId="0" fontId="6" numFmtId="0" xfId="0" applyAlignment="1" applyBorder="1" applyFont="1">
      <alignment vertical="center"/>
    </xf>
    <xf borderId="8" fillId="0" fontId="6" numFmtId="0" xfId="0" applyAlignment="1" applyBorder="1" applyFont="1">
      <alignment shrinkToFit="0" vertical="center" wrapText="1"/>
    </xf>
    <xf borderId="8" fillId="0" fontId="19" numFmtId="0" xfId="0" applyAlignment="1" applyBorder="1" applyFont="1">
      <alignment horizontal="center" shrinkToFit="0" vertical="center" wrapText="1"/>
    </xf>
    <xf borderId="7" fillId="0" fontId="20" numFmtId="0" xfId="0" applyAlignment="1" applyBorder="1" applyFont="1">
      <alignment shrinkToFit="0" vertical="center" wrapText="1"/>
    </xf>
    <xf borderId="10" fillId="0" fontId="6" numFmtId="0" xfId="0" applyAlignment="1" applyBorder="1" applyFont="1">
      <alignment shrinkToFit="0" vertical="center" wrapText="1"/>
    </xf>
    <xf borderId="7" fillId="0" fontId="6" numFmtId="0" xfId="0" applyAlignment="1" applyBorder="1" applyFont="1">
      <alignment horizontal="center" vertical="center"/>
    </xf>
    <xf borderId="7" fillId="0" fontId="6" numFmtId="0" xfId="0" applyAlignment="1" applyBorder="1" applyFont="1">
      <alignment shrinkToFit="0" vertical="center" wrapText="1"/>
    </xf>
    <xf borderId="7" fillId="0" fontId="6" numFmtId="9" xfId="0" applyAlignment="1" applyBorder="1" applyFont="1" applyNumberFormat="1">
      <alignment horizontal="center" vertical="center"/>
    </xf>
    <xf borderId="7" fillId="0" fontId="21" numFmtId="0" xfId="0" applyAlignment="1" applyBorder="1" applyFont="1">
      <alignment shrinkToFit="0" vertical="center" wrapText="1"/>
    </xf>
    <xf borderId="7" fillId="0" fontId="16" numFmtId="9" xfId="0" applyAlignment="1" applyBorder="1" applyFont="1" applyNumberFormat="1">
      <alignment horizontal="center" shrinkToFit="0" vertical="center" wrapText="1"/>
    </xf>
    <xf borderId="7" fillId="0" fontId="10" numFmtId="0" xfId="0" applyAlignment="1" applyBorder="1" applyFont="1">
      <alignment horizontal="center" vertical="center"/>
    </xf>
    <xf borderId="15" fillId="0" fontId="6" numFmtId="0" xfId="0" applyAlignment="1" applyBorder="1" applyFont="1">
      <alignment shrinkToFit="0" vertical="center" wrapText="1"/>
    </xf>
    <xf borderId="10" fillId="0" fontId="16" numFmtId="0" xfId="0" applyAlignment="1" applyBorder="1" applyFont="1">
      <alignment horizontal="center" shrinkToFit="0" vertical="center" wrapText="1"/>
    </xf>
    <xf borderId="15" fillId="0" fontId="21" numFmtId="0" xfId="0" applyAlignment="1" applyBorder="1" applyFont="1">
      <alignment shrinkToFit="0" vertical="center" wrapText="1"/>
    </xf>
    <xf borderId="16" fillId="0" fontId="6" numFmtId="0" xfId="0" applyAlignment="1" applyBorder="1" applyFont="1">
      <alignment shrinkToFit="0" vertical="center" wrapText="1"/>
    </xf>
    <xf borderId="16" fillId="0" fontId="21" numFmtId="0" xfId="0" applyAlignment="1" applyBorder="1" applyFont="1">
      <alignment shrinkToFit="0" vertical="center" wrapText="1"/>
    </xf>
    <xf borderId="32" fillId="0" fontId="6" numFmtId="0" xfId="0" applyAlignment="1" applyBorder="1" applyFont="1">
      <alignment shrinkToFit="0" vertical="center" wrapText="1"/>
    </xf>
    <xf borderId="24" fillId="0" fontId="6" numFmtId="0" xfId="0" applyAlignment="1" applyBorder="1" applyFont="1">
      <alignment shrinkToFit="0" vertical="center" wrapText="1"/>
    </xf>
    <xf borderId="29" fillId="0" fontId="6" numFmtId="0" xfId="0" applyAlignment="1" applyBorder="1" applyFont="1">
      <alignment shrinkToFit="0" vertical="center" wrapText="1"/>
    </xf>
    <xf borderId="16" fillId="0" fontId="6" numFmtId="0" xfId="0" applyAlignment="1" applyBorder="1" applyFont="1">
      <alignment vertical="center"/>
    </xf>
    <xf borderId="15" fillId="0" fontId="20" numFmtId="0" xfId="0" applyAlignment="1" applyBorder="1" applyFont="1">
      <alignment shrinkToFit="0" vertical="center" wrapText="1"/>
    </xf>
    <xf borderId="8" fillId="0" fontId="21" numFmtId="0" xfId="0" applyAlignment="1" applyBorder="1" applyFont="1">
      <alignment shrinkToFit="0" vertical="center" wrapText="1"/>
    </xf>
    <xf borderId="0" fillId="0" fontId="21" numFmtId="0" xfId="0" applyAlignment="1" applyFont="1">
      <alignment shrinkToFit="0" vertical="center" wrapText="1"/>
    </xf>
    <xf borderId="23" fillId="0" fontId="6" numFmtId="0" xfId="0" applyAlignment="1" applyBorder="1" applyFont="1">
      <alignment shrinkToFit="0" vertical="center" wrapText="1"/>
    </xf>
    <xf borderId="7" fillId="0" fontId="6" numFmtId="0" xfId="0" applyBorder="1" applyFont="1"/>
    <xf borderId="0" fillId="0" fontId="20" numFmtId="0" xfId="0" applyAlignment="1" applyFont="1">
      <alignment horizontal="center" shrinkToFit="0" vertical="center" wrapText="1"/>
    </xf>
    <xf borderId="0" fillId="0" fontId="6" numFmtId="0" xfId="0" applyAlignment="1" applyFont="1">
      <alignment horizontal="left" shrinkToFit="0" wrapText="1"/>
    </xf>
    <xf borderId="2" fillId="5" fontId="13" numFmtId="0" xfId="0" applyAlignment="1" applyBorder="1" applyFill="1" applyFont="1">
      <alignment horizontal="left" vertical="center"/>
    </xf>
    <xf borderId="2" fillId="7" fontId="10" numFmtId="0" xfId="0" applyAlignment="1" applyBorder="1" applyFill="1" applyFont="1">
      <alignment horizontal="left" vertical="center"/>
    </xf>
    <xf borderId="0" fillId="0" fontId="6" numFmtId="0" xfId="0" applyAlignment="1" applyFont="1">
      <alignment horizontal="center" shrinkToFit="0" wrapText="1"/>
    </xf>
    <xf borderId="7" fillId="0" fontId="10" numFmtId="0" xfId="0" applyAlignment="1" applyBorder="1" applyFont="1">
      <alignment horizontal="center" shrinkToFit="0" vertical="center" wrapText="1"/>
    </xf>
    <xf borderId="7" fillId="0" fontId="10" numFmtId="0" xfId="0" applyAlignment="1" applyBorder="1" applyFont="1">
      <alignment shrinkToFit="0" vertical="center" wrapText="1"/>
    </xf>
    <xf borderId="0" fillId="0" fontId="10" numFmtId="0" xfId="0" applyAlignment="1" applyFont="1">
      <alignment horizontal="left"/>
    </xf>
    <xf borderId="0" fillId="0" fontId="6" numFmtId="0" xfId="0" applyAlignment="1" applyFont="1">
      <alignment horizontal="left"/>
    </xf>
    <xf borderId="0" fillId="0" fontId="10" numFmtId="0" xfId="0" applyAlignment="1" applyFont="1">
      <alignment horizontal="left" vertical="center"/>
    </xf>
    <xf borderId="2" fillId="10" fontId="13" numFmtId="0" xfId="0" applyAlignment="1" applyBorder="1" applyFill="1" applyFont="1">
      <alignment horizontal="left" vertical="center"/>
    </xf>
    <xf borderId="0" fillId="0" fontId="10" numFmtId="0" xfId="0" applyAlignment="1" applyFont="1">
      <alignment horizontal="left" shrinkToFit="0" vertical="center" wrapText="1"/>
    </xf>
    <xf borderId="0" fillId="0" fontId="10" numFmtId="0" xfId="0" applyAlignment="1" applyFont="1">
      <alignment shrinkToFit="0" vertical="center" wrapText="1"/>
    </xf>
    <xf borderId="16" fillId="0" fontId="6" numFmtId="0" xfId="0" applyAlignment="1" applyBorder="1" applyFont="1">
      <alignment horizontal="center" vertical="center"/>
    </xf>
    <xf borderId="15" fillId="0" fontId="6" numFmtId="9" xfId="0" applyAlignment="1" applyBorder="1" applyFont="1" applyNumberFormat="1">
      <alignment vertical="center"/>
    </xf>
    <xf borderId="15" fillId="0" fontId="6" numFmtId="0" xfId="0" applyAlignment="1" applyBorder="1" applyFont="1">
      <alignment horizontal="center" vertical="center"/>
    </xf>
    <xf borderId="21" fillId="13" fontId="13" numFmtId="0" xfId="0" applyAlignment="1" applyBorder="1" applyFill="1" applyFont="1">
      <alignment horizontal="center" vertical="center"/>
    </xf>
    <xf borderId="8" fillId="0" fontId="6" numFmtId="0" xfId="0" applyAlignment="1" applyBorder="1" applyFont="1">
      <alignment horizontal="center" vertical="center"/>
    </xf>
    <xf borderId="0" fillId="0" fontId="20" numFmtId="0" xfId="0" applyFont="1"/>
    <xf borderId="10" fillId="0" fontId="6" numFmtId="9" xfId="0" applyAlignment="1" applyBorder="1" applyFont="1" applyNumberFormat="1">
      <alignment horizontal="center" vertical="center"/>
    </xf>
    <xf borderId="2" fillId="11" fontId="13" numFmtId="0" xfId="0" applyAlignment="1" applyBorder="1" applyFill="1" applyFont="1">
      <alignment horizontal="left" vertical="center"/>
    </xf>
    <xf borderId="8" fillId="0" fontId="10" numFmtId="0" xfId="0" applyAlignment="1" applyBorder="1" applyFont="1">
      <alignment horizontal="center"/>
    </xf>
    <xf borderId="8" fillId="0" fontId="10" numFmtId="0" xfId="0" applyAlignment="1" applyBorder="1" applyFont="1">
      <alignment horizontal="left"/>
    </xf>
    <xf borderId="7" fillId="0" fontId="10" numFmtId="0" xfId="0" applyAlignment="1" applyBorder="1" applyFont="1">
      <alignment horizontal="left"/>
    </xf>
    <xf borderId="8" fillId="0" fontId="10" numFmtId="0" xfId="0" applyAlignment="1" applyBorder="1" applyFont="1">
      <alignment horizontal="center" shrinkToFit="0" wrapText="1"/>
    </xf>
    <xf borderId="15" fillId="0" fontId="10" numFmtId="0" xfId="0" applyAlignment="1" applyBorder="1" applyFont="1">
      <alignment horizontal="center"/>
    </xf>
    <xf borderId="15" fillId="0" fontId="10" numFmtId="0" xfId="0" applyAlignment="1" applyBorder="1" applyFont="1">
      <alignment horizontal="center" shrinkToFit="0" wrapText="1"/>
    </xf>
    <xf borderId="7" fillId="0" fontId="6" numFmtId="0" xfId="0" applyAlignment="1" applyBorder="1" applyFont="1">
      <alignment shrinkToFit="0" wrapText="1"/>
    </xf>
    <xf borderId="24" fillId="0" fontId="3" numFmtId="0" xfId="0" applyBorder="1" applyFont="1"/>
    <xf borderId="7" fillId="0" fontId="10" numFmtId="0" xfId="0" applyBorder="1" applyFont="1"/>
    <xf borderId="7" fillId="0" fontId="6" numFmtId="9" xfId="0" applyBorder="1" applyFont="1" applyNumberFormat="1"/>
    <xf borderId="7" fillId="17" fontId="6" numFmtId="9" xfId="0" applyBorder="1" applyFill="1" applyFont="1" applyNumberFormat="1"/>
    <xf borderId="0" fillId="0" fontId="10" numFmtId="0" xfId="0" applyAlignment="1" applyFont="1">
      <alignment horizontal="center" shrinkToFit="0" wrapText="1"/>
    </xf>
    <xf borderId="0" fillId="0" fontId="6" numFmtId="9" xfId="0" applyFont="1" applyNumberFormat="1"/>
    <xf borderId="7" fillId="0" fontId="6" numFmtId="164" xfId="0" applyBorder="1" applyFont="1" applyNumberFormat="1"/>
    <xf borderId="8" fillId="0" fontId="6" numFmtId="9" xfId="0" applyAlignment="1" applyBorder="1" applyFont="1" applyNumberFormat="1">
      <alignment horizontal="left" shrinkToFit="0" vertical="center" wrapText="1"/>
    </xf>
    <xf borderId="8" fillId="0" fontId="6" numFmtId="0" xfId="0" applyAlignment="1" applyBorder="1" applyFont="1">
      <alignment horizontal="center"/>
    </xf>
    <xf borderId="10" fillId="0" fontId="6" numFmtId="0" xfId="0" applyBorder="1" applyFont="1"/>
    <xf borderId="0" fillId="0" fontId="21" numFmtId="0" xfId="0" applyAlignment="1" applyFont="1">
      <alignment vertical="center"/>
    </xf>
    <xf borderId="8" fillId="0" fontId="6" numFmtId="0" xfId="0" applyBorder="1" applyFont="1"/>
    <xf borderId="7" fillId="0" fontId="22" numFmtId="0" xfId="0" applyBorder="1" applyFont="1"/>
    <xf borderId="10" fillId="0" fontId="6" numFmtId="9" xfId="0" applyAlignment="1" applyBorder="1" applyFont="1" applyNumberFormat="1">
      <alignment vertical="center"/>
    </xf>
    <xf borderId="2" fillId="12" fontId="13" numFmtId="0" xfId="0" applyAlignment="1" applyBorder="1" applyFill="1" applyFont="1">
      <alignment horizontal="left" vertical="center"/>
    </xf>
    <xf borderId="0" fillId="0" fontId="13" numFmtId="0" xfId="0" applyAlignment="1" applyFont="1">
      <alignment horizontal="left" vertical="center"/>
    </xf>
    <xf borderId="2" fillId="8" fontId="13" numFmtId="0" xfId="0" applyAlignment="1" applyBorder="1" applyFill="1" applyFont="1">
      <alignment horizontal="left" vertical="center"/>
    </xf>
    <xf borderId="8" fillId="0" fontId="6" numFmtId="9" xfId="0" applyAlignment="1" applyBorder="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85775" cy="1000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0</xdr:row>
      <xdr:rowOff>161925</xdr:rowOff>
    </xdr:from>
    <xdr:ext cx="581025" cy="1190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57150</xdr:rowOff>
    </xdr:from>
    <xdr:ext cx="581025" cy="1114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0</xdr:row>
      <xdr:rowOff>161925</xdr:rowOff>
    </xdr:from>
    <xdr:ext cx="581025" cy="1190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2" width="15.29"/>
    <col customWidth="1" min="3" max="3" width="17.43"/>
    <col customWidth="1" min="4" max="4" width="23.0"/>
    <col customWidth="1" min="5" max="6" width="15.29"/>
    <col customWidth="1" min="7" max="98" width="8.86"/>
  </cols>
  <sheetData>
    <row r="2" ht="78.75" customHeight="1">
      <c r="A2" s="1"/>
      <c r="B2" s="2" t="s">
        <v>0</v>
      </c>
      <c r="C2" s="3"/>
      <c r="D2" s="3"/>
      <c r="E2" s="5"/>
      <c r="F2" s="3"/>
      <c r="G2" s="6"/>
      <c r="H2" s="8"/>
      <c r="I2" s="1"/>
      <c r="J2" s="1"/>
      <c r="K2" s="1"/>
      <c r="L2" s="1"/>
      <c r="M2" s="1"/>
      <c r="N2" s="1"/>
      <c r="O2" s="1"/>
      <c r="P2" s="1"/>
      <c r="Q2" s="1"/>
      <c r="R2" s="1"/>
      <c r="S2" s="1"/>
      <c r="T2" s="9"/>
      <c r="U2" s="9"/>
      <c r="V2" s="9"/>
      <c r="W2" s="11"/>
      <c r="X2" s="3"/>
      <c r="Y2" s="9"/>
      <c r="Z2" s="9"/>
      <c r="AA2" s="1"/>
      <c r="AB2" s="1"/>
      <c r="AC2" s="1"/>
      <c r="AD2" s="1"/>
      <c r="AE2" s="1"/>
      <c r="AF2" s="1"/>
      <c r="AG2" s="11"/>
      <c r="AH2" s="3"/>
      <c r="AI2" s="5"/>
      <c r="AJ2" s="3"/>
      <c r="AK2" s="1"/>
      <c r="AL2" s="1"/>
      <c r="AM2" s="1"/>
      <c r="AN2" s="1"/>
      <c r="AO2" s="1"/>
      <c r="AP2" s="1"/>
      <c r="AQ2" s="13"/>
      <c r="AR2" s="3"/>
      <c r="AS2" s="13"/>
      <c r="AT2" s="3"/>
      <c r="AU2" s="5"/>
      <c r="AV2" s="3"/>
      <c r="AW2" s="1"/>
      <c r="AX2" s="1"/>
      <c r="AY2" s="1"/>
      <c r="AZ2" s="1"/>
      <c r="BA2" s="5"/>
      <c r="BB2" s="3"/>
      <c r="BC2" s="9"/>
      <c r="BD2" s="9"/>
      <c r="BE2" s="1"/>
      <c r="BF2" s="1"/>
      <c r="BG2" s="15"/>
      <c r="BH2" s="3"/>
      <c r="BI2" s="1"/>
      <c r="BJ2" s="1"/>
      <c r="BK2" s="1"/>
      <c r="BL2" s="1"/>
      <c r="BM2" s="1"/>
      <c r="BN2" s="1"/>
      <c r="BO2" s="1"/>
      <c r="BP2" s="1"/>
      <c r="BQ2" s="1"/>
      <c r="BR2" s="1"/>
      <c r="BS2" s="1"/>
      <c r="BT2" s="1"/>
      <c r="BU2" s="1"/>
      <c r="BV2" s="1"/>
      <c r="BW2" s="1"/>
      <c r="BX2" s="1"/>
      <c r="BY2" s="1"/>
      <c r="BZ2" s="1"/>
      <c r="CA2" s="1"/>
      <c r="CB2" s="1"/>
      <c r="CC2" s="1"/>
      <c r="CD2" s="1"/>
      <c r="CE2" s="1"/>
      <c r="CF2" s="1"/>
      <c r="CG2" s="1"/>
      <c r="CH2" s="1"/>
      <c r="CI2" s="11" t="s">
        <v>14</v>
      </c>
      <c r="CJ2" s="3"/>
      <c r="CK2" s="1"/>
      <c r="CL2" s="1"/>
      <c r="CM2" s="1"/>
      <c r="CN2" s="1"/>
      <c r="CO2" s="1"/>
      <c r="CP2" s="1"/>
      <c r="CQ2" s="1"/>
      <c r="CR2" s="1"/>
      <c r="CS2" s="9"/>
      <c r="CT2" s="1"/>
    </row>
    <row r="4" ht="54.75" customHeight="1">
      <c r="B4" s="20" t="s">
        <v>17</v>
      </c>
    </row>
    <row r="5" ht="54.75" customHeight="1"/>
    <row r="7">
      <c r="B7" s="21" t="s">
        <v>19</v>
      </c>
    </row>
    <row r="8" ht="96.0" customHeight="1">
      <c r="A8" s="22" t="s">
        <v>21</v>
      </c>
      <c r="B8" s="23" t="s">
        <v>22</v>
      </c>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row>
    <row r="9" ht="96.0" customHeight="1">
      <c r="A9" s="22" t="s">
        <v>30</v>
      </c>
      <c r="B9" s="23" t="s">
        <v>31</v>
      </c>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row>
    <row r="10" ht="53.25" customHeight="1">
      <c r="A10" s="22" t="s">
        <v>39</v>
      </c>
      <c r="B10" s="23" t="s">
        <v>40</v>
      </c>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row>
    <row r="11" ht="53.25" customHeight="1">
      <c r="A11" s="22" t="s">
        <v>45</v>
      </c>
      <c r="B11" s="23" t="s">
        <v>46</v>
      </c>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row>
    <row r="12" ht="53.25" customHeight="1">
      <c r="A12" s="22" t="s">
        <v>47</v>
      </c>
      <c r="B12" s="23" t="s">
        <v>48</v>
      </c>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row>
    <row r="13" ht="53.25" customHeight="1">
      <c r="A13" s="22" t="s">
        <v>56</v>
      </c>
      <c r="B13" s="23" t="s">
        <v>58</v>
      </c>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row>
    <row r="14" ht="53.25" customHeight="1">
      <c r="A14" s="22" t="s">
        <v>94</v>
      </c>
      <c r="B14" s="23" t="s">
        <v>95</v>
      </c>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row>
    <row r="15">
      <c r="A15" s="22" t="s">
        <v>121</v>
      </c>
      <c r="B15" s="105" t="s">
        <v>122</v>
      </c>
    </row>
    <row r="19">
      <c r="B19" s="109" t="s">
        <v>125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U2:AV2"/>
    <mergeCell ref="BA2:BB2"/>
    <mergeCell ref="BG2:BH2"/>
    <mergeCell ref="CI2:CJ2"/>
    <mergeCell ref="B2:D2"/>
    <mergeCell ref="E2:F2"/>
    <mergeCell ref="W2:X2"/>
    <mergeCell ref="AG2:AH2"/>
    <mergeCell ref="AI2:AJ2"/>
    <mergeCell ref="AQ2:AR2"/>
    <mergeCell ref="AS2:AT2"/>
    <mergeCell ref="B14:H14"/>
    <mergeCell ref="B19:H20"/>
    <mergeCell ref="B4:H5"/>
    <mergeCell ref="B8:H8"/>
    <mergeCell ref="B9:H9"/>
    <mergeCell ref="B10:H10"/>
    <mergeCell ref="B11:H11"/>
    <mergeCell ref="B12:H12"/>
    <mergeCell ref="B13:H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7.29"/>
    <col customWidth="1" min="3" max="3" width="20.71"/>
    <col customWidth="1" min="4" max="4" width="21.29"/>
    <col customWidth="1" min="5" max="5" width="12.71"/>
    <col customWidth="1" min="6" max="6" width="22.71"/>
    <col customWidth="1" min="7" max="7" width="15.14"/>
    <col customWidth="1" min="8" max="8" width="26.43"/>
    <col customWidth="1" min="9" max="9" width="37.43"/>
    <col customWidth="1" min="10" max="11" width="18.43"/>
    <col customWidth="1" min="12" max="12" width="38.71"/>
    <col customWidth="1" min="13" max="15" width="29.86"/>
    <col customWidth="1" min="16" max="16" width="17.86"/>
    <col customWidth="1" min="17" max="18" width="22.43"/>
    <col customWidth="1" min="19" max="20" width="19.43"/>
    <col customWidth="1" min="21" max="22" width="17.29"/>
    <col customWidth="1" min="23" max="24" width="16.29"/>
    <col customWidth="1" min="25" max="25" width="18.0"/>
    <col customWidth="1" min="26" max="41" width="13.71"/>
    <col customWidth="1" min="42" max="45" width="15.86"/>
    <col customWidth="1" min="46" max="46" width="18.86"/>
    <col customWidth="1" min="47" max="47" width="16.29"/>
    <col customWidth="1" min="48" max="49" width="16.71"/>
    <col customWidth="1" min="50" max="59" width="16.29"/>
    <col customWidth="1" min="60" max="61" width="20.43"/>
    <col customWidth="1" min="62" max="63" width="30.29"/>
    <col customWidth="1" min="64" max="65" width="16.29"/>
    <col customWidth="1" min="66" max="67" width="15.86"/>
    <col customWidth="1" min="68" max="68" width="18.43"/>
    <col customWidth="1" min="69" max="69" width="15.86"/>
    <col customWidth="1" min="70" max="75" width="16.29"/>
    <col customWidth="1" min="76" max="77" width="18.71"/>
    <col customWidth="1" min="78" max="79" width="15.43"/>
    <col customWidth="1" min="80" max="81" width="18.14"/>
    <col customWidth="1" min="82" max="83" width="16.14"/>
    <col customWidth="1" min="84" max="85" width="13.86"/>
    <col customWidth="1" min="86" max="91" width="14.43"/>
    <col customWidth="1" min="92" max="101" width="14.29"/>
    <col customWidth="1" min="102" max="102" width="8.86"/>
  </cols>
  <sheetData>
    <row r="1" ht="16.5" hidden="1" customHeight="1">
      <c r="G1" s="4"/>
      <c r="H1" s="4"/>
      <c r="T1" s="7"/>
      <c r="U1" s="7"/>
      <c r="V1" s="7"/>
      <c r="W1" s="7"/>
      <c r="X1" s="7"/>
      <c r="Y1" s="7"/>
    </row>
    <row r="2" ht="216.0" customHeight="1">
      <c r="A2" s="1"/>
      <c r="B2" s="10" t="s">
        <v>1</v>
      </c>
      <c r="C2" s="3"/>
      <c r="D2" s="3"/>
      <c r="E2" s="5" t="s">
        <v>3</v>
      </c>
      <c r="F2" s="3"/>
      <c r="G2" s="6" t="s">
        <v>4</v>
      </c>
      <c r="H2" s="8"/>
      <c r="I2" s="1"/>
      <c r="J2" s="1"/>
      <c r="K2" s="1"/>
      <c r="L2" s="1"/>
      <c r="M2" s="1"/>
      <c r="N2" s="1"/>
      <c r="O2" s="1"/>
      <c r="P2" s="1"/>
      <c r="Q2" s="1"/>
      <c r="R2" s="1"/>
      <c r="S2" s="1"/>
      <c r="T2" s="9"/>
      <c r="U2" s="9"/>
      <c r="V2" s="9"/>
      <c r="W2" s="9" t="s">
        <v>6</v>
      </c>
      <c r="X2" s="9"/>
      <c r="Y2" s="9"/>
      <c r="Z2" s="1"/>
      <c r="AA2" s="1"/>
      <c r="AB2" s="1"/>
      <c r="AC2" s="1"/>
      <c r="AD2" s="1"/>
      <c r="AE2" s="1"/>
      <c r="AF2" s="1"/>
      <c r="AG2" s="1"/>
      <c r="AH2" s="14" t="s">
        <v>7</v>
      </c>
      <c r="AI2" s="3"/>
      <c r="AJ2" s="5" t="s">
        <v>8</v>
      </c>
      <c r="AK2" s="3"/>
      <c r="AL2" s="1"/>
      <c r="AM2" s="1"/>
      <c r="AN2" s="1"/>
      <c r="AO2" s="1"/>
      <c r="AP2" s="9" t="s">
        <v>9</v>
      </c>
      <c r="AQ2" s="9" t="s">
        <v>9</v>
      </c>
      <c r="AR2" s="13" t="s">
        <v>11</v>
      </c>
      <c r="AS2" s="3"/>
      <c r="AT2" s="13" t="s">
        <v>12</v>
      </c>
      <c r="AU2" s="3"/>
      <c r="AV2" s="5" t="s">
        <v>13</v>
      </c>
      <c r="AW2" s="3"/>
      <c r="AX2" s="1"/>
      <c r="AY2" s="1"/>
      <c r="AZ2" s="1"/>
      <c r="BA2" s="1"/>
      <c r="BB2" s="5" t="s">
        <v>15</v>
      </c>
      <c r="BC2" s="3"/>
      <c r="BD2" s="9" t="s">
        <v>18</v>
      </c>
      <c r="BE2" s="9" t="s">
        <v>18</v>
      </c>
      <c r="BF2" s="1"/>
      <c r="BG2" s="1"/>
      <c r="BH2" s="15"/>
      <c r="BI2" s="3"/>
      <c r="BJ2" s="1"/>
      <c r="BK2" s="1"/>
      <c r="BL2" s="1"/>
      <c r="BM2" s="1"/>
      <c r="BN2" s="1"/>
      <c r="BO2" s="1"/>
      <c r="BP2" s="1"/>
      <c r="BQ2" s="1"/>
      <c r="BR2" s="1"/>
      <c r="BS2" s="1"/>
      <c r="BT2" s="1"/>
      <c r="BU2" s="1"/>
      <c r="BV2" s="1"/>
      <c r="BW2" s="1"/>
      <c r="BX2" s="1"/>
      <c r="BY2" s="1"/>
      <c r="BZ2" s="1"/>
      <c r="CA2" s="1"/>
      <c r="CB2" s="1"/>
      <c r="CC2" s="1"/>
      <c r="CD2" s="1"/>
      <c r="CE2" s="1"/>
      <c r="CF2" s="1"/>
      <c r="CG2" s="1"/>
      <c r="CH2" s="1"/>
      <c r="CI2" s="1"/>
      <c r="CJ2" s="11" t="s">
        <v>14</v>
      </c>
      <c r="CK2" s="3"/>
      <c r="CL2" s="1"/>
      <c r="CM2" s="1"/>
      <c r="CN2" s="1"/>
      <c r="CO2" s="1"/>
      <c r="CP2" s="1"/>
      <c r="CQ2" s="1"/>
      <c r="CR2" s="1"/>
      <c r="CS2" s="1"/>
      <c r="CT2" s="9"/>
      <c r="CU2" s="1"/>
      <c r="CV2" s="1"/>
      <c r="CW2" s="1"/>
      <c r="CX2" s="1"/>
    </row>
    <row r="3">
      <c r="A3" s="25"/>
      <c r="B3" s="26" t="s">
        <v>23</v>
      </c>
      <c r="C3" s="27"/>
      <c r="D3" s="29" t="s">
        <v>24</v>
      </c>
      <c r="E3" s="30"/>
      <c r="F3" s="30"/>
      <c r="G3" s="31"/>
      <c r="H3" s="33" t="s">
        <v>25</v>
      </c>
      <c r="I3" s="30"/>
      <c r="J3" s="30"/>
      <c r="K3" s="30"/>
      <c r="L3" s="30"/>
      <c r="M3" s="30"/>
      <c r="N3" s="30"/>
      <c r="O3" s="30"/>
      <c r="P3" s="30"/>
      <c r="Q3" s="30"/>
      <c r="R3" s="30"/>
      <c r="S3" s="30"/>
      <c r="T3" s="30"/>
      <c r="U3" s="30"/>
      <c r="V3" s="30"/>
      <c r="W3" s="30"/>
      <c r="X3" s="30"/>
      <c r="Y3" s="34"/>
      <c r="Z3" s="35" t="s">
        <v>27</v>
      </c>
      <c r="AA3" s="30"/>
      <c r="AB3" s="30"/>
      <c r="AC3" s="30"/>
      <c r="AD3" s="30"/>
      <c r="AE3" s="30"/>
      <c r="AF3" s="30"/>
      <c r="AG3" s="30"/>
      <c r="AH3" s="30"/>
      <c r="AI3" s="30"/>
      <c r="AJ3" s="30"/>
      <c r="AK3" s="30"/>
      <c r="AL3" s="30"/>
      <c r="AM3" s="34"/>
      <c r="AN3" s="36" t="s">
        <v>29</v>
      </c>
      <c r="AO3" s="30"/>
      <c r="AP3" s="30"/>
      <c r="AQ3" s="30"/>
      <c r="AR3" s="30"/>
      <c r="AS3" s="30"/>
      <c r="AT3" s="30"/>
      <c r="AU3" s="30"/>
      <c r="AV3" s="30"/>
      <c r="AW3" s="30"/>
      <c r="AX3" s="30"/>
      <c r="AY3" s="30"/>
      <c r="AZ3" s="30"/>
      <c r="BA3" s="30"/>
      <c r="BB3" s="30"/>
      <c r="BC3" s="30"/>
      <c r="BD3" s="30"/>
      <c r="BE3" s="30"/>
      <c r="BF3" s="30"/>
      <c r="BG3" s="30"/>
      <c r="BH3" s="30"/>
      <c r="BI3" s="30"/>
      <c r="BJ3" s="30"/>
      <c r="BK3" s="30"/>
      <c r="BL3" s="30"/>
      <c r="BM3" s="31"/>
      <c r="BN3" s="37" t="s">
        <v>32</v>
      </c>
      <c r="BO3" s="30"/>
      <c r="BP3" s="30"/>
      <c r="BQ3" s="30"/>
      <c r="BR3" s="30"/>
      <c r="BS3" s="30"/>
      <c r="BT3" s="30"/>
      <c r="BU3" s="30"/>
      <c r="BV3" s="30"/>
      <c r="BW3" s="31"/>
      <c r="BX3" s="38" t="s">
        <v>34</v>
      </c>
      <c r="BY3" s="30"/>
      <c r="BZ3" s="30"/>
      <c r="CA3" s="30"/>
      <c r="CB3" s="30"/>
      <c r="CC3" s="30"/>
      <c r="CD3" s="30"/>
      <c r="CE3" s="30"/>
      <c r="CF3" s="30"/>
      <c r="CG3" s="31"/>
      <c r="CH3" s="39" t="s">
        <v>35</v>
      </c>
      <c r="CI3" s="30"/>
      <c r="CJ3" s="30"/>
      <c r="CK3" s="30"/>
      <c r="CL3" s="30"/>
      <c r="CM3" s="34"/>
      <c r="CN3" s="40" t="s">
        <v>36</v>
      </c>
      <c r="CO3" s="30"/>
      <c r="CP3" s="30"/>
      <c r="CQ3" s="30"/>
      <c r="CR3" s="30"/>
      <c r="CS3" s="34"/>
      <c r="CT3" s="41" t="s">
        <v>37</v>
      </c>
      <c r="CU3" s="42"/>
      <c r="CV3" s="42"/>
      <c r="CW3" s="43"/>
    </row>
    <row r="4">
      <c r="A4" s="44"/>
      <c r="B4" s="45"/>
      <c r="C4" s="45"/>
      <c r="D4" s="46"/>
      <c r="E4" s="48"/>
      <c r="F4" s="49"/>
      <c r="G4" s="50"/>
      <c r="H4" s="51"/>
      <c r="I4" s="52"/>
      <c r="J4" s="51"/>
      <c r="K4" s="51"/>
      <c r="L4" s="51"/>
      <c r="M4" s="51"/>
      <c r="N4" s="51"/>
      <c r="O4" s="51"/>
      <c r="P4" s="51"/>
      <c r="Q4" s="53" t="s">
        <v>42</v>
      </c>
      <c r="R4" s="54" t="s">
        <v>43</v>
      </c>
      <c r="S4" s="53" t="s">
        <v>42</v>
      </c>
      <c r="T4" s="54" t="s">
        <v>43</v>
      </c>
      <c r="U4" s="53" t="s">
        <v>42</v>
      </c>
      <c r="V4" s="54" t="s">
        <v>43</v>
      </c>
      <c r="W4" s="53" t="s">
        <v>42</v>
      </c>
      <c r="X4" s="54" t="s">
        <v>43</v>
      </c>
      <c r="Y4" s="53" t="s">
        <v>42</v>
      </c>
      <c r="Z4" s="53" t="s">
        <v>42</v>
      </c>
      <c r="AA4" s="55" t="s">
        <v>43</v>
      </c>
      <c r="AB4" s="53" t="s">
        <v>42</v>
      </c>
      <c r="AC4" s="55" t="s">
        <v>43</v>
      </c>
      <c r="AD4" s="53" t="s">
        <v>42</v>
      </c>
      <c r="AE4" s="54" t="s">
        <v>43</v>
      </c>
      <c r="AF4" s="53" t="s">
        <v>42</v>
      </c>
      <c r="AG4" s="54" t="s">
        <v>43</v>
      </c>
      <c r="AH4" s="53" t="s">
        <v>42</v>
      </c>
      <c r="AI4" s="54" t="s">
        <v>43</v>
      </c>
      <c r="AJ4" s="53" t="s">
        <v>42</v>
      </c>
      <c r="AK4" s="54" t="s">
        <v>43</v>
      </c>
      <c r="AL4" s="53" t="s">
        <v>42</v>
      </c>
      <c r="AM4" s="59" t="s">
        <v>43</v>
      </c>
      <c r="AN4" s="53" t="s">
        <v>42</v>
      </c>
      <c r="AO4" s="60" t="s">
        <v>43</v>
      </c>
      <c r="AP4" s="53" t="s">
        <v>42</v>
      </c>
      <c r="AQ4" s="62" t="s">
        <v>43</v>
      </c>
      <c r="AR4" s="53" t="s">
        <v>42</v>
      </c>
      <c r="AS4" s="62" t="s">
        <v>43</v>
      </c>
      <c r="AT4" s="53" t="s">
        <v>42</v>
      </c>
      <c r="AU4" s="62" t="s">
        <v>43</v>
      </c>
      <c r="AV4" s="53" t="s">
        <v>42</v>
      </c>
      <c r="AW4" s="62" t="s">
        <v>43</v>
      </c>
      <c r="AX4" s="53" t="s">
        <v>42</v>
      </c>
      <c r="AY4" s="62" t="s">
        <v>43</v>
      </c>
      <c r="AZ4" s="53" t="s">
        <v>42</v>
      </c>
      <c r="BA4" s="67" t="s">
        <v>43</v>
      </c>
      <c r="BB4" s="53" t="s">
        <v>42</v>
      </c>
      <c r="BC4" s="60" t="s">
        <v>43</v>
      </c>
      <c r="BD4" s="53" t="s">
        <v>42</v>
      </c>
      <c r="BE4" s="60" t="s">
        <v>43</v>
      </c>
      <c r="BF4" s="53" t="s">
        <v>42</v>
      </c>
      <c r="BG4" s="60" t="s">
        <v>43</v>
      </c>
      <c r="BH4" s="53" t="s">
        <v>42</v>
      </c>
      <c r="BI4" s="60" t="s">
        <v>43</v>
      </c>
      <c r="BJ4" s="53" t="s">
        <v>42</v>
      </c>
      <c r="BK4" s="60" t="s">
        <v>43</v>
      </c>
      <c r="BL4" s="53" t="s">
        <v>42</v>
      </c>
      <c r="BM4" s="60" t="s">
        <v>43</v>
      </c>
      <c r="BN4" s="53" t="s">
        <v>42</v>
      </c>
      <c r="BO4" s="60" t="s">
        <v>43</v>
      </c>
      <c r="BP4" s="53" t="s">
        <v>42</v>
      </c>
      <c r="BQ4" s="60" t="s">
        <v>43</v>
      </c>
      <c r="BR4" s="53" t="s">
        <v>42</v>
      </c>
      <c r="BS4" s="60" t="s">
        <v>43</v>
      </c>
      <c r="BT4" s="53" t="s">
        <v>42</v>
      </c>
      <c r="BU4" s="60" t="s">
        <v>43</v>
      </c>
      <c r="BV4" s="53" t="s">
        <v>42</v>
      </c>
      <c r="BW4" s="60" t="s">
        <v>43</v>
      </c>
      <c r="BX4" s="53" t="s">
        <v>42</v>
      </c>
      <c r="BY4" s="73" t="s">
        <v>43</v>
      </c>
      <c r="BZ4" s="53" t="s">
        <v>42</v>
      </c>
      <c r="CA4" s="59" t="s">
        <v>43</v>
      </c>
      <c r="CB4" s="53" t="s">
        <v>42</v>
      </c>
      <c r="CC4" s="73" t="s">
        <v>43</v>
      </c>
      <c r="CD4" s="53" t="s">
        <v>42</v>
      </c>
      <c r="CE4" s="73" t="s">
        <v>43</v>
      </c>
      <c r="CF4" s="53" t="s">
        <v>42</v>
      </c>
      <c r="CG4" s="73" t="s">
        <v>43</v>
      </c>
      <c r="CH4" s="53" t="s">
        <v>42</v>
      </c>
      <c r="CI4" s="59" t="s">
        <v>43</v>
      </c>
      <c r="CJ4" s="53" t="s">
        <v>42</v>
      </c>
      <c r="CK4" s="59" t="s">
        <v>43</v>
      </c>
      <c r="CL4" s="53" t="s">
        <v>42</v>
      </c>
      <c r="CM4" s="59" t="s">
        <v>43</v>
      </c>
      <c r="CN4" s="53" t="s">
        <v>42</v>
      </c>
      <c r="CO4" s="60" t="s">
        <v>43</v>
      </c>
      <c r="CP4" s="53" t="s">
        <v>42</v>
      </c>
      <c r="CQ4" s="60" t="s">
        <v>43</v>
      </c>
      <c r="CR4" s="53" t="s">
        <v>42</v>
      </c>
      <c r="CS4" s="60" t="s">
        <v>43</v>
      </c>
      <c r="CT4" s="53" t="s">
        <v>42</v>
      </c>
      <c r="CU4" s="60" t="s">
        <v>43</v>
      </c>
      <c r="CV4" s="53" t="s">
        <v>42</v>
      </c>
      <c r="CW4" s="55" t="s">
        <v>43</v>
      </c>
      <c r="CX4" s="79"/>
    </row>
    <row r="5">
      <c r="A5" s="7"/>
      <c r="B5" s="80" t="s">
        <v>52</v>
      </c>
      <c r="C5" s="80" t="s">
        <v>53</v>
      </c>
      <c r="D5" s="81" t="s">
        <v>54</v>
      </c>
      <c r="E5" s="83" t="s">
        <v>55</v>
      </c>
      <c r="F5" s="80" t="s">
        <v>57</v>
      </c>
      <c r="G5" s="80" t="s">
        <v>59</v>
      </c>
      <c r="H5" s="7" t="s">
        <v>60</v>
      </c>
      <c r="I5" s="86" t="s">
        <v>62</v>
      </c>
      <c r="J5" s="81" t="s">
        <v>63</v>
      </c>
      <c r="K5" s="88" t="s">
        <v>65</v>
      </c>
      <c r="L5" s="88" t="s">
        <v>66</v>
      </c>
      <c r="M5" s="88" t="s">
        <v>67</v>
      </c>
      <c r="N5" s="88" t="s">
        <v>68</v>
      </c>
      <c r="O5" s="88" t="s">
        <v>70</v>
      </c>
      <c r="P5" s="83" t="s">
        <v>71</v>
      </c>
      <c r="Q5" s="80" t="s">
        <v>72</v>
      </c>
      <c r="R5" s="88" t="s">
        <v>72</v>
      </c>
      <c r="S5" s="88" t="s">
        <v>73</v>
      </c>
      <c r="T5" s="88" t="s">
        <v>73</v>
      </c>
      <c r="U5" s="81" t="s">
        <v>75</v>
      </c>
      <c r="V5" s="81" t="s">
        <v>75</v>
      </c>
      <c r="W5" s="81" t="s">
        <v>76</v>
      </c>
      <c r="X5" s="81" t="s">
        <v>76</v>
      </c>
      <c r="Y5" s="92" t="s">
        <v>77</v>
      </c>
      <c r="Z5" s="93" t="s">
        <v>79</v>
      </c>
      <c r="AA5" s="93" t="s">
        <v>79</v>
      </c>
      <c r="AB5" s="88" t="s">
        <v>80</v>
      </c>
      <c r="AC5" s="88" t="s">
        <v>80</v>
      </c>
      <c r="AD5" s="88" t="s">
        <v>81</v>
      </c>
      <c r="AE5" s="88" t="s">
        <v>81</v>
      </c>
      <c r="AF5" s="88" t="s">
        <v>82</v>
      </c>
      <c r="AG5" s="88" t="s">
        <v>82</v>
      </c>
      <c r="AH5" s="88" t="s">
        <v>83</v>
      </c>
      <c r="AI5" s="88" t="s">
        <v>83</v>
      </c>
      <c r="AJ5" s="81" t="s">
        <v>84</v>
      </c>
      <c r="AK5" s="81" t="s">
        <v>84</v>
      </c>
      <c r="AL5" s="80" t="s">
        <v>85</v>
      </c>
      <c r="AM5" s="94" t="s">
        <v>85</v>
      </c>
      <c r="AN5" s="80" t="s">
        <v>86</v>
      </c>
      <c r="AO5" s="80" t="s">
        <v>86</v>
      </c>
      <c r="AP5" s="80" t="s">
        <v>87</v>
      </c>
      <c r="AQ5" s="81" t="s">
        <v>87</v>
      </c>
      <c r="AR5" s="88" t="s">
        <v>88</v>
      </c>
      <c r="AS5" s="88" t="s">
        <v>88</v>
      </c>
      <c r="AT5" s="80" t="s">
        <v>89</v>
      </c>
      <c r="AU5" s="94" t="s">
        <v>90</v>
      </c>
      <c r="AV5" s="80" t="s">
        <v>91</v>
      </c>
      <c r="AW5" s="80" t="s">
        <v>91</v>
      </c>
      <c r="AX5" s="94" t="s">
        <v>92</v>
      </c>
      <c r="AY5" s="94" t="s">
        <v>92</v>
      </c>
      <c r="AZ5" s="80" t="s">
        <v>93</v>
      </c>
      <c r="BA5" s="80" t="s">
        <v>93</v>
      </c>
      <c r="BB5" s="97" t="s">
        <v>96</v>
      </c>
      <c r="BC5" s="97" t="s">
        <v>96</v>
      </c>
      <c r="BD5" s="97" t="s">
        <v>97</v>
      </c>
      <c r="BE5" s="97" t="s">
        <v>98</v>
      </c>
      <c r="BF5" s="80" t="s">
        <v>99</v>
      </c>
      <c r="BG5" s="80" t="s">
        <v>99</v>
      </c>
      <c r="BH5" s="97" t="s">
        <v>100</v>
      </c>
      <c r="BI5" s="97" t="s">
        <v>100</v>
      </c>
      <c r="BJ5" s="80" t="s">
        <v>101</v>
      </c>
      <c r="BK5" s="94" t="s">
        <v>101</v>
      </c>
      <c r="BL5" s="80" t="s">
        <v>102</v>
      </c>
      <c r="BM5" s="100" t="s">
        <v>102</v>
      </c>
      <c r="BN5" s="80" t="s">
        <v>104</v>
      </c>
      <c r="BO5" s="97" t="s">
        <v>104</v>
      </c>
      <c r="BP5" s="101" t="s">
        <v>105</v>
      </c>
      <c r="BQ5" s="101" t="s">
        <v>105</v>
      </c>
      <c r="BR5" s="80" t="s">
        <v>106</v>
      </c>
      <c r="BS5" s="80" t="s">
        <v>106</v>
      </c>
      <c r="BT5" s="80" t="s">
        <v>107</v>
      </c>
      <c r="BU5" s="80" t="s">
        <v>107</v>
      </c>
      <c r="BV5" s="80" t="s">
        <v>108</v>
      </c>
      <c r="BW5" s="80" t="s">
        <v>108</v>
      </c>
      <c r="BX5" s="81" t="s">
        <v>109</v>
      </c>
      <c r="BY5" s="7" t="s">
        <v>109</v>
      </c>
      <c r="BZ5" s="80" t="s">
        <v>110</v>
      </c>
      <c r="CA5" s="80" t="s">
        <v>110</v>
      </c>
      <c r="CB5" s="81" t="s">
        <v>111</v>
      </c>
      <c r="CC5" s="88" t="s">
        <v>111</v>
      </c>
      <c r="CD5" s="80" t="s">
        <v>112</v>
      </c>
      <c r="CE5" s="80" t="s">
        <v>112</v>
      </c>
      <c r="CF5" s="80" t="s">
        <v>114</v>
      </c>
      <c r="CG5" s="7" t="s">
        <v>114</v>
      </c>
      <c r="CH5" s="94" t="s">
        <v>115</v>
      </c>
      <c r="CI5" s="80" t="s">
        <v>115</v>
      </c>
      <c r="CJ5" s="97" t="s">
        <v>116</v>
      </c>
      <c r="CK5" s="94" t="s">
        <v>116</v>
      </c>
      <c r="CL5" s="80" t="s">
        <v>117</v>
      </c>
      <c r="CM5" s="80" t="s">
        <v>117</v>
      </c>
      <c r="CN5" s="80" t="s">
        <v>118</v>
      </c>
      <c r="CO5" s="80" t="s">
        <v>118</v>
      </c>
      <c r="CP5" s="80" t="s">
        <v>119</v>
      </c>
      <c r="CQ5" s="80" t="s">
        <v>119</v>
      </c>
      <c r="CR5" s="80" t="s">
        <v>120</v>
      </c>
      <c r="CS5" s="80" t="s">
        <v>120</v>
      </c>
      <c r="CT5" s="80" t="s">
        <v>123</v>
      </c>
      <c r="CU5" s="80" t="s">
        <v>123</v>
      </c>
      <c r="CV5" s="80" t="s">
        <v>124</v>
      </c>
      <c r="CW5" s="97" t="s">
        <v>124</v>
      </c>
    </row>
    <row r="6" ht="145.5" customHeight="1">
      <c r="A6" s="107"/>
      <c r="B6" s="108"/>
      <c r="C6" s="108"/>
      <c r="D6" s="108"/>
      <c r="E6" s="108"/>
      <c r="F6" s="112"/>
      <c r="G6" s="112"/>
      <c r="H6" s="112"/>
      <c r="I6" s="112"/>
      <c r="J6" s="108"/>
      <c r="K6" s="112"/>
      <c r="L6" s="112"/>
      <c r="M6" s="108"/>
      <c r="N6" s="112"/>
      <c r="O6" s="108"/>
      <c r="P6" s="113"/>
      <c r="Q6" s="112"/>
      <c r="R6" s="112"/>
      <c r="S6" s="108"/>
      <c r="T6" s="112"/>
      <c r="U6" s="112"/>
      <c r="V6" s="112"/>
      <c r="W6" s="118"/>
      <c r="X6" s="118"/>
      <c r="Y6" s="118"/>
      <c r="Z6" s="108"/>
      <c r="AA6" s="108"/>
      <c r="AB6" s="108"/>
      <c r="AC6" s="108"/>
      <c r="AD6" s="108"/>
      <c r="AE6" s="108"/>
      <c r="AF6" s="108"/>
      <c r="AG6" s="108"/>
      <c r="AH6" s="108"/>
      <c r="AI6" s="108"/>
      <c r="AJ6" s="108"/>
      <c r="AK6" s="108"/>
      <c r="AL6" s="108"/>
      <c r="AM6" s="112"/>
      <c r="AN6" s="108"/>
      <c r="AO6" s="112"/>
      <c r="AP6" s="108"/>
      <c r="AQ6" s="108"/>
      <c r="AR6" s="125"/>
      <c r="AS6" s="108"/>
      <c r="AT6" s="108"/>
      <c r="AU6" s="112"/>
      <c r="AV6" s="108"/>
      <c r="AW6" s="112"/>
      <c r="AX6" s="112"/>
      <c r="AY6" s="112"/>
      <c r="AZ6" s="112"/>
      <c r="BA6" s="112"/>
      <c r="BB6" s="112"/>
      <c r="BC6" s="112"/>
      <c r="BD6" s="108"/>
      <c r="BE6" s="108"/>
      <c r="BF6" s="113"/>
      <c r="BG6" s="112"/>
      <c r="BH6" s="112"/>
      <c r="BI6" s="112"/>
      <c r="BJ6" s="112"/>
      <c r="BK6" s="112"/>
      <c r="BL6" s="112"/>
      <c r="BM6" s="112"/>
      <c r="BN6" s="112"/>
      <c r="BO6" s="112"/>
      <c r="BP6" s="112"/>
      <c r="BQ6" s="112"/>
      <c r="BR6" s="112"/>
      <c r="BS6" s="112"/>
      <c r="BT6" s="108"/>
      <c r="BU6" s="108"/>
      <c r="BV6" s="128"/>
      <c r="BW6" s="112"/>
      <c r="BX6" s="112"/>
      <c r="BY6" s="112"/>
      <c r="BZ6" s="112"/>
      <c r="CA6" s="112"/>
      <c r="CB6" s="112"/>
      <c r="CC6" s="112"/>
      <c r="CD6" s="112"/>
      <c r="CE6" s="112"/>
      <c r="CF6" s="112"/>
      <c r="CG6" s="112"/>
      <c r="CH6" s="112"/>
      <c r="CI6" s="112"/>
      <c r="CJ6" s="112"/>
      <c r="CK6" s="112"/>
      <c r="CL6" s="112"/>
      <c r="CM6" s="112"/>
      <c r="CN6" s="112"/>
      <c r="CO6" s="112"/>
      <c r="CP6" s="112"/>
      <c r="CQ6" s="112"/>
      <c r="CR6" s="112"/>
      <c r="CS6" s="112"/>
      <c r="CT6" s="112"/>
      <c r="CU6" s="112"/>
      <c r="CV6" s="112"/>
      <c r="CW6" s="108"/>
      <c r="CX6" s="107"/>
    </row>
    <row r="7" ht="121.5" customHeight="1">
      <c r="A7" s="107"/>
      <c r="B7" s="108"/>
      <c r="C7" s="108"/>
      <c r="D7" s="108"/>
      <c r="E7" s="108"/>
      <c r="F7" s="112"/>
      <c r="G7" s="112"/>
      <c r="H7" s="112"/>
      <c r="I7" s="112"/>
      <c r="J7" s="108"/>
      <c r="K7" s="112"/>
      <c r="L7" s="112"/>
      <c r="M7" s="108"/>
      <c r="N7" s="112"/>
      <c r="O7" s="108"/>
      <c r="P7" s="113"/>
      <c r="Q7" s="112"/>
      <c r="R7" s="112"/>
      <c r="S7" s="108"/>
      <c r="T7" s="112"/>
      <c r="U7" s="112"/>
      <c r="V7" s="112"/>
      <c r="W7" s="118"/>
      <c r="X7" s="118"/>
      <c r="Y7" s="118"/>
      <c r="Z7" s="108"/>
      <c r="AA7" s="108"/>
      <c r="AB7" s="108"/>
      <c r="AC7" s="108"/>
      <c r="AD7" s="108"/>
      <c r="AE7" s="108"/>
      <c r="AF7" s="108"/>
      <c r="AG7" s="108"/>
      <c r="AH7" s="108"/>
      <c r="AI7" s="108"/>
      <c r="AJ7" s="108"/>
      <c r="AK7" s="108"/>
      <c r="AL7" s="108"/>
      <c r="AM7" s="112"/>
      <c r="AN7" s="108"/>
      <c r="AO7" s="112"/>
      <c r="AP7" s="108"/>
      <c r="AQ7" s="108"/>
      <c r="AR7" s="125"/>
      <c r="AS7" s="108"/>
      <c r="AT7" s="108"/>
      <c r="AU7" s="112"/>
      <c r="AV7" s="108"/>
      <c r="AW7" s="112"/>
      <c r="AX7" s="112"/>
      <c r="AY7" s="112"/>
      <c r="AZ7" s="112"/>
      <c r="BA7" s="112"/>
      <c r="BB7" s="112"/>
      <c r="BC7" s="112"/>
      <c r="BD7" s="108"/>
      <c r="BE7" s="108"/>
      <c r="BF7" s="113"/>
      <c r="BG7" s="112"/>
      <c r="BH7" s="112"/>
      <c r="BI7" s="112"/>
      <c r="BJ7" s="112"/>
      <c r="BK7" s="112"/>
      <c r="BL7" s="112"/>
      <c r="BM7" s="112"/>
      <c r="BN7" s="112"/>
      <c r="BO7" s="112"/>
      <c r="BP7" s="112"/>
      <c r="BQ7" s="112"/>
      <c r="BR7" s="112"/>
      <c r="BS7" s="112"/>
      <c r="BT7" s="108"/>
      <c r="BU7" s="108"/>
      <c r="BV7" s="128"/>
      <c r="BW7" s="112"/>
      <c r="BX7" s="112"/>
      <c r="BY7" s="112"/>
      <c r="BZ7" s="112"/>
      <c r="CA7" s="112"/>
      <c r="CB7" s="112"/>
      <c r="CC7" s="112"/>
      <c r="CD7" s="112"/>
      <c r="CE7" s="112"/>
      <c r="CF7" s="112"/>
      <c r="CG7" s="112"/>
      <c r="CH7" s="112"/>
      <c r="CI7" s="112"/>
      <c r="CJ7" s="112"/>
      <c r="CK7" s="112"/>
      <c r="CL7" s="112"/>
      <c r="CM7" s="112"/>
      <c r="CN7" s="112"/>
      <c r="CO7" s="112"/>
      <c r="CP7" s="112"/>
      <c r="CQ7" s="112"/>
      <c r="CR7" s="112"/>
      <c r="CS7" s="112"/>
      <c r="CT7" s="112"/>
      <c r="CU7" s="112"/>
      <c r="CV7" s="112"/>
      <c r="CW7" s="108"/>
      <c r="CX7" s="107"/>
    </row>
    <row r="8" ht="144.75" customHeight="1">
      <c r="A8" s="107"/>
      <c r="B8" s="108"/>
      <c r="C8" s="108"/>
      <c r="D8" s="108"/>
      <c r="E8" s="108"/>
      <c r="F8" s="112"/>
      <c r="G8" s="112"/>
      <c r="H8" s="112"/>
      <c r="I8" s="112"/>
      <c r="J8" s="108"/>
      <c r="K8" s="112"/>
      <c r="L8" s="112"/>
      <c r="M8" s="108"/>
      <c r="N8" s="112"/>
      <c r="O8" s="108"/>
      <c r="P8" s="113"/>
      <c r="Q8" s="112"/>
      <c r="R8" s="112"/>
      <c r="S8" s="108"/>
      <c r="T8" s="112"/>
      <c r="U8" s="112"/>
      <c r="V8" s="112"/>
      <c r="W8" s="118"/>
      <c r="X8" s="118"/>
      <c r="Y8" s="118"/>
      <c r="Z8" s="108"/>
      <c r="AA8" s="108"/>
      <c r="AB8" s="108"/>
      <c r="AC8" s="108"/>
      <c r="AD8" s="108"/>
      <c r="AE8" s="108"/>
      <c r="AF8" s="108"/>
      <c r="AG8" s="108"/>
      <c r="AH8" s="108"/>
      <c r="AI8" s="108"/>
      <c r="AJ8" s="108"/>
      <c r="AK8" s="108"/>
      <c r="AL8" s="108"/>
      <c r="AM8" s="112"/>
      <c r="AN8" s="108"/>
      <c r="AO8" s="112"/>
      <c r="AP8" s="108"/>
      <c r="AQ8" s="108"/>
      <c r="AR8" s="125"/>
      <c r="AS8" s="108"/>
      <c r="AT8" s="108"/>
      <c r="AU8" s="112"/>
      <c r="AV8" s="108"/>
      <c r="AW8" s="112"/>
      <c r="AX8" s="112"/>
      <c r="AY8" s="112"/>
      <c r="AZ8" s="112"/>
      <c r="BA8" s="112"/>
      <c r="BB8" s="112"/>
      <c r="BC8" s="112"/>
      <c r="BD8" s="108"/>
      <c r="BE8" s="108"/>
      <c r="BF8" s="113"/>
      <c r="BG8" s="112"/>
      <c r="BH8" s="112"/>
      <c r="BI8" s="112"/>
      <c r="BJ8" s="112"/>
      <c r="BK8" s="112"/>
      <c r="BL8" s="112"/>
      <c r="BM8" s="112"/>
      <c r="BN8" s="112"/>
      <c r="BO8" s="112"/>
      <c r="BP8" s="112"/>
      <c r="BQ8" s="112"/>
      <c r="BR8" s="112"/>
      <c r="BS8" s="112"/>
      <c r="BT8" s="108"/>
      <c r="BU8" s="108"/>
      <c r="BV8" s="128"/>
      <c r="BW8" s="112"/>
      <c r="BX8" s="112"/>
      <c r="BY8" s="112"/>
      <c r="BZ8" s="112"/>
      <c r="CA8" s="112"/>
      <c r="CB8" s="112"/>
      <c r="CC8" s="112"/>
      <c r="CD8" s="112"/>
      <c r="CE8" s="112"/>
      <c r="CF8" s="112"/>
      <c r="CG8" s="112"/>
      <c r="CH8" s="112"/>
      <c r="CI8" s="112"/>
      <c r="CJ8" s="112"/>
      <c r="CK8" s="112"/>
      <c r="CL8" s="112"/>
      <c r="CM8" s="112"/>
      <c r="CN8" s="112"/>
      <c r="CO8" s="112"/>
      <c r="CP8" s="112"/>
      <c r="CQ8" s="112"/>
      <c r="CR8" s="112"/>
      <c r="CS8" s="112"/>
      <c r="CT8" s="112"/>
      <c r="CU8" s="112"/>
      <c r="CV8" s="112"/>
      <c r="CW8" s="108"/>
      <c r="CX8" s="107"/>
    </row>
    <row r="9" ht="165.0" customHeight="1">
      <c r="A9" s="107"/>
      <c r="B9" s="108"/>
      <c r="C9" s="108"/>
      <c r="D9" s="108"/>
      <c r="E9" s="108"/>
      <c r="F9" s="112"/>
      <c r="G9" s="112"/>
      <c r="H9" s="112"/>
      <c r="I9" s="112"/>
      <c r="J9" s="108"/>
      <c r="K9" s="112"/>
      <c r="L9" s="112"/>
      <c r="M9" s="108"/>
      <c r="N9" s="112"/>
      <c r="O9" s="108"/>
      <c r="P9" s="113"/>
      <c r="Q9" s="112"/>
      <c r="R9" s="112"/>
      <c r="S9" s="108"/>
      <c r="T9" s="112"/>
      <c r="U9" s="112"/>
      <c r="V9" s="112"/>
      <c r="W9" s="118"/>
      <c r="X9" s="118"/>
      <c r="Y9" s="118"/>
      <c r="Z9" s="108"/>
      <c r="AA9" s="108"/>
      <c r="AB9" s="108"/>
      <c r="AC9" s="108"/>
      <c r="AD9" s="108"/>
      <c r="AE9" s="108"/>
      <c r="AF9" s="108"/>
      <c r="AG9" s="108"/>
      <c r="AH9" s="108"/>
      <c r="AI9" s="108"/>
      <c r="AJ9" s="108"/>
      <c r="AK9" s="108"/>
      <c r="AL9" s="108"/>
      <c r="AM9" s="112"/>
      <c r="AN9" s="108"/>
      <c r="AO9" s="112"/>
      <c r="AP9" s="108"/>
      <c r="AQ9" s="108"/>
      <c r="AR9" s="125"/>
      <c r="AS9" s="108"/>
      <c r="AT9" s="108"/>
      <c r="AU9" s="112"/>
      <c r="AV9" s="108"/>
      <c r="AW9" s="112"/>
      <c r="AX9" s="112"/>
      <c r="AY9" s="112"/>
      <c r="AZ9" s="112"/>
      <c r="BA9" s="112"/>
      <c r="BB9" s="112"/>
      <c r="BC9" s="112"/>
      <c r="BD9" s="108"/>
      <c r="BE9" s="108"/>
      <c r="BF9" s="113"/>
      <c r="BG9" s="112"/>
      <c r="BH9" s="112"/>
      <c r="BI9" s="112"/>
      <c r="BJ9" s="112"/>
      <c r="BK9" s="112"/>
      <c r="BL9" s="112"/>
      <c r="BM9" s="112"/>
      <c r="BN9" s="112"/>
      <c r="BO9" s="112"/>
      <c r="BP9" s="112"/>
      <c r="BQ9" s="112"/>
      <c r="BR9" s="112"/>
      <c r="BS9" s="112"/>
      <c r="BT9" s="108"/>
      <c r="BU9" s="108"/>
      <c r="BV9" s="128"/>
      <c r="BW9" s="112"/>
      <c r="BX9" s="112"/>
      <c r="BY9" s="112"/>
      <c r="BZ9" s="112"/>
      <c r="CA9" s="112"/>
      <c r="CB9" s="112"/>
      <c r="CC9" s="112"/>
      <c r="CD9" s="112"/>
      <c r="CE9" s="112"/>
      <c r="CF9" s="112"/>
      <c r="CG9" s="112"/>
      <c r="CH9" s="112"/>
      <c r="CI9" s="112"/>
      <c r="CJ9" s="112"/>
      <c r="CK9" s="112"/>
      <c r="CL9" s="112"/>
      <c r="CM9" s="112"/>
      <c r="CN9" s="112"/>
      <c r="CO9" s="112"/>
      <c r="CP9" s="112"/>
      <c r="CQ9" s="112"/>
      <c r="CR9" s="112"/>
      <c r="CS9" s="112"/>
      <c r="CT9" s="112"/>
      <c r="CU9" s="112"/>
      <c r="CV9" s="112"/>
      <c r="CW9" s="108"/>
      <c r="CX9" s="107"/>
    </row>
    <row r="10" ht="39.0" customHeight="1">
      <c r="A10" s="107"/>
      <c r="B10" s="108"/>
      <c r="C10" s="108"/>
      <c r="D10" s="108"/>
      <c r="E10" s="108"/>
      <c r="F10" s="112"/>
      <c r="G10" s="112"/>
      <c r="H10" s="112"/>
      <c r="I10" s="112"/>
      <c r="J10" s="108"/>
      <c r="K10" s="112"/>
      <c r="L10" s="112"/>
      <c r="M10" s="108"/>
      <c r="N10" s="112"/>
      <c r="O10" s="108"/>
      <c r="P10" s="113"/>
      <c r="Q10" s="112"/>
      <c r="R10" s="112"/>
      <c r="S10" s="108"/>
      <c r="T10" s="112"/>
      <c r="U10" s="112"/>
      <c r="V10" s="112"/>
      <c r="W10" s="118"/>
      <c r="X10" s="118"/>
      <c r="Y10" s="118"/>
      <c r="Z10" s="108"/>
      <c r="AA10" s="108"/>
      <c r="AB10" s="108"/>
      <c r="AC10" s="108"/>
      <c r="AD10" s="108"/>
      <c r="AE10" s="108"/>
      <c r="AF10" s="108"/>
      <c r="AG10" s="108"/>
      <c r="AH10" s="108"/>
      <c r="AI10" s="108"/>
      <c r="AJ10" s="108"/>
      <c r="AK10" s="108"/>
      <c r="AL10" s="108"/>
      <c r="AM10" s="112"/>
      <c r="AN10" s="108"/>
      <c r="AO10" s="112"/>
      <c r="AP10" s="108"/>
      <c r="AQ10" s="108"/>
      <c r="AR10" s="125"/>
      <c r="AS10" s="108"/>
      <c r="AT10" s="108"/>
      <c r="AU10" s="112"/>
      <c r="AV10" s="108"/>
      <c r="AW10" s="112"/>
      <c r="AX10" s="112"/>
      <c r="AY10" s="112"/>
      <c r="AZ10" s="112"/>
      <c r="BA10" s="112"/>
      <c r="BB10" s="112"/>
      <c r="BC10" s="112"/>
      <c r="BD10" s="108"/>
      <c r="BE10" s="108"/>
      <c r="BF10" s="113"/>
      <c r="BG10" s="112"/>
      <c r="BH10" s="112"/>
      <c r="BI10" s="112"/>
      <c r="BJ10" s="112"/>
      <c r="BK10" s="112"/>
      <c r="BL10" s="112"/>
      <c r="BM10" s="112"/>
      <c r="BN10" s="112"/>
      <c r="BO10" s="112"/>
      <c r="BP10" s="112"/>
      <c r="BQ10" s="112"/>
      <c r="BR10" s="112"/>
      <c r="BS10" s="112"/>
      <c r="BT10" s="108"/>
      <c r="BU10" s="108"/>
      <c r="BV10" s="128"/>
      <c r="BW10" s="112"/>
      <c r="BX10" s="112"/>
      <c r="BY10" s="112"/>
      <c r="BZ10" s="112"/>
      <c r="CA10" s="112"/>
      <c r="CB10" s="112"/>
      <c r="CC10" s="112"/>
      <c r="CD10" s="112"/>
      <c r="CE10" s="112"/>
      <c r="CF10" s="112"/>
      <c r="CG10" s="112"/>
      <c r="CH10" s="112"/>
      <c r="CI10" s="112"/>
      <c r="CJ10" s="112"/>
      <c r="CK10" s="112"/>
      <c r="CL10" s="112"/>
      <c r="CM10" s="112"/>
      <c r="CN10" s="112"/>
      <c r="CO10" s="112"/>
      <c r="CP10" s="112"/>
      <c r="CQ10" s="112"/>
      <c r="CR10" s="112"/>
      <c r="CS10" s="112"/>
      <c r="CT10" s="112"/>
      <c r="CU10" s="112"/>
      <c r="CV10" s="112"/>
      <c r="CW10" s="108"/>
      <c r="CX10" s="107"/>
    </row>
    <row r="11" ht="39.0" customHeight="1">
      <c r="A11" s="107"/>
      <c r="B11" s="108"/>
      <c r="C11" s="108"/>
      <c r="D11" s="108"/>
      <c r="E11" s="108"/>
      <c r="F11" s="112"/>
      <c r="G11" s="112"/>
      <c r="H11" s="112"/>
      <c r="I11" s="112"/>
      <c r="J11" s="108"/>
      <c r="K11" s="112"/>
      <c r="L11" s="112"/>
      <c r="M11" s="108"/>
      <c r="N11" s="112"/>
      <c r="O11" s="108"/>
      <c r="P11" s="113"/>
      <c r="Q11" s="112"/>
      <c r="R11" s="112"/>
      <c r="S11" s="108"/>
      <c r="T11" s="112"/>
      <c r="U11" s="112"/>
      <c r="V11" s="112"/>
      <c r="W11" s="118"/>
      <c r="X11" s="118"/>
      <c r="Y11" s="118"/>
      <c r="Z11" s="108"/>
      <c r="AA11" s="108"/>
      <c r="AB11" s="108"/>
      <c r="AC11" s="108"/>
      <c r="AD11" s="108"/>
      <c r="AE11" s="108"/>
      <c r="AF11" s="108"/>
      <c r="AG11" s="108"/>
      <c r="AH11" s="108"/>
      <c r="AI11" s="108"/>
      <c r="AJ11" s="108"/>
      <c r="AK11" s="108"/>
      <c r="AL11" s="108"/>
      <c r="AM11" s="112"/>
      <c r="AN11" s="108"/>
      <c r="AO11" s="112"/>
      <c r="AP11" s="108"/>
      <c r="AQ11" s="108"/>
      <c r="AR11" s="125"/>
      <c r="AS11" s="108"/>
      <c r="AT11" s="108"/>
      <c r="AU11" s="112"/>
      <c r="AV11" s="108"/>
      <c r="AW11" s="112"/>
      <c r="AX11" s="112"/>
      <c r="AY11" s="112"/>
      <c r="AZ11" s="112"/>
      <c r="BA11" s="112"/>
      <c r="BB11" s="112"/>
      <c r="BC11" s="112"/>
      <c r="BD11" s="108"/>
      <c r="BE11" s="108"/>
      <c r="BF11" s="113"/>
      <c r="BG11" s="112"/>
      <c r="BH11" s="112"/>
      <c r="BI11" s="112"/>
      <c r="BJ11" s="112"/>
      <c r="BK11" s="112"/>
      <c r="BL11" s="112"/>
      <c r="BM11" s="112"/>
      <c r="BN11" s="112"/>
      <c r="BO11" s="112"/>
      <c r="BP11" s="112"/>
      <c r="BQ11" s="112"/>
      <c r="BR11" s="112"/>
      <c r="BS11" s="112"/>
      <c r="BT11" s="108"/>
      <c r="BU11" s="108"/>
      <c r="BV11" s="128"/>
      <c r="BW11" s="112"/>
      <c r="BX11" s="112"/>
      <c r="BY11" s="112"/>
      <c r="BZ11" s="112"/>
      <c r="CA11" s="112"/>
      <c r="CB11" s="112"/>
      <c r="CC11" s="112"/>
      <c r="CD11" s="112"/>
      <c r="CE11" s="112"/>
      <c r="CF11" s="112"/>
      <c r="CG11" s="112"/>
      <c r="CH11" s="112"/>
      <c r="CI11" s="112"/>
      <c r="CJ11" s="112"/>
      <c r="CK11" s="112"/>
      <c r="CL11" s="112"/>
      <c r="CM11" s="112"/>
      <c r="CN11" s="112"/>
      <c r="CO11" s="112"/>
      <c r="CP11" s="112"/>
      <c r="CQ11" s="112"/>
      <c r="CR11" s="112"/>
      <c r="CS11" s="112"/>
      <c r="CT11" s="112"/>
      <c r="CU11" s="112"/>
      <c r="CV11" s="112"/>
      <c r="CW11" s="108"/>
      <c r="CX11" s="107"/>
    </row>
    <row r="12" ht="39.0" customHeight="1">
      <c r="A12" s="107"/>
      <c r="B12" s="108"/>
      <c r="C12" s="108"/>
      <c r="D12" s="108"/>
      <c r="E12" s="108"/>
      <c r="F12" s="112"/>
      <c r="G12" s="112"/>
      <c r="H12" s="112"/>
      <c r="I12" s="112"/>
      <c r="J12" s="108"/>
      <c r="K12" s="112"/>
      <c r="L12" s="112"/>
      <c r="M12" s="108"/>
      <c r="N12" s="112"/>
      <c r="O12" s="108"/>
      <c r="P12" s="113"/>
      <c r="Q12" s="112"/>
      <c r="R12" s="112"/>
      <c r="S12" s="108"/>
      <c r="T12" s="112"/>
      <c r="U12" s="112"/>
      <c r="V12" s="112"/>
      <c r="W12" s="118"/>
      <c r="X12" s="118"/>
      <c r="Y12" s="118"/>
      <c r="Z12" s="108"/>
      <c r="AA12" s="108"/>
      <c r="AB12" s="108"/>
      <c r="AC12" s="108"/>
      <c r="AD12" s="108"/>
      <c r="AE12" s="108"/>
      <c r="AF12" s="108"/>
      <c r="AG12" s="108"/>
      <c r="AH12" s="108"/>
      <c r="AI12" s="108"/>
      <c r="AJ12" s="108"/>
      <c r="AK12" s="108"/>
      <c r="AL12" s="108"/>
      <c r="AM12" s="112"/>
      <c r="AN12" s="108"/>
      <c r="AO12" s="112"/>
      <c r="AP12" s="108"/>
      <c r="AQ12" s="108"/>
      <c r="AR12" s="125"/>
      <c r="AS12" s="108"/>
      <c r="AT12" s="108"/>
      <c r="AU12" s="112"/>
      <c r="AV12" s="108"/>
      <c r="AW12" s="112"/>
      <c r="AX12" s="112"/>
      <c r="AY12" s="112"/>
      <c r="AZ12" s="112"/>
      <c r="BA12" s="112"/>
      <c r="BB12" s="112"/>
      <c r="BC12" s="112"/>
      <c r="BD12" s="108"/>
      <c r="BE12" s="108"/>
      <c r="BF12" s="113"/>
      <c r="BG12" s="112"/>
      <c r="BH12" s="112"/>
      <c r="BI12" s="112"/>
      <c r="BJ12" s="112"/>
      <c r="BK12" s="112"/>
      <c r="BL12" s="112"/>
      <c r="BM12" s="112"/>
      <c r="BN12" s="112"/>
      <c r="BO12" s="112"/>
      <c r="BP12" s="112"/>
      <c r="BQ12" s="112"/>
      <c r="BR12" s="112"/>
      <c r="BS12" s="112"/>
      <c r="BT12" s="108"/>
      <c r="BU12" s="108"/>
      <c r="BV12" s="128"/>
      <c r="BW12" s="112"/>
      <c r="BX12" s="112"/>
      <c r="BY12" s="112"/>
      <c r="BZ12" s="112"/>
      <c r="CA12" s="112"/>
      <c r="CB12" s="112"/>
      <c r="CC12" s="112"/>
      <c r="CD12" s="112"/>
      <c r="CE12" s="112"/>
      <c r="CF12" s="112"/>
      <c r="CG12" s="112"/>
      <c r="CH12" s="112"/>
      <c r="CI12" s="112"/>
      <c r="CJ12" s="112"/>
      <c r="CK12" s="112"/>
      <c r="CL12" s="112"/>
      <c r="CM12" s="112"/>
      <c r="CN12" s="112"/>
      <c r="CO12" s="112"/>
      <c r="CP12" s="112"/>
      <c r="CQ12" s="112"/>
      <c r="CR12" s="112"/>
      <c r="CS12" s="112"/>
      <c r="CT12" s="112"/>
      <c r="CU12" s="112"/>
      <c r="CV12" s="112"/>
      <c r="CW12" s="108"/>
      <c r="CX12" s="107"/>
    </row>
    <row r="13" ht="39.0" customHeight="1">
      <c r="A13" s="107"/>
      <c r="B13" s="108"/>
      <c r="C13" s="108"/>
      <c r="D13" s="108"/>
      <c r="E13" s="108"/>
      <c r="F13" s="112"/>
      <c r="G13" s="112"/>
      <c r="H13" s="112"/>
      <c r="I13" s="112"/>
      <c r="J13" s="108"/>
      <c r="K13" s="112"/>
      <c r="L13" s="112"/>
      <c r="M13" s="108"/>
      <c r="N13" s="112"/>
      <c r="O13" s="108"/>
      <c r="P13" s="113"/>
      <c r="Q13" s="112"/>
      <c r="R13" s="112"/>
      <c r="S13" s="108"/>
      <c r="T13" s="112"/>
      <c r="U13" s="112"/>
      <c r="V13" s="112"/>
      <c r="W13" s="118"/>
      <c r="X13" s="118"/>
      <c r="Y13" s="118"/>
      <c r="Z13" s="108"/>
      <c r="AA13" s="108"/>
      <c r="AB13" s="108"/>
      <c r="AC13" s="108"/>
      <c r="AD13" s="108"/>
      <c r="AE13" s="108"/>
      <c r="AF13" s="108"/>
      <c r="AG13" s="108"/>
      <c r="AH13" s="108"/>
      <c r="AI13" s="108"/>
      <c r="AJ13" s="108"/>
      <c r="AK13" s="108"/>
      <c r="AL13" s="108"/>
      <c r="AM13" s="112"/>
      <c r="AN13" s="108"/>
      <c r="AO13" s="112"/>
      <c r="AP13" s="108"/>
      <c r="AQ13" s="108"/>
      <c r="AR13" s="125"/>
      <c r="AS13" s="108"/>
      <c r="AT13" s="108"/>
      <c r="AU13" s="112"/>
      <c r="AV13" s="108"/>
      <c r="AW13" s="112"/>
      <c r="AX13" s="112"/>
      <c r="AY13" s="112"/>
      <c r="AZ13" s="112"/>
      <c r="BA13" s="112"/>
      <c r="BB13" s="112"/>
      <c r="BC13" s="112"/>
      <c r="BD13" s="108"/>
      <c r="BE13" s="108"/>
      <c r="BF13" s="113"/>
      <c r="BG13" s="112"/>
      <c r="BH13" s="112"/>
      <c r="BI13" s="112"/>
      <c r="BJ13" s="112"/>
      <c r="BK13" s="112"/>
      <c r="BL13" s="112"/>
      <c r="BM13" s="112"/>
      <c r="BN13" s="112"/>
      <c r="BO13" s="112"/>
      <c r="BP13" s="112"/>
      <c r="BQ13" s="112"/>
      <c r="BR13" s="112"/>
      <c r="BS13" s="112"/>
      <c r="BT13" s="108"/>
      <c r="BU13" s="108"/>
      <c r="BV13" s="128"/>
      <c r="BW13" s="112"/>
      <c r="BX13" s="112"/>
      <c r="BY13" s="112"/>
      <c r="BZ13" s="112"/>
      <c r="CA13" s="112"/>
      <c r="CB13" s="112"/>
      <c r="CC13" s="112"/>
      <c r="CD13" s="112"/>
      <c r="CE13" s="112"/>
      <c r="CF13" s="112"/>
      <c r="CG13" s="112"/>
      <c r="CH13" s="112"/>
      <c r="CI13" s="112"/>
      <c r="CJ13" s="112"/>
      <c r="CK13" s="112"/>
      <c r="CL13" s="112"/>
      <c r="CM13" s="112"/>
      <c r="CN13" s="112"/>
      <c r="CO13" s="112"/>
      <c r="CP13" s="112"/>
      <c r="CQ13" s="112"/>
      <c r="CR13" s="112"/>
      <c r="CS13" s="112"/>
      <c r="CT13" s="112"/>
      <c r="CU13" s="112"/>
      <c r="CV13" s="112"/>
      <c r="CW13" s="108"/>
      <c r="CX13" s="107"/>
    </row>
    <row r="14" ht="39.0" customHeight="1">
      <c r="A14" s="107"/>
      <c r="B14" s="108"/>
      <c r="C14" s="108"/>
      <c r="D14" s="108"/>
      <c r="E14" s="108"/>
      <c r="F14" s="112"/>
      <c r="G14" s="112"/>
      <c r="H14" s="112"/>
      <c r="I14" s="112"/>
      <c r="J14" s="108"/>
      <c r="K14" s="112"/>
      <c r="L14" s="112"/>
      <c r="M14" s="108"/>
      <c r="N14" s="112"/>
      <c r="O14" s="108"/>
      <c r="P14" s="113"/>
      <c r="Q14" s="112"/>
      <c r="R14" s="112"/>
      <c r="S14" s="108"/>
      <c r="T14" s="112"/>
      <c r="U14" s="112"/>
      <c r="V14" s="112"/>
      <c r="W14" s="118"/>
      <c r="X14" s="118"/>
      <c r="Y14" s="118"/>
      <c r="Z14" s="108"/>
      <c r="AA14" s="108"/>
      <c r="AB14" s="108"/>
      <c r="AC14" s="108"/>
      <c r="AD14" s="108"/>
      <c r="AE14" s="108"/>
      <c r="AF14" s="108"/>
      <c r="AG14" s="108"/>
      <c r="AH14" s="108"/>
      <c r="AI14" s="108"/>
      <c r="AJ14" s="108"/>
      <c r="AK14" s="108"/>
      <c r="AL14" s="108"/>
      <c r="AM14" s="112"/>
      <c r="AN14" s="108"/>
      <c r="AO14" s="112"/>
      <c r="AP14" s="108"/>
      <c r="AQ14" s="108"/>
      <c r="AR14" s="125"/>
      <c r="AS14" s="108"/>
      <c r="AT14" s="108"/>
      <c r="AU14" s="112"/>
      <c r="AV14" s="108"/>
      <c r="AW14" s="112"/>
      <c r="AX14" s="112"/>
      <c r="AY14" s="112"/>
      <c r="AZ14" s="112"/>
      <c r="BA14" s="112"/>
      <c r="BB14" s="112"/>
      <c r="BC14" s="112"/>
      <c r="BD14" s="108"/>
      <c r="BE14" s="108"/>
      <c r="BF14" s="113"/>
      <c r="BG14" s="112"/>
      <c r="BH14" s="112"/>
      <c r="BI14" s="112"/>
      <c r="BJ14" s="112"/>
      <c r="BK14" s="112"/>
      <c r="BL14" s="112"/>
      <c r="BM14" s="112"/>
      <c r="BN14" s="112"/>
      <c r="BO14" s="112"/>
      <c r="BP14" s="112"/>
      <c r="BQ14" s="112"/>
      <c r="BR14" s="112"/>
      <c r="BS14" s="112"/>
      <c r="BT14" s="108"/>
      <c r="BU14" s="108"/>
      <c r="BV14" s="128"/>
      <c r="BW14" s="112"/>
      <c r="BX14" s="112"/>
      <c r="BY14" s="112"/>
      <c r="BZ14" s="112"/>
      <c r="CA14" s="112"/>
      <c r="CB14" s="112"/>
      <c r="CC14" s="112"/>
      <c r="CD14" s="112"/>
      <c r="CE14" s="112"/>
      <c r="CF14" s="112"/>
      <c r="CG14" s="112"/>
      <c r="CH14" s="112"/>
      <c r="CI14" s="112"/>
      <c r="CJ14" s="112"/>
      <c r="CK14" s="112"/>
      <c r="CL14" s="112"/>
      <c r="CM14" s="112"/>
      <c r="CN14" s="112"/>
      <c r="CO14" s="112"/>
      <c r="CP14" s="112"/>
      <c r="CQ14" s="112"/>
      <c r="CR14" s="112"/>
      <c r="CS14" s="112"/>
      <c r="CT14" s="112"/>
      <c r="CU14" s="112"/>
      <c r="CV14" s="112"/>
      <c r="CW14" s="108"/>
      <c r="CX14" s="107"/>
    </row>
    <row r="15" ht="39.0" customHeight="1">
      <c r="A15" s="107"/>
      <c r="B15" s="108"/>
      <c r="C15" s="108"/>
      <c r="D15" s="108"/>
      <c r="E15" s="108"/>
      <c r="F15" s="112"/>
      <c r="G15" s="112"/>
      <c r="H15" s="112"/>
      <c r="I15" s="112"/>
      <c r="J15" s="108"/>
      <c r="K15" s="112"/>
      <c r="L15" s="112"/>
      <c r="M15" s="108"/>
      <c r="N15" s="112"/>
      <c r="O15" s="108"/>
      <c r="P15" s="113"/>
      <c r="Q15" s="112"/>
      <c r="R15" s="112"/>
      <c r="S15" s="108"/>
      <c r="T15" s="112"/>
      <c r="U15" s="112"/>
      <c r="V15" s="112"/>
      <c r="W15" s="118"/>
      <c r="X15" s="118"/>
      <c r="Y15" s="118"/>
      <c r="Z15" s="108"/>
      <c r="AA15" s="108"/>
      <c r="AB15" s="108"/>
      <c r="AC15" s="108"/>
      <c r="AD15" s="108"/>
      <c r="AE15" s="108"/>
      <c r="AF15" s="108"/>
      <c r="AG15" s="108"/>
      <c r="AH15" s="108"/>
      <c r="AI15" s="108"/>
      <c r="AJ15" s="108"/>
      <c r="AK15" s="108"/>
      <c r="AL15" s="108"/>
      <c r="AM15" s="112"/>
      <c r="AN15" s="108"/>
      <c r="AO15" s="112"/>
      <c r="AP15" s="108"/>
      <c r="AQ15" s="108"/>
      <c r="AR15" s="125"/>
      <c r="AS15" s="108"/>
      <c r="AT15" s="108"/>
      <c r="AU15" s="112"/>
      <c r="AV15" s="108"/>
      <c r="AW15" s="112"/>
      <c r="AX15" s="112"/>
      <c r="AY15" s="112"/>
      <c r="AZ15" s="112"/>
      <c r="BA15" s="112"/>
      <c r="BB15" s="112"/>
      <c r="BC15" s="112"/>
      <c r="BD15" s="108"/>
      <c r="BE15" s="108"/>
      <c r="BF15" s="113"/>
      <c r="BG15" s="112"/>
      <c r="BH15" s="112"/>
      <c r="BI15" s="112"/>
      <c r="BJ15" s="112"/>
      <c r="BK15" s="112"/>
      <c r="BL15" s="112"/>
      <c r="BM15" s="112"/>
      <c r="BN15" s="112"/>
      <c r="BO15" s="112"/>
      <c r="BP15" s="112"/>
      <c r="BQ15" s="112"/>
      <c r="BR15" s="112"/>
      <c r="BS15" s="112"/>
      <c r="BT15" s="108"/>
      <c r="BU15" s="108"/>
      <c r="BV15" s="128"/>
      <c r="BW15" s="112"/>
      <c r="BX15" s="112"/>
      <c r="BY15" s="112"/>
      <c r="BZ15" s="112"/>
      <c r="CA15" s="112"/>
      <c r="CB15" s="112"/>
      <c r="CC15" s="112"/>
      <c r="CD15" s="112"/>
      <c r="CE15" s="112"/>
      <c r="CF15" s="112"/>
      <c r="CG15" s="112"/>
      <c r="CH15" s="112"/>
      <c r="CI15" s="112"/>
      <c r="CJ15" s="112"/>
      <c r="CK15" s="112"/>
      <c r="CL15" s="112"/>
      <c r="CM15" s="112"/>
      <c r="CN15" s="112"/>
      <c r="CO15" s="112"/>
      <c r="CP15" s="112"/>
      <c r="CQ15" s="112"/>
      <c r="CR15" s="112"/>
      <c r="CS15" s="112"/>
      <c r="CT15" s="112"/>
      <c r="CU15" s="112"/>
      <c r="CV15" s="112"/>
      <c r="CW15" s="108"/>
      <c r="CX15" s="107"/>
    </row>
    <row r="16" ht="39.0" customHeight="1">
      <c r="A16" s="107"/>
      <c r="B16" s="108"/>
      <c r="C16" s="108"/>
      <c r="D16" s="108"/>
      <c r="E16" s="108"/>
      <c r="F16" s="112"/>
      <c r="G16" s="112"/>
      <c r="H16" s="112"/>
      <c r="I16" s="112"/>
      <c r="J16" s="108"/>
      <c r="K16" s="112"/>
      <c r="L16" s="112"/>
      <c r="M16" s="108"/>
      <c r="N16" s="112"/>
      <c r="O16" s="108"/>
      <c r="P16" s="113"/>
      <c r="Q16" s="112"/>
      <c r="R16" s="112"/>
      <c r="S16" s="108"/>
      <c r="T16" s="112"/>
      <c r="U16" s="112"/>
      <c r="V16" s="112"/>
      <c r="W16" s="118"/>
      <c r="X16" s="118"/>
      <c r="Y16" s="118"/>
      <c r="Z16" s="108"/>
      <c r="AA16" s="108"/>
      <c r="AB16" s="108"/>
      <c r="AC16" s="108"/>
      <c r="AD16" s="108"/>
      <c r="AE16" s="108"/>
      <c r="AF16" s="108"/>
      <c r="AG16" s="108"/>
      <c r="AH16" s="108"/>
      <c r="AI16" s="108"/>
      <c r="AJ16" s="108"/>
      <c r="AK16" s="108"/>
      <c r="AL16" s="108"/>
      <c r="AM16" s="112"/>
      <c r="AN16" s="108"/>
      <c r="AO16" s="112"/>
      <c r="AP16" s="108"/>
      <c r="AQ16" s="108"/>
      <c r="AR16" s="125"/>
      <c r="AS16" s="108"/>
      <c r="AT16" s="108"/>
      <c r="AU16" s="112"/>
      <c r="AV16" s="108"/>
      <c r="AW16" s="112"/>
      <c r="AX16" s="112"/>
      <c r="AY16" s="112"/>
      <c r="AZ16" s="112"/>
      <c r="BA16" s="112"/>
      <c r="BB16" s="112"/>
      <c r="BC16" s="112"/>
      <c r="BD16" s="108"/>
      <c r="BE16" s="108"/>
      <c r="BF16" s="113"/>
      <c r="BG16" s="112"/>
      <c r="BH16" s="112"/>
      <c r="BI16" s="112"/>
      <c r="BJ16" s="112"/>
      <c r="BK16" s="112"/>
      <c r="BL16" s="112"/>
      <c r="BM16" s="112"/>
      <c r="BN16" s="112"/>
      <c r="BO16" s="112"/>
      <c r="BP16" s="112"/>
      <c r="BQ16" s="112"/>
      <c r="BR16" s="112"/>
      <c r="BS16" s="112"/>
      <c r="BT16" s="108"/>
      <c r="BU16" s="108"/>
      <c r="BV16" s="128"/>
      <c r="BW16" s="112"/>
      <c r="BX16" s="112"/>
      <c r="BY16" s="112"/>
      <c r="BZ16" s="112"/>
      <c r="CA16" s="112"/>
      <c r="CB16" s="112"/>
      <c r="CC16" s="112"/>
      <c r="CD16" s="112"/>
      <c r="CE16" s="112"/>
      <c r="CF16" s="112"/>
      <c r="CG16" s="112"/>
      <c r="CH16" s="112"/>
      <c r="CI16" s="112"/>
      <c r="CJ16" s="112"/>
      <c r="CK16" s="112"/>
      <c r="CL16" s="112"/>
      <c r="CM16" s="112"/>
      <c r="CN16" s="112"/>
      <c r="CO16" s="112"/>
      <c r="CP16" s="112"/>
      <c r="CQ16" s="112"/>
      <c r="CR16" s="112"/>
      <c r="CS16" s="112"/>
      <c r="CT16" s="112"/>
      <c r="CU16" s="112"/>
      <c r="CV16" s="112"/>
      <c r="CW16" s="108"/>
      <c r="CX16" s="107"/>
    </row>
    <row r="17" ht="39.0" customHeight="1">
      <c r="A17" s="107"/>
      <c r="B17" s="108"/>
      <c r="C17" s="108"/>
      <c r="D17" s="108"/>
      <c r="E17" s="108"/>
      <c r="F17" s="112"/>
      <c r="G17" s="112"/>
      <c r="H17" s="112"/>
      <c r="I17" s="112"/>
      <c r="J17" s="108"/>
      <c r="K17" s="112"/>
      <c r="L17" s="112"/>
      <c r="M17" s="108"/>
      <c r="N17" s="112"/>
      <c r="O17" s="108"/>
      <c r="P17" s="113"/>
      <c r="Q17" s="112"/>
      <c r="R17" s="112"/>
      <c r="S17" s="108"/>
      <c r="T17" s="112"/>
      <c r="U17" s="112"/>
      <c r="V17" s="112"/>
      <c r="W17" s="118"/>
      <c r="X17" s="118"/>
      <c r="Y17" s="118"/>
      <c r="Z17" s="108"/>
      <c r="AA17" s="108"/>
      <c r="AB17" s="108"/>
      <c r="AC17" s="108"/>
      <c r="AD17" s="108"/>
      <c r="AE17" s="108"/>
      <c r="AF17" s="108"/>
      <c r="AG17" s="108"/>
      <c r="AH17" s="108"/>
      <c r="AI17" s="108"/>
      <c r="AJ17" s="108"/>
      <c r="AK17" s="108"/>
      <c r="AL17" s="108"/>
      <c r="AM17" s="112"/>
      <c r="AN17" s="108"/>
      <c r="AO17" s="112"/>
      <c r="AP17" s="108"/>
      <c r="AQ17" s="108"/>
      <c r="AR17" s="125"/>
      <c r="AS17" s="108"/>
      <c r="AT17" s="108"/>
      <c r="AU17" s="112"/>
      <c r="AV17" s="108"/>
      <c r="AW17" s="112"/>
      <c r="AX17" s="112"/>
      <c r="AY17" s="112"/>
      <c r="AZ17" s="112"/>
      <c r="BA17" s="112"/>
      <c r="BB17" s="112"/>
      <c r="BC17" s="112"/>
      <c r="BD17" s="108"/>
      <c r="BE17" s="108"/>
      <c r="BF17" s="113"/>
      <c r="BG17" s="112"/>
      <c r="BH17" s="112"/>
      <c r="BI17" s="112"/>
      <c r="BJ17" s="112"/>
      <c r="BK17" s="112"/>
      <c r="BL17" s="112"/>
      <c r="BM17" s="112"/>
      <c r="BN17" s="112"/>
      <c r="BO17" s="112"/>
      <c r="BP17" s="112"/>
      <c r="BQ17" s="112"/>
      <c r="BR17" s="112"/>
      <c r="BS17" s="112"/>
      <c r="BT17" s="108"/>
      <c r="BU17" s="108"/>
      <c r="BV17" s="128"/>
      <c r="BW17" s="112"/>
      <c r="BX17" s="112"/>
      <c r="BY17" s="112"/>
      <c r="BZ17" s="112"/>
      <c r="CA17" s="112"/>
      <c r="CB17" s="112"/>
      <c r="CC17" s="112"/>
      <c r="CD17" s="112"/>
      <c r="CE17" s="112"/>
      <c r="CF17" s="112"/>
      <c r="CG17" s="112"/>
      <c r="CH17" s="112"/>
      <c r="CI17" s="112"/>
      <c r="CJ17" s="112"/>
      <c r="CK17" s="112"/>
      <c r="CL17" s="112"/>
      <c r="CM17" s="112"/>
      <c r="CN17" s="112"/>
      <c r="CO17" s="112"/>
      <c r="CP17" s="112"/>
      <c r="CQ17" s="112"/>
      <c r="CR17" s="112"/>
      <c r="CS17" s="112"/>
      <c r="CT17" s="112"/>
      <c r="CU17" s="112"/>
      <c r="CV17" s="112"/>
      <c r="CW17" s="108"/>
      <c r="CX17" s="107"/>
    </row>
    <row r="18" ht="39.0" customHeight="1">
      <c r="A18" s="107"/>
      <c r="B18" s="108"/>
      <c r="C18" s="108"/>
      <c r="D18" s="108"/>
      <c r="E18" s="108"/>
      <c r="F18" s="112"/>
      <c r="G18" s="112"/>
      <c r="H18" s="112"/>
      <c r="I18" s="112"/>
      <c r="J18" s="108"/>
      <c r="K18" s="112"/>
      <c r="L18" s="112"/>
      <c r="M18" s="108"/>
      <c r="N18" s="112"/>
      <c r="O18" s="108"/>
      <c r="P18" s="113"/>
      <c r="Q18" s="112"/>
      <c r="R18" s="112"/>
      <c r="S18" s="108"/>
      <c r="T18" s="112"/>
      <c r="U18" s="112"/>
      <c r="V18" s="112"/>
      <c r="W18" s="118"/>
      <c r="X18" s="118"/>
      <c r="Y18" s="118"/>
      <c r="Z18" s="108"/>
      <c r="AA18" s="108"/>
      <c r="AB18" s="108"/>
      <c r="AC18" s="108"/>
      <c r="AD18" s="108"/>
      <c r="AE18" s="108"/>
      <c r="AF18" s="108"/>
      <c r="AG18" s="108"/>
      <c r="AH18" s="108"/>
      <c r="AI18" s="108"/>
      <c r="AJ18" s="108"/>
      <c r="AK18" s="108"/>
      <c r="AL18" s="108"/>
      <c r="AM18" s="112"/>
      <c r="AN18" s="108"/>
      <c r="AO18" s="112"/>
      <c r="AP18" s="108"/>
      <c r="AQ18" s="108"/>
      <c r="AR18" s="125"/>
      <c r="AS18" s="108"/>
      <c r="AT18" s="108"/>
      <c r="AU18" s="112"/>
      <c r="AV18" s="108"/>
      <c r="AW18" s="112"/>
      <c r="AX18" s="112"/>
      <c r="AY18" s="112"/>
      <c r="AZ18" s="112"/>
      <c r="BA18" s="112"/>
      <c r="BB18" s="112"/>
      <c r="BC18" s="112"/>
      <c r="BD18" s="108"/>
      <c r="BE18" s="108"/>
      <c r="BF18" s="113"/>
      <c r="BG18" s="112"/>
      <c r="BH18" s="112"/>
      <c r="BI18" s="112"/>
      <c r="BJ18" s="112"/>
      <c r="BK18" s="112"/>
      <c r="BL18" s="112"/>
      <c r="BM18" s="112"/>
      <c r="BN18" s="112"/>
      <c r="BO18" s="112"/>
      <c r="BP18" s="112"/>
      <c r="BQ18" s="112"/>
      <c r="BR18" s="112"/>
      <c r="BS18" s="112"/>
      <c r="BT18" s="108"/>
      <c r="BU18" s="108"/>
      <c r="BV18" s="128"/>
      <c r="BW18" s="112"/>
      <c r="BX18" s="112"/>
      <c r="BY18" s="112"/>
      <c r="BZ18" s="112"/>
      <c r="CA18" s="112"/>
      <c r="CB18" s="112"/>
      <c r="CC18" s="112"/>
      <c r="CD18" s="112"/>
      <c r="CE18" s="112"/>
      <c r="CF18" s="112"/>
      <c r="CG18" s="112"/>
      <c r="CH18" s="112"/>
      <c r="CI18" s="112"/>
      <c r="CJ18" s="112"/>
      <c r="CK18" s="112"/>
      <c r="CL18" s="112"/>
      <c r="CM18" s="112"/>
      <c r="CN18" s="112"/>
      <c r="CO18" s="112"/>
      <c r="CP18" s="112"/>
      <c r="CQ18" s="112"/>
      <c r="CR18" s="112"/>
      <c r="CS18" s="112"/>
      <c r="CT18" s="112"/>
      <c r="CU18" s="112"/>
      <c r="CV18" s="112"/>
      <c r="CW18" s="108"/>
      <c r="CX18" s="107"/>
    </row>
    <row r="19" ht="39.0" customHeight="1">
      <c r="A19" s="107"/>
      <c r="B19" s="108"/>
      <c r="C19" s="108"/>
      <c r="D19" s="108"/>
      <c r="E19" s="108"/>
      <c r="F19" s="112"/>
      <c r="G19" s="112"/>
      <c r="H19" s="112"/>
      <c r="I19" s="112"/>
      <c r="J19" s="108"/>
      <c r="K19" s="112"/>
      <c r="L19" s="112"/>
      <c r="M19" s="108"/>
      <c r="N19" s="112"/>
      <c r="O19" s="108"/>
      <c r="P19" s="113"/>
      <c r="Q19" s="112"/>
      <c r="R19" s="112"/>
      <c r="S19" s="108"/>
      <c r="T19" s="112"/>
      <c r="U19" s="112"/>
      <c r="V19" s="112"/>
      <c r="W19" s="118"/>
      <c r="X19" s="118"/>
      <c r="Y19" s="118"/>
      <c r="Z19" s="108"/>
      <c r="AA19" s="108"/>
      <c r="AB19" s="108"/>
      <c r="AC19" s="108"/>
      <c r="AD19" s="108"/>
      <c r="AE19" s="108"/>
      <c r="AF19" s="108"/>
      <c r="AG19" s="108"/>
      <c r="AH19" s="108"/>
      <c r="AI19" s="108"/>
      <c r="AJ19" s="108"/>
      <c r="AK19" s="108"/>
      <c r="AL19" s="108"/>
      <c r="AM19" s="112"/>
      <c r="AN19" s="108"/>
      <c r="AO19" s="112"/>
      <c r="AP19" s="108"/>
      <c r="AQ19" s="108"/>
      <c r="AR19" s="125"/>
      <c r="AS19" s="108"/>
      <c r="AT19" s="108"/>
      <c r="AU19" s="112"/>
      <c r="AV19" s="108"/>
      <c r="AW19" s="112"/>
      <c r="AX19" s="112"/>
      <c r="AY19" s="112"/>
      <c r="AZ19" s="112"/>
      <c r="BA19" s="112"/>
      <c r="BB19" s="112"/>
      <c r="BC19" s="112"/>
      <c r="BD19" s="108"/>
      <c r="BE19" s="108"/>
      <c r="BF19" s="113"/>
      <c r="BG19" s="112"/>
      <c r="BH19" s="112"/>
      <c r="BI19" s="112"/>
      <c r="BJ19" s="112"/>
      <c r="BK19" s="112"/>
      <c r="BL19" s="112"/>
      <c r="BM19" s="112"/>
      <c r="BN19" s="112"/>
      <c r="BO19" s="112"/>
      <c r="BP19" s="112"/>
      <c r="BQ19" s="112"/>
      <c r="BR19" s="112"/>
      <c r="BS19" s="112"/>
      <c r="BT19" s="108"/>
      <c r="BU19" s="108"/>
      <c r="BV19" s="128"/>
      <c r="BW19" s="112"/>
      <c r="BX19" s="112"/>
      <c r="BY19" s="112"/>
      <c r="BZ19" s="112"/>
      <c r="CA19" s="112"/>
      <c r="CB19" s="112"/>
      <c r="CC19" s="112"/>
      <c r="CD19" s="112"/>
      <c r="CE19" s="112"/>
      <c r="CF19" s="112"/>
      <c r="CG19" s="112"/>
      <c r="CH19" s="112"/>
      <c r="CI19" s="112"/>
      <c r="CJ19" s="112"/>
      <c r="CK19" s="112"/>
      <c r="CL19" s="112"/>
      <c r="CM19" s="112"/>
      <c r="CN19" s="112"/>
      <c r="CO19" s="112"/>
      <c r="CP19" s="112"/>
      <c r="CQ19" s="112"/>
      <c r="CR19" s="112"/>
      <c r="CS19" s="112"/>
      <c r="CT19" s="112"/>
      <c r="CU19" s="112"/>
      <c r="CV19" s="112"/>
      <c r="CW19" s="108"/>
      <c r="CX19" s="107"/>
    </row>
    <row r="20" ht="39.0" customHeight="1">
      <c r="A20" s="107"/>
      <c r="B20" s="108"/>
      <c r="C20" s="108"/>
      <c r="D20" s="108"/>
      <c r="E20" s="108"/>
      <c r="F20" s="112"/>
      <c r="G20" s="112"/>
      <c r="H20" s="112"/>
      <c r="I20" s="112"/>
      <c r="J20" s="108"/>
      <c r="K20" s="112"/>
      <c r="L20" s="112"/>
      <c r="M20" s="108"/>
      <c r="N20" s="112"/>
      <c r="O20" s="108"/>
      <c r="P20" s="113"/>
      <c r="Q20" s="112"/>
      <c r="R20" s="112"/>
      <c r="S20" s="108"/>
      <c r="T20" s="112"/>
      <c r="U20" s="112"/>
      <c r="V20" s="112"/>
      <c r="W20" s="118"/>
      <c r="X20" s="118"/>
      <c r="Y20" s="118"/>
      <c r="Z20" s="108"/>
      <c r="AA20" s="108"/>
      <c r="AB20" s="108"/>
      <c r="AC20" s="108"/>
      <c r="AD20" s="108"/>
      <c r="AE20" s="108"/>
      <c r="AF20" s="108"/>
      <c r="AG20" s="108"/>
      <c r="AH20" s="108"/>
      <c r="AI20" s="108"/>
      <c r="AJ20" s="108"/>
      <c r="AK20" s="108"/>
      <c r="AL20" s="108"/>
      <c r="AM20" s="112"/>
      <c r="AN20" s="108"/>
      <c r="AO20" s="112"/>
      <c r="AP20" s="108"/>
      <c r="AQ20" s="108"/>
      <c r="AR20" s="125"/>
      <c r="AS20" s="108"/>
      <c r="AT20" s="108"/>
      <c r="AU20" s="112"/>
      <c r="AV20" s="108"/>
      <c r="AW20" s="112"/>
      <c r="AX20" s="112"/>
      <c r="AY20" s="112"/>
      <c r="AZ20" s="112"/>
      <c r="BA20" s="112"/>
      <c r="BB20" s="112"/>
      <c r="BC20" s="112"/>
      <c r="BD20" s="108"/>
      <c r="BE20" s="108"/>
      <c r="BF20" s="113"/>
      <c r="BG20" s="112"/>
      <c r="BH20" s="112"/>
      <c r="BI20" s="112"/>
      <c r="BJ20" s="112"/>
      <c r="BK20" s="112"/>
      <c r="BL20" s="112"/>
      <c r="BM20" s="112"/>
      <c r="BN20" s="112"/>
      <c r="BO20" s="112"/>
      <c r="BP20" s="112"/>
      <c r="BQ20" s="112"/>
      <c r="BR20" s="112"/>
      <c r="BS20" s="112"/>
      <c r="BT20" s="108"/>
      <c r="BU20" s="108"/>
      <c r="BV20" s="128"/>
      <c r="BW20" s="112"/>
      <c r="BX20" s="112"/>
      <c r="BY20" s="112"/>
      <c r="BZ20" s="112"/>
      <c r="CA20" s="112"/>
      <c r="CB20" s="112"/>
      <c r="CC20" s="112"/>
      <c r="CD20" s="112"/>
      <c r="CE20" s="112"/>
      <c r="CF20" s="112"/>
      <c r="CG20" s="112"/>
      <c r="CH20" s="112"/>
      <c r="CI20" s="112"/>
      <c r="CJ20" s="112"/>
      <c r="CK20" s="112"/>
      <c r="CL20" s="112"/>
      <c r="CM20" s="112"/>
      <c r="CN20" s="112"/>
      <c r="CO20" s="112"/>
      <c r="CP20" s="112"/>
      <c r="CQ20" s="112"/>
      <c r="CR20" s="112"/>
      <c r="CS20" s="112"/>
      <c r="CT20" s="112"/>
      <c r="CU20" s="112"/>
      <c r="CV20" s="112"/>
      <c r="CW20" s="108"/>
      <c r="CX20" s="107"/>
    </row>
    <row r="21" ht="39.0" customHeight="1">
      <c r="A21" s="107"/>
      <c r="B21" s="108"/>
      <c r="C21" s="108"/>
      <c r="D21" s="108"/>
      <c r="E21" s="108"/>
      <c r="F21" s="112"/>
      <c r="G21" s="112"/>
      <c r="H21" s="112"/>
      <c r="I21" s="112"/>
      <c r="J21" s="108"/>
      <c r="K21" s="112"/>
      <c r="L21" s="112"/>
      <c r="M21" s="108"/>
      <c r="N21" s="112"/>
      <c r="O21" s="108"/>
      <c r="P21" s="113"/>
      <c r="Q21" s="112"/>
      <c r="R21" s="112"/>
      <c r="S21" s="108"/>
      <c r="T21" s="112"/>
      <c r="U21" s="112"/>
      <c r="V21" s="112"/>
      <c r="W21" s="118"/>
      <c r="X21" s="118"/>
      <c r="Y21" s="118"/>
      <c r="Z21" s="108"/>
      <c r="AA21" s="108"/>
      <c r="AB21" s="108"/>
      <c r="AC21" s="108"/>
      <c r="AD21" s="108"/>
      <c r="AE21" s="108"/>
      <c r="AF21" s="108"/>
      <c r="AG21" s="108"/>
      <c r="AH21" s="108"/>
      <c r="AI21" s="108"/>
      <c r="AJ21" s="108"/>
      <c r="AK21" s="108"/>
      <c r="AL21" s="108"/>
      <c r="AM21" s="112"/>
      <c r="AN21" s="108"/>
      <c r="AO21" s="112"/>
      <c r="AP21" s="108"/>
      <c r="AQ21" s="108"/>
      <c r="AR21" s="125"/>
      <c r="AS21" s="108"/>
      <c r="AT21" s="108"/>
      <c r="AU21" s="112"/>
      <c r="AV21" s="108"/>
      <c r="AW21" s="112"/>
      <c r="AX21" s="112"/>
      <c r="AY21" s="112"/>
      <c r="AZ21" s="112"/>
      <c r="BA21" s="112"/>
      <c r="BB21" s="112"/>
      <c r="BC21" s="112"/>
      <c r="BD21" s="108"/>
      <c r="BE21" s="108"/>
      <c r="BF21" s="113"/>
      <c r="BG21" s="112"/>
      <c r="BH21" s="112"/>
      <c r="BI21" s="112"/>
      <c r="BJ21" s="112"/>
      <c r="BK21" s="112"/>
      <c r="BL21" s="112"/>
      <c r="BM21" s="112"/>
      <c r="BN21" s="112"/>
      <c r="BO21" s="112"/>
      <c r="BP21" s="112"/>
      <c r="BQ21" s="112"/>
      <c r="BR21" s="112"/>
      <c r="BS21" s="112"/>
      <c r="BT21" s="108"/>
      <c r="BU21" s="108"/>
      <c r="BV21" s="128"/>
      <c r="BW21" s="112"/>
      <c r="BX21" s="112"/>
      <c r="BY21" s="112"/>
      <c r="BZ21" s="112"/>
      <c r="CA21" s="112"/>
      <c r="CB21" s="112"/>
      <c r="CC21" s="112"/>
      <c r="CD21" s="112"/>
      <c r="CE21" s="112"/>
      <c r="CF21" s="112"/>
      <c r="CG21" s="112"/>
      <c r="CH21" s="112"/>
      <c r="CI21" s="112"/>
      <c r="CJ21" s="112"/>
      <c r="CK21" s="112"/>
      <c r="CL21" s="112"/>
      <c r="CM21" s="112"/>
      <c r="CN21" s="112"/>
      <c r="CO21" s="112"/>
      <c r="CP21" s="112"/>
      <c r="CQ21" s="112"/>
      <c r="CR21" s="112"/>
      <c r="CS21" s="112"/>
      <c r="CT21" s="112"/>
      <c r="CU21" s="112"/>
      <c r="CV21" s="112"/>
      <c r="CW21" s="108"/>
      <c r="CX21" s="107"/>
    </row>
    <row r="22" ht="39.0" customHeight="1">
      <c r="A22" s="107"/>
      <c r="B22" s="108"/>
      <c r="C22" s="108"/>
      <c r="D22" s="108"/>
      <c r="E22" s="108"/>
      <c r="F22" s="112"/>
      <c r="G22" s="112"/>
      <c r="H22" s="112"/>
      <c r="I22" s="112"/>
      <c r="J22" s="108"/>
      <c r="K22" s="112"/>
      <c r="L22" s="112"/>
      <c r="M22" s="108"/>
      <c r="N22" s="112"/>
      <c r="O22" s="108"/>
      <c r="P22" s="113"/>
      <c r="Q22" s="112"/>
      <c r="R22" s="112"/>
      <c r="S22" s="108"/>
      <c r="T22" s="112"/>
      <c r="U22" s="112"/>
      <c r="V22" s="112"/>
      <c r="W22" s="118"/>
      <c r="X22" s="118"/>
      <c r="Y22" s="118"/>
      <c r="Z22" s="108"/>
      <c r="AA22" s="108"/>
      <c r="AB22" s="108"/>
      <c r="AC22" s="108"/>
      <c r="AD22" s="108"/>
      <c r="AE22" s="108"/>
      <c r="AF22" s="108"/>
      <c r="AG22" s="108"/>
      <c r="AH22" s="108"/>
      <c r="AI22" s="108"/>
      <c r="AJ22" s="108"/>
      <c r="AK22" s="108"/>
      <c r="AL22" s="108"/>
      <c r="AM22" s="112"/>
      <c r="AN22" s="108"/>
      <c r="AO22" s="112"/>
      <c r="AP22" s="108"/>
      <c r="AQ22" s="108"/>
      <c r="AR22" s="125"/>
      <c r="AS22" s="108"/>
      <c r="AT22" s="108"/>
      <c r="AU22" s="112"/>
      <c r="AV22" s="108"/>
      <c r="AW22" s="112"/>
      <c r="AX22" s="112"/>
      <c r="AY22" s="112"/>
      <c r="AZ22" s="112"/>
      <c r="BA22" s="112"/>
      <c r="BB22" s="112"/>
      <c r="BC22" s="112"/>
      <c r="BD22" s="108"/>
      <c r="BE22" s="108"/>
      <c r="BF22" s="113"/>
      <c r="BG22" s="112"/>
      <c r="BH22" s="112"/>
      <c r="BI22" s="112"/>
      <c r="BJ22" s="112"/>
      <c r="BK22" s="112"/>
      <c r="BL22" s="112"/>
      <c r="BM22" s="112"/>
      <c r="BN22" s="112"/>
      <c r="BO22" s="112"/>
      <c r="BP22" s="112"/>
      <c r="BQ22" s="112"/>
      <c r="BR22" s="112"/>
      <c r="BS22" s="112"/>
      <c r="BT22" s="108"/>
      <c r="BU22" s="108"/>
      <c r="BV22" s="128"/>
      <c r="BW22" s="112"/>
      <c r="BX22" s="112"/>
      <c r="BY22" s="112"/>
      <c r="BZ22" s="112"/>
      <c r="CA22" s="112"/>
      <c r="CB22" s="112"/>
      <c r="CC22" s="112"/>
      <c r="CD22" s="112"/>
      <c r="CE22" s="112"/>
      <c r="CF22" s="112"/>
      <c r="CG22" s="112"/>
      <c r="CH22" s="112"/>
      <c r="CI22" s="112"/>
      <c r="CJ22" s="112"/>
      <c r="CK22" s="112"/>
      <c r="CL22" s="112"/>
      <c r="CM22" s="112"/>
      <c r="CN22" s="112"/>
      <c r="CO22" s="112"/>
      <c r="CP22" s="112"/>
      <c r="CQ22" s="112"/>
      <c r="CR22" s="112"/>
      <c r="CS22" s="112"/>
      <c r="CT22" s="112"/>
      <c r="CU22" s="112"/>
      <c r="CV22" s="112"/>
      <c r="CW22" s="108"/>
      <c r="CX22" s="107"/>
    </row>
    <row r="23" ht="39.0" customHeight="1">
      <c r="A23" s="107"/>
      <c r="B23" s="108"/>
      <c r="C23" s="108"/>
      <c r="D23" s="108"/>
      <c r="E23" s="108"/>
      <c r="F23" s="112"/>
      <c r="G23" s="112"/>
      <c r="H23" s="112"/>
      <c r="I23" s="112"/>
      <c r="J23" s="108"/>
      <c r="K23" s="112"/>
      <c r="L23" s="112"/>
      <c r="M23" s="108"/>
      <c r="N23" s="112"/>
      <c r="O23" s="108"/>
      <c r="P23" s="113"/>
      <c r="Q23" s="112"/>
      <c r="R23" s="112"/>
      <c r="S23" s="108"/>
      <c r="T23" s="112"/>
      <c r="U23" s="112"/>
      <c r="V23" s="112"/>
      <c r="W23" s="118"/>
      <c r="X23" s="118"/>
      <c r="Y23" s="118"/>
      <c r="Z23" s="108"/>
      <c r="AA23" s="108"/>
      <c r="AB23" s="108"/>
      <c r="AC23" s="108"/>
      <c r="AD23" s="108"/>
      <c r="AE23" s="108"/>
      <c r="AF23" s="108"/>
      <c r="AG23" s="108"/>
      <c r="AH23" s="108"/>
      <c r="AI23" s="108"/>
      <c r="AJ23" s="108"/>
      <c r="AK23" s="108"/>
      <c r="AL23" s="108"/>
      <c r="AM23" s="112"/>
      <c r="AN23" s="108"/>
      <c r="AO23" s="112"/>
      <c r="AP23" s="108"/>
      <c r="AQ23" s="108"/>
      <c r="AR23" s="125"/>
      <c r="AS23" s="108"/>
      <c r="AT23" s="108"/>
      <c r="AU23" s="112"/>
      <c r="AV23" s="108"/>
      <c r="AW23" s="112"/>
      <c r="AX23" s="112"/>
      <c r="AY23" s="112"/>
      <c r="AZ23" s="112"/>
      <c r="BA23" s="112"/>
      <c r="BB23" s="112"/>
      <c r="BC23" s="112"/>
      <c r="BD23" s="108"/>
      <c r="BE23" s="108"/>
      <c r="BF23" s="113"/>
      <c r="BG23" s="112"/>
      <c r="BH23" s="112"/>
      <c r="BI23" s="112"/>
      <c r="BJ23" s="112"/>
      <c r="BK23" s="112"/>
      <c r="BL23" s="112"/>
      <c r="BM23" s="112"/>
      <c r="BN23" s="112"/>
      <c r="BO23" s="112"/>
      <c r="BP23" s="112"/>
      <c r="BQ23" s="112"/>
      <c r="BR23" s="112"/>
      <c r="BS23" s="112"/>
      <c r="BT23" s="108"/>
      <c r="BU23" s="108"/>
      <c r="BV23" s="128"/>
      <c r="BW23" s="112"/>
      <c r="BX23" s="112"/>
      <c r="BY23" s="112"/>
      <c r="BZ23" s="112"/>
      <c r="CA23" s="112"/>
      <c r="CB23" s="112"/>
      <c r="CC23" s="112"/>
      <c r="CD23" s="112"/>
      <c r="CE23" s="112"/>
      <c r="CF23" s="112"/>
      <c r="CG23" s="112"/>
      <c r="CH23" s="112"/>
      <c r="CI23" s="112"/>
      <c r="CJ23" s="112"/>
      <c r="CK23" s="112"/>
      <c r="CL23" s="112"/>
      <c r="CM23" s="112"/>
      <c r="CN23" s="112"/>
      <c r="CO23" s="112"/>
      <c r="CP23" s="112"/>
      <c r="CQ23" s="112"/>
      <c r="CR23" s="112"/>
      <c r="CS23" s="112"/>
      <c r="CT23" s="112"/>
      <c r="CU23" s="112"/>
      <c r="CV23" s="112"/>
      <c r="CW23" s="108"/>
      <c r="CX23" s="107"/>
    </row>
    <row r="24" ht="39.0" customHeight="1">
      <c r="A24" s="107"/>
      <c r="B24" s="108"/>
      <c r="C24" s="108"/>
      <c r="D24" s="108"/>
      <c r="E24" s="108"/>
      <c r="F24" s="112"/>
      <c r="G24" s="112"/>
      <c r="H24" s="112"/>
      <c r="I24" s="112"/>
      <c r="J24" s="108"/>
      <c r="K24" s="112"/>
      <c r="L24" s="112"/>
      <c r="M24" s="108"/>
      <c r="N24" s="112"/>
      <c r="O24" s="108"/>
      <c r="P24" s="113"/>
      <c r="Q24" s="112"/>
      <c r="R24" s="112"/>
      <c r="S24" s="108"/>
      <c r="T24" s="112"/>
      <c r="U24" s="112"/>
      <c r="V24" s="112"/>
      <c r="W24" s="118"/>
      <c r="X24" s="118"/>
      <c r="Y24" s="118"/>
      <c r="Z24" s="108"/>
      <c r="AA24" s="108"/>
      <c r="AB24" s="108"/>
      <c r="AC24" s="108"/>
      <c r="AD24" s="108"/>
      <c r="AE24" s="108"/>
      <c r="AF24" s="108"/>
      <c r="AG24" s="108"/>
      <c r="AH24" s="108"/>
      <c r="AI24" s="108"/>
      <c r="AJ24" s="108"/>
      <c r="AK24" s="108"/>
      <c r="AL24" s="108"/>
      <c r="AM24" s="112"/>
      <c r="AN24" s="108"/>
      <c r="AO24" s="112"/>
      <c r="AP24" s="108"/>
      <c r="AQ24" s="108"/>
      <c r="AR24" s="125"/>
      <c r="AS24" s="108"/>
      <c r="AT24" s="108"/>
      <c r="AU24" s="112"/>
      <c r="AV24" s="108"/>
      <c r="AW24" s="112"/>
      <c r="AX24" s="112"/>
      <c r="AY24" s="112"/>
      <c r="AZ24" s="112"/>
      <c r="BA24" s="112"/>
      <c r="BB24" s="112"/>
      <c r="BC24" s="112"/>
      <c r="BD24" s="108"/>
      <c r="BE24" s="108"/>
      <c r="BF24" s="113"/>
      <c r="BG24" s="112"/>
      <c r="BH24" s="112"/>
      <c r="BI24" s="112"/>
      <c r="BJ24" s="112"/>
      <c r="BK24" s="112"/>
      <c r="BL24" s="112"/>
      <c r="BM24" s="112"/>
      <c r="BN24" s="112"/>
      <c r="BO24" s="112"/>
      <c r="BP24" s="112"/>
      <c r="BQ24" s="112"/>
      <c r="BR24" s="112"/>
      <c r="BS24" s="112"/>
      <c r="BT24" s="108"/>
      <c r="BU24" s="108"/>
      <c r="BV24" s="128"/>
      <c r="BW24" s="112"/>
      <c r="BX24" s="112"/>
      <c r="BY24" s="112"/>
      <c r="BZ24" s="112"/>
      <c r="CA24" s="112"/>
      <c r="CB24" s="112"/>
      <c r="CC24" s="112"/>
      <c r="CD24" s="112"/>
      <c r="CE24" s="112"/>
      <c r="CF24" s="112"/>
      <c r="CG24" s="112"/>
      <c r="CH24" s="112"/>
      <c r="CI24" s="112"/>
      <c r="CJ24" s="112"/>
      <c r="CK24" s="112"/>
      <c r="CL24" s="112"/>
      <c r="CM24" s="112"/>
      <c r="CN24" s="112"/>
      <c r="CO24" s="112"/>
      <c r="CP24" s="112"/>
      <c r="CQ24" s="112"/>
      <c r="CR24" s="112"/>
      <c r="CS24" s="112"/>
      <c r="CT24" s="112"/>
      <c r="CU24" s="112"/>
      <c r="CV24" s="112"/>
      <c r="CW24" s="108"/>
      <c r="CX24" s="107"/>
    </row>
    <row r="25" ht="39.0" customHeight="1">
      <c r="A25" s="107"/>
      <c r="B25" s="108"/>
      <c r="C25" s="108"/>
      <c r="D25" s="108"/>
      <c r="E25" s="108"/>
      <c r="F25" s="112"/>
      <c r="G25" s="112"/>
      <c r="H25" s="112"/>
      <c r="I25" s="112"/>
      <c r="J25" s="108"/>
      <c r="K25" s="112"/>
      <c r="L25" s="112"/>
      <c r="M25" s="108"/>
      <c r="N25" s="112"/>
      <c r="O25" s="108"/>
      <c r="P25" s="113"/>
      <c r="Q25" s="112"/>
      <c r="R25" s="112"/>
      <c r="S25" s="108"/>
      <c r="T25" s="112"/>
      <c r="U25" s="112"/>
      <c r="V25" s="112"/>
      <c r="W25" s="118"/>
      <c r="X25" s="118"/>
      <c r="Y25" s="118"/>
      <c r="Z25" s="108"/>
      <c r="AA25" s="108"/>
      <c r="AB25" s="108"/>
      <c r="AC25" s="108"/>
      <c r="AD25" s="108"/>
      <c r="AE25" s="108"/>
      <c r="AF25" s="108"/>
      <c r="AG25" s="108"/>
      <c r="AH25" s="108"/>
      <c r="AI25" s="108"/>
      <c r="AJ25" s="108"/>
      <c r="AK25" s="108"/>
      <c r="AL25" s="108"/>
      <c r="AM25" s="112"/>
      <c r="AN25" s="108"/>
      <c r="AO25" s="112"/>
      <c r="AP25" s="108"/>
      <c r="AQ25" s="108"/>
      <c r="AR25" s="125"/>
      <c r="AS25" s="108"/>
      <c r="AT25" s="108"/>
      <c r="AU25" s="112"/>
      <c r="AV25" s="108"/>
      <c r="AW25" s="112"/>
      <c r="AX25" s="112"/>
      <c r="AY25" s="112"/>
      <c r="AZ25" s="112"/>
      <c r="BA25" s="112"/>
      <c r="BB25" s="112"/>
      <c r="BC25" s="112"/>
      <c r="BD25" s="108"/>
      <c r="BE25" s="108"/>
      <c r="BF25" s="113"/>
      <c r="BG25" s="112"/>
      <c r="BH25" s="112"/>
      <c r="BI25" s="112"/>
      <c r="BJ25" s="112"/>
      <c r="BK25" s="112"/>
      <c r="BL25" s="112"/>
      <c r="BM25" s="112"/>
      <c r="BN25" s="112"/>
      <c r="BO25" s="112"/>
      <c r="BP25" s="112"/>
      <c r="BQ25" s="112"/>
      <c r="BR25" s="112"/>
      <c r="BS25" s="112"/>
      <c r="BT25" s="108"/>
      <c r="BU25" s="108"/>
      <c r="BV25" s="128"/>
      <c r="BW25" s="112"/>
      <c r="BX25" s="112"/>
      <c r="BY25" s="112"/>
      <c r="BZ25" s="112"/>
      <c r="CA25" s="112"/>
      <c r="CB25" s="112"/>
      <c r="CC25" s="112"/>
      <c r="CD25" s="112"/>
      <c r="CE25" s="112"/>
      <c r="CF25" s="112"/>
      <c r="CG25" s="112"/>
      <c r="CH25" s="112"/>
      <c r="CI25" s="112"/>
      <c r="CJ25" s="112"/>
      <c r="CK25" s="112"/>
      <c r="CL25" s="112"/>
      <c r="CM25" s="112"/>
      <c r="CN25" s="112"/>
      <c r="CO25" s="112"/>
      <c r="CP25" s="112"/>
      <c r="CQ25" s="112"/>
      <c r="CR25" s="112"/>
      <c r="CS25" s="112"/>
      <c r="CT25" s="112"/>
      <c r="CU25" s="112"/>
      <c r="CV25" s="112"/>
      <c r="CW25" s="108"/>
      <c r="CX25" s="107"/>
    </row>
    <row r="26" ht="39.0" customHeight="1">
      <c r="A26" s="107"/>
      <c r="B26" s="108"/>
      <c r="C26" s="108"/>
      <c r="D26" s="108"/>
      <c r="E26" s="108"/>
      <c r="F26" s="112"/>
      <c r="G26" s="112"/>
      <c r="H26" s="112"/>
      <c r="I26" s="112"/>
      <c r="J26" s="108"/>
      <c r="K26" s="112"/>
      <c r="L26" s="112"/>
      <c r="M26" s="108"/>
      <c r="N26" s="112"/>
      <c r="O26" s="108"/>
      <c r="P26" s="113"/>
      <c r="Q26" s="112"/>
      <c r="R26" s="112"/>
      <c r="S26" s="108"/>
      <c r="T26" s="112"/>
      <c r="U26" s="112"/>
      <c r="V26" s="112"/>
      <c r="W26" s="118"/>
      <c r="X26" s="118"/>
      <c r="Y26" s="118"/>
      <c r="Z26" s="108"/>
      <c r="AA26" s="108"/>
      <c r="AB26" s="108"/>
      <c r="AC26" s="108"/>
      <c r="AD26" s="108"/>
      <c r="AE26" s="108"/>
      <c r="AF26" s="108"/>
      <c r="AG26" s="108"/>
      <c r="AH26" s="108"/>
      <c r="AI26" s="108"/>
      <c r="AJ26" s="108"/>
      <c r="AK26" s="108"/>
      <c r="AL26" s="108"/>
      <c r="AM26" s="112"/>
      <c r="AN26" s="108"/>
      <c r="AO26" s="112"/>
      <c r="AP26" s="108"/>
      <c r="AQ26" s="108"/>
      <c r="AR26" s="125"/>
      <c r="AS26" s="108"/>
      <c r="AT26" s="108"/>
      <c r="AU26" s="112"/>
      <c r="AV26" s="108"/>
      <c r="AW26" s="112"/>
      <c r="AX26" s="112"/>
      <c r="AY26" s="112"/>
      <c r="AZ26" s="112"/>
      <c r="BA26" s="112"/>
      <c r="BB26" s="112"/>
      <c r="BC26" s="112"/>
      <c r="BD26" s="108"/>
      <c r="BE26" s="108"/>
      <c r="BF26" s="113"/>
      <c r="BG26" s="112"/>
      <c r="BH26" s="112"/>
      <c r="BI26" s="112"/>
      <c r="BJ26" s="112"/>
      <c r="BK26" s="112"/>
      <c r="BL26" s="112"/>
      <c r="BM26" s="112"/>
      <c r="BN26" s="112"/>
      <c r="BO26" s="112"/>
      <c r="BP26" s="112"/>
      <c r="BQ26" s="112"/>
      <c r="BR26" s="112"/>
      <c r="BS26" s="112"/>
      <c r="BT26" s="108"/>
      <c r="BU26" s="108"/>
      <c r="BV26" s="128"/>
      <c r="BW26" s="112"/>
      <c r="BX26" s="112"/>
      <c r="BY26" s="112"/>
      <c r="BZ26" s="112"/>
      <c r="CA26" s="112"/>
      <c r="CB26" s="112"/>
      <c r="CC26" s="112"/>
      <c r="CD26" s="112"/>
      <c r="CE26" s="112"/>
      <c r="CF26" s="112"/>
      <c r="CG26" s="112"/>
      <c r="CH26" s="112"/>
      <c r="CI26" s="112"/>
      <c r="CJ26" s="112"/>
      <c r="CK26" s="112"/>
      <c r="CL26" s="112"/>
      <c r="CM26" s="112"/>
      <c r="CN26" s="112"/>
      <c r="CO26" s="112"/>
      <c r="CP26" s="112"/>
      <c r="CQ26" s="112"/>
      <c r="CR26" s="112"/>
      <c r="CS26" s="112"/>
      <c r="CT26" s="112"/>
      <c r="CU26" s="112"/>
      <c r="CV26" s="112"/>
      <c r="CW26" s="108"/>
      <c r="CX26" s="107"/>
    </row>
    <row r="27" ht="39.0" customHeight="1">
      <c r="A27" s="107"/>
      <c r="B27" s="108"/>
      <c r="C27" s="108"/>
      <c r="D27" s="108"/>
      <c r="E27" s="108"/>
      <c r="F27" s="112"/>
      <c r="G27" s="112"/>
      <c r="H27" s="112"/>
      <c r="I27" s="112"/>
      <c r="J27" s="108"/>
      <c r="K27" s="112"/>
      <c r="L27" s="112"/>
      <c r="M27" s="108"/>
      <c r="N27" s="112"/>
      <c r="O27" s="108"/>
      <c r="P27" s="113"/>
      <c r="Q27" s="112"/>
      <c r="R27" s="112"/>
      <c r="S27" s="108"/>
      <c r="T27" s="112"/>
      <c r="U27" s="112"/>
      <c r="V27" s="112"/>
      <c r="W27" s="118"/>
      <c r="X27" s="118"/>
      <c r="Y27" s="118"/>
      <c r="Z27" s="108"/>
      <c r="AA27" s="108"/>
      <c r="AB27" s="108"/>
      <c r="AC27" s="108"/>
      <c r="AD27" s="108"/>
      <c r="AE27" s="108"/>
      <c r="AF27" s="108"/>
      <c r="AG27" s="108"/>
      <c r="AH27" s="108"/>
      <c r="AI27" s="108"/>
      <c r="AJ27" s="108"/>
      <c r="AK27" s="108"/>
      <c r="AL27" s="108"/>
      <c r="AM27" s="112"/>
      <c r="AN27" s="108"/>
      <c r="AO27" s="112"/>
      <c r="AP27" s="108"/>
      <c r="AQ27" s="108"/>
      <c r="AR27" s="125"/>
      <c r="AS27" s="108"/>
      <c r="AT27" s="108"/>
      <c r="AU27" s="112"/>
      <c r="AV27" s="108"/>
      <c r="AW27" s="112"/>
      <c r="AX27" s="112"/>
      <c r="AY27" s="112"/>
      <c r="AZ27" s="112"/>
      <c r="BA27" s="112"/>
      <c r="BB27" s="112"/>
      <c r="BC27" s="112"/>
      <c r="BD27" s="108"/>
      <c r="BE27" s="108"/>
      <c r="BF27" s="113"/>
      <c r="BG27" s="112"/>
      <c r="BH27" s="112"/>
      <c r="BI27" s="112"/>
      <c r="BJ27" s="112"/>
      <c r="BK27" s="112"/>
      <c r="BL27" s="112"/>
      <c r="BM27" s="112"/>
      <c r="BN27" s="112"/>
      <c r="BO27" s="112"/>
      <c r="BP27" s="112"/>
      <c r="BQ27" s="112"/>
      <c r="BR27" s="112"/>
      <c r="BS27" s="112"/>
      <c r="BT27" s="108"/>
      <c r="BU27" s="108"/>
      <c r="BV27" s="128"/>
      <c r="BW27" s="112"/>
      <c r="BX27" s="112"/>
      <c r="BY27" s="112"/>
      <c r="BZ27" s="112"/>
      <c r="CA27" s="112"/>
      <c r="CB27" s="112"/>
      <c r="CC27" s="112"/>
      <c r="CD27" s="112"/>
      <c r="CE27" s="112"/>
      <c r="CF27" s="112"/>
      <c r="CG27" s="112"/>
      <c r="CH27" s="112"/>
      <c r="CI27" s="112"/>
      <c r="CJ27" s="112"/>
      <c r="CK27" s="112"/>
      <c r="CL27" s="112"/>
      <c r="CM27" s="112"/>
      <c r="CN27" s="112"/>
      <c r="CO27" s="112"/>
      <c r="CP27" s="112"/>
      <c r="CQ27" s="112"/>
      <c r="CR27" s="112"/>
      <c r="CS27" s="112"/>
      <c r="CT27" s="112"/>
      <c r="CU27" s="112"/>
      <c r="CV27" s="112"/>
      <c r="CW27" s="108"/>
      <c r="CX27" s="107"/>
    </row>
    <row r="28" ht="39.0" customHeight="1">
      <c r="A28" s="107"/>
      <c r="B28" s="108"/>
      <c r="C28" s="108"/>
      <c r="D28" s="108"/>
      <c r="E28" s="108"/>
      <c r="F28" s="112"/>
      <c r="G28" s="112"/>
      <c r="H28" s="112"/>
      <c r="I28" s="112"/>
      <c r="J28" s="108"/>
      <c r="K28" s="112"/>
      <c r="L28" s="112"/>
      <c r="M28" s="108"/>
      <c r="N28" s="112"/>
      <c r="O28" s="108"/>
      <c r="P28" s="113"/>
      <c r="Q28" s="112"/>
      <c r="R28" s="112"/>
      <c r="S28" s="108"/>
      <c r="T28" s="112"/>
      <c r="U28" s="112"/>
      <c r="V28" s="112"/>
      <c r="W28" s="118"/>
      <c r="X28" s="118"/>
      <c r="Y28" s="118"/>
      <c r="Z28" s="108"/>
      <c r="AA28" s="108"/>
      <c r="AB28" s="108"/>
      <c r="AC28" s="108"/>
      <c r="AD28" s="108"/>
      <c r="AE28" s="108"/>
      <c r="AF28" s="108"/>
      <c r="AG28" s="108"/>
      <c r="AH28" s="108"/>
      <c r="AI28" s="108"/>
      <c r="AJ28" s="108"/>
      <c r="AK28" s="108"/>
      <c r="AL28" s="108"/>
      <c r="AM28" s="112"/>
      <c r="AN28" s="108"/>
      <c r="AO28" s="112"/>
      <c r="AP28" s="108"/>
      <c r="AQ28" s="108"/>
      <c r="AR28" s="125"/>
      <c r="AS28" s="108"/>
      <c r="AT28" s="108"/>
      <c r="AU28" s="112"/>
      <c r="AV28" s="108"/>
      <c r="AW28" s="112"/>
      <c r="AX28" s="112"/>
      <c r="AY28" s="112"/>
      <c r="AZ28" s="112"/>
      <c r="BA28" s="112"/>
      <c r="BB28" s="112"/>
      <c r="BC28" s="112"/>
      <c r="BD28" s="108"/>
      <c r="BE28" s="108"/>
      <c r="BF28" s="113"/>
      <c r="BG28" s="112"/>
      <c r="BH28" s="112"/>
      <c r="BI28" s="112"/>
      <c r="BJ28" s="112"/>
      <c r="BK28" s="112"/>
      <c r="BL28" s="112"/>
      <c r="BM28" s="112"/>
      <c r="BN28" s="112"/>
      <c r="BO28" s="112"/>
      <c r="BP28" s="112"/>
      <c r="BQ28" s="112"/>
      <c r="BR28" s="112"/>
      <c r="BS28" s="112"/>
      <c r="BT28" s="108"/>
      <c r="BU28" s="108"/>
      <c r="BV28" s="128"/>
      <c r="BW28" s="112"/>
      <c r="BX28" s="112"/>
      <c r="BY28" s="112"/>
      <c r="BZ28" s="112"/>
      <c r="CA28" s="112"/>
      <c r="CB28" s="112"/>
      <c r="CC28" s="112"/>
      <c r="CD28" s="112"/>
      <c r="CE28" s="112"/>
      <c r="CF28" s="112"/>
      <c r="CG28" s="112"/>
      <c r="CH28" s="112"/>
      <c r="CI28" s="112"/>
      <c r="CJ28" s="112"/>
      <c r="CK28" s="112"/>
      <c r="CL28" s="112"/>
      <c r="CM28" s="112"/>
      <c r="CN28" s="112"/>
      <c r="CO28" s="112"/>
      <c r="CP28" s="112"/>
      <c r="CQ28" s="112"/>
      <c r="CR28" s="112"/>
      <c r="CS28" s="112"/>
      <c r="CT28" s="112"/>
      <c r="CU28" s="112"/>
      <c r="CV28" s="112"/>
      <c r="CW28" s="108"/>
      <c r="CX28" s="107"/>
    </row>
    <row r="29" ht="39.0" customHeight="1">
      <c r="A29" s="107"/>
      <c r="B29" s="108"/>
      <c r="C29" s="108"/>
      <c r="D29" s="108"/>
      <c r="E29" s="108"/>
      <c r="F29" s="112"/>
      <c r="G29" s="112"/>
      <c r="H29" s="112"/>
      <c r="I29" s="112"/>
      <c r="J29" s="108"/>
      <c r="K29" s="112"/>
      <c r="L29" s="112"/>
      <c r="M29" s="108"/>
      <c r="N29" s="112"/>
      <c r="O29" s="108"/>
      <c r="P29" s="113"/>
      <c r="Q29" s="112"/>
      <c r="R29" s="112"/>
      <c r="S29" s="108"/>
      <c r="T29" s="112"/>
      <c r="U29" s="112"/>
      <c r="V29" s="112"/>
      <c r="W29" s="118"/>
      <c r="X29" s="118"/>
      <c r="Y29" s="118"/>
      <c r="Z29" s="108"/>
      <c r="AA29" s="108"/>
      <c r="AB29" s="108"/>
      <c r="AC29" s="108"/>
      <c r="AD29" s="108"/>
      <c r="AE29" s="108"/>
      <c r="AF29" s="108"/>
      <c r="AG29" s="108"/>
      <c r="AH29" s="108"/>
      <c r="AI29" s="108"/>
      <c r="AJ29" s="108"/>
      <c r="AK29" s="108"/>
      <c r="AL29" s="108"/>
      <c r="AM29" s="112"/>
      <c r="AN29" s="108"/>
      <c r="AO29" s="112"/>
      <c r="AP29" s="108"/>
      <c r="AQ29" s="108"/>
      <c r="AR29" s="125"/>
      <c r="AS29" s="108"/>
      <c r="AT29" s="108"/>
      <c r="AU29" s="112"/>
      <c r="AV29" s="108"/>
      <c r="AW29" s="112"/>
      <c r="AX29" s="112"/>
      <c r="AY29" s="112"/>
      <c r="AZ29" s="112"/>
      <c r="BA29" s="112"/>
      <c r="BB29" s="112"/>
      <c r="BC29" s="112"/>
      <c r="BD29" s="108"/>
      <c r="BE29" s="108"/>
      <c r="BF29" s="113"/>
      <c r="BG29" s="112"/>
      <c r="BH29" s="112"/>
      <c r="BI29" s="112"/>
      <c r="BJ29" s="112"/>
      <c r="BK29" s="112"/>
      <c r="BL29" s="112"/>
      <c r="BM29" s="112"/>
      <c r="BN29" s="112"/>
      <c r="BO29" s="112"/>
      <c r="BP29" s="112"/>
      <c r="BQ29" s="112"/>
      <c r="BR29" s="112"/>
      <c r="BS29" s="112"/>
      <c r="BT29" s="108"/>
      <c r="BU29" s="108"/>
      <c r="BV29" s="128"/>
      <c r="BW29" s="112"/>
      <c r="BX29" s="112"/>
      <c r="BY29" s="112"/>
      <c r="BZ29" s="112"/>
      <c r="CA29" s="112"/>
      <c r="CB29" s="112"/>
      <c r="CC29" s="112"/>
      <c r="CD29" s="112"/>
      <c r="CE29" s="112"/>
      <c r="CF29" s="112"/>
      <c r="CG29" s="112"/>
      <c r="CH29" s="112"/>
      <c r="CI29" s="112"/>
      <c r="CJ29" s="112"/>
      <c r="CK29" s="112"/>
      <c r="CL29" s="112"/>
      <c r="CM29" s="112"/>
      <c r="CN29" s="112"/>
      <c r="CO29" s="112"/>
      <c r="CP29" s="112"/>
      <c r="CQ29" s="112"/>
      <c r="CR29" s="112"/>
      <c r="CS29" s="112"/>
      <c r="CT29" s="112"/>
      <c r="CU29" s="112"/>
      <c r="CV29" s="112"/>
      <c r="CW29" s="108"/>
      <c r="CX29" s="107"/>
    </row>
    <row r="30" ht="39.0" customHeight="1">
      <c r="A30" s="107"/>
      <c r="B30" s="108"/>
      <c r="C30" s="108"/>
      <c r="D30" s="108"/>
      <c r="E30" s="108"/>
      <c r="F30" s="112"/>
      <c r="G30" s="112"/>
      <c r="H30" s="112"/>
      <c r="I30" s="112"/>
      <c r="J30" s="108"/>
      <c r="K30" s="112"/>
      <c r="L30" s="112"/>
      <c r="M30" s="108"/>
      <c r="N30" s="112"/>
      <c r="O30" s="108"/>
      <c r="P30" s="113"/>
      <c r="Q30" s="112"/>
      <c r="R30" s="112"/>
      <c r="S30" s="108"/>
      <c r="T30" s="112"/>
      <c r="U30" s="112"/>
      <c r="V30" s="112"/>
      <c r="W30" s="118"/>
      <c r="X30" s="118"/>
      <c r="Y30" s="118"/>
      <c r="Z30" s="108"/>
      <c r="AA30" s="108"/>
      <c r="AB30" s="108"/>
      <c r="AC30" s="108"/>
      <c r="AD30" s="108"/>
      <c r="AE30" s="108"/>
      <c r="AF30" s="108"/>
      <c r="AG30" s="108"/>
      <c r="AH30" s="108"/>
      <c r="AI30" s="108"/>
      <c r="AJ30" s="108"/>
      <c r="AK30" s="108"/>
      <c r="AL30" s="108"/>
      <c r="AM30" s="112"/>
      <c r="AN30" s="108"/>
      <c r="AO30" s="112"/>
      <c r="AP30" s="108"/>
      <c r="AQ30" s="108"/>
      <c r="AR30" s="125"/>
      <c r="AS30" s="108"/>
      <c r="AT30" s="108"/>
      <c r="AU30" s="112"/>
      <c r="AV30" s="108"/>
      <c r="AW30" s="112"/>
      <c r="AX30" s="112"/>
      <c r="AY30" s="112"/>
      <c r="AZ30" s="112"/>
      <c r="BA30" s="112"/>
      <c r="BB30" s="112"/>
      <c r="BC30" s="112"/>
      <c r="BD30" s="108"/>
      <c r="BE30" s="108"/>
      <c r="BF30" s="113"/>
      <c r="BG30" s="112"/>
      <c r="BH30" s="112"/>
      <c r="BI30" s="112"/>
      <c r="BJ30" s="112"/>
      <c r="BK30" s="112"/>
      <c r="BL30" s="112"/>
      <c r="BM30" s="112"/>
      <c r="BN30" s="112"/>
      <c r="BO30" s="112"/>
      <c r="BP30" s="112"/>
      <c r="BQ30" s="112"/>
      <c r="BR30" s="112"/>
      <c r="BS30" s="112"/>
      <c r="BT30" s="108"/>
      <c r="BU30" s="108"/>
      <c r="BV30" s="128"/>
      <c r="BW30" s="112"/>
      <c r="BX30" s="112"/>
      <c r="BY30" s="112"/>
      <c r="BZ30" s="112"/>
      <c r="CA30" s="112"/>
      <c r="CB30" s="112"/>
      <c r="CC30" s="112"/>
      <c r="CD30" s="112"/>
      <c r="CE30" s="112"/>
      <c r="CF30" s="112"/>
      <c r="CG30" s="112"/>
      <c r="CH30" s="112"/>
      <c r="CI30" s="112"/>
      <c r="CJ30" s="112"/>
      <c r="CK30" s="112"/>
      <c r="CL30" s="112"/>
      <c r="CM30" s="112"/>
      <c r="CN30" s="112"/>
      <c r="CO30" s="112"/>
      <c r="CP30" s="112"/>
      <c r="CQ30" s="112"/>
      <c r="CR30" s="112"/>
      <c r="CS30" s="112"/>
      <c r="CT30" s="112"/>
      <c r="CU30" s="112"/>
      <c r="CV30" s="112"/>
      <c r="CW30" s="108"/>
      <c r="CX30" s="107"/>
    </row>
    <row r="31" ht="39.0" customHeight="1">
      <c r="A31" s="107"/>
      <c r="B31" s="108"/>
      <c r="C31" s="108"/>
      <c r="D31" s="108"/>
      <c r="E31" s="108"/>
      <c r="F31" s="112"/>
      <c r="G31" s="112"/>
      <c r="H31" s="112"/>
      <c r="I31" s="112"/>
      <c r="J31" s="108"/>
      <c r="K31" s="112"/>
      <c r="L31" s="112"/>
      <c r="M31" s="108"/>
      <c r="N31" s="112"/>
      <c r="O31" s="108"/>
      <c r="P31" s="113"/>
      <c r="Q31" s="112"/>
      <c r="R31" s="112"/>
      <c r="S31" s="108"/>
      <c r="T31" s="112"/>
      <c r="U31" s="112"/>
      <c r="V31" s="112"/>
      <c r="W31" s="118"/>
      <c r="X31" s="118"/>
      <c r="Y31" s="118"/>
      <c r="Z31" s="108"/>
      <c r="AA31" s="108"/>
      <c r="AB31" s="108"/>
      <c r="AC31" s="108"/>
      <c r="AD31" s="108"/>
      <c r="AE31" s="108"/>
      <c r="AF31" s="108"/>
      <c r="AG31" s="108"/>
      <c r="AH31" s="108"/>
      <c r="AI31" s="108"/>
      <c r="AJ31" s="108"/>
      <c r="AK31" s="108"/>
      <c r="AL31" s="108"/>
      <c r="AM31" s="112"/>
      <c r="AN31" s="108"/>
      <c r="AO31" s="112"/>
      <c r="AP31" s="108"/>
      <c r="AQ31" s="108"/>
      <c r="AR31" s="125"/>
      <c r="AS31" s="108"/>
      <c r="AT31" s="108"/>
      <c r="AU31" s="112"/>
      <c r="AV31" s="108"/>
      <c r="AW31" s="112"/>
      <c r="AX31" s="112"/>
      <c r="AY31" s="112"/>
      <c r="AZ31" s="112"/>
      <c r="BA31" s="112"/>
      <c r="BB31" s="112"/>
      <c r="BC31" s="112"/>
      <c r="BD31" s="108"/>
      <c r="BE31" s="108"/>
      <c r="BF31" s="113"/>
      <c r="BG31" s="112"/>
      <c r="BH31" s="112"/>
      <c r="BI31" s="112"/>
      <c r="BJ31" s="112"/>
      <c r="BK31" s="112"/>
      <c r="BL31" s="112"/>
      <c r="BM31" s="112"/>
      <c r="BN31" s="112"/>
      <c r="BO31" s="112"/>
      <c r="BP31" s="112"/>
      <c r="BQ31" s="112"/>
      <c r="BR31" s="112"/>
      <c r="BS31" s="112"/>
      <c r="BT31" s="108"/>
      <c r="BU31" s="108"/>
      <c r="BV31" s="128"/>
      <c r="BW31" s="112"/>
      <c r="BX31" s="112"/>
      <c r="BY31" s="112"/>
      <c r="BZ31" s="112"/>
      <c r="CA31" s="112"/>
      <c r="CB31" s="112"/>
      <c r="CC31" s="112"/>
      <c r="CD31" s="112"/>
      <c r="CE31" s="112"/>
      <c r="CF31" s="112"/>
      <c r="CG31" s="112"/>
      <c r="CH31" s="112"/>
      <c r="CI31" s="112"/>
      <c r="CJ31" s="112"/>
      <c r="CK31" s="112"/>
      <c r="CL31" s="112"/>
      <c r="CM31" s="112"/>
      <c r="CN31" s="112"/>
      <c r="CO31" s="112"/>
      <c r="CP31" s="112"/>
      <c r="CQ31" s="112"/>
      <c r="CR31" s="112"/>
      <c r="CS31" s="112"/>
      <c r="CT31" s="112"/>
      <c r="CU31" s="112"/>
      <c r="CV31" s="112"/>
      <c r="CW31" s="108"/>
      <c r="CX31" s="107"/>
    </row>
    <row r="32" ht="39.0" customHeight="1">
      <c r="A32" s="107"/>
      <c r="B32" s="108"/>
      <c r="C32" s="108"/>
      <c r="D32" s="108"/>
      <c r="E32" s="108"/>
      <c r="F32" s="112"/>
      <c r="G32" s="112"/>
      <c r="H32" s="112"/>
      <c r="I32" s="112"/>
      <c r="J32" s="108"/>
      <c r="K32" s="112"/>
      <c r="L32" s="112"/>
      <c r="M32" s="108"/>
      <c r="N32" s="112"/>
      <c r="O32" s="108"/>
      <c r="P32" s="113"/>
      <c r="Q32" s="112"/>
      <c r="R32" s="112"/>
      <c r="S32" s="108"/>
      <c r="T32" s="112"/>
      <c r="U32" s="112"/>
      <c r="V32" s="112"/>
      <c r="W32" s="118"/>
      <c r="X32" s="118"/>
      <c r="Y32" s="118"/>
      <c r="Z32" s="108"/>
      <c r="AA32" s="108"/>
      <c r="AB32" s="108"/>
      <c r="AC32" s="108"/>
      <c r="AD32" s="108"/>
      <c r="AE32" s="108"/>
      <c r="AF32" s="108"/>
      <c r="AG32" s="108"/>
      <c r="AH32" s="108"/>
      <c r="AI32" s="108"/>
      <c r="AJ32" s="108"/>
      <c r="AK32" s="108"/>
      <c r="AL32" s="108"/>
      <c r="AM32" s="112"/>
      <c r="AN32" s="108"/>
      <c r="AO32" s="112"/>
      <c r="AP32" s="108"/>
      <c r="AQ32" s="108"/>
      <c r="AR32" s="125"/>
      <c r="AS32" s="108"/>
      <c r="AT32" s="108"/>
      <c r="AU32" s="112"/>
      <c r="AV32" s="108"/>
      <c r="AW32" s="112"/>
      <c r="AX32" s="112"/>
      <c r="AY32" s="112"/>
      <c r="AZ32" s="112"/>
      <c r="BA32" s="112"/>
      <c r="BB32" s="112"/>
      <c r="BC32" s="112"/>
      <c r="BD32" s="108"/>
      <c r="BE32" s="108"/>
      <c r="BF32" s="113"/>
      <c r="BG32" s="112"/>
      <c r="BH32" s="112"/>
      <c r="BI32" s="112"/>
      <c r="BJ32" s="112"/>
      <c r="BK32" s="112"/>
      <c r="BL32" s="112"/>
      <c r="BM32" s="112"/>
      <c r="BN32" s="112"/>
      <c r="BO32" s="112"/>
      <c r="BP32" s="112"/>
      <c r="BQ32" s="112"/>
      <c r="BR32" s="112"/>
      <c r="BS32" s="112"/>
      <c r="BT32" s="108"/>
      <c r="BU32" s="108"/>
      <c r="BV32" s="128"/>
      <c r="BW32" s="112"/>
      <c r="BX32" s="112"/>
      <c r="BY32" s="112"/>
      <c r="BZ32" s="112"/>
      <c r="CA32" s="112"/>
      <c r="CB32" s="112"/>
      <c r="CC32" s="112"/>
      <c r="CD32" s="112"/>
      <c r="CE32" s="112"/>
      <c r="CF32" s="112"/>
      <c r="CG32" s="112"/>
      <c r="CH32" s="112"/>
      <c r="CI32" s="112"/>
      <c r="CJ32" s="112"/>
      <c r="CK32" s="112"/>
      <c r="CL32" s="112"/>
      <c r="CM32" s="112"/>
      <c r="CN32" s="112"/>
      <c r="CO32" s="112"/>
      <c r="CP32" s="112"/>
      <c r="CQ32" s="112"/>
      <c r="CR32" s="112"/>
      <c r="CS32" s="112"/>
      <c r="CT32" s="112"/>
      <c r="CU32" s="112"/>
      <c r="CV32" s="112"/>
      <c r="CW32" s="108"/>
      <c r="CX32" s="107"/>
    </row>
    <row r="33" ht="39.0" customHeight="1">
      <c r="A33" s="107"/>
      <c r="B33" s="108"/>
      <c r="C33" s="108"/>
      <c r="D33" s="108"/>
      <c r="E33" s="108"/>
      <c r="F33" s="112"/>
      <c r="G33" s="112"/>
      <c r="H33" s="112"/>
      <c r="I33" s="112"/>
      <c r="J33" s="108"/>
      <c r="K33" s="112"/>
      <c r="L33" s="112"/>
      <c r="M33" s="108"/>
      <c r="N33" s="112"/>
      <c r="O33" s="108"/>
      <c r="P33" s="113"/>
      <c r="Q33" s="112"/>
      <c r="R33" s="112"/>
      <c r="S33" s="108"/>
      <c r="T33" s="112"/>
      <c r="U33" s="112"/>
      <c r="V33" s="112"/>
      <c r="W33" s="118"/>
      <c r="X33" s="118"/>
      <c r="Y33" s="118"/>
      <c r="Z33" s="108"/>
      <c r="AA33" s="108"/>
      <c r="AB33" s="108"/>
      <c r="AC33" s="108"/>
      <c r="AD33" s="108"/>
      <c r="AE33" s="108"/>
      <c r="AF33" s="108"/>
      <c r="AG33" s="108"/>
      <c r="AH33" s="108"/>
      <c r="AI33" s="108"/>
      <c r="AJ33" s="108"/>
      <c r="AK33" s="108"/>
      <c r="AL33" s="108"/>
      <c r="AM33" s="112"/>
      <c r="AN33" s="108"/>
      <c r="AO33" s="112"/>
      <c r="AP33" s="108"/>
      <c r="AQ33" s="108"/>
      <c r="AR33" s="125"/>
      <c r="AS33" s="108"/>
      <c r="AT33" s="108"/>
      <c r="AU33" s="112"/>
      <c r="AV33" s="108"/>
      <c r="AW33" s="112"/>
      <c r="AX33" s="112"/>
      <c r="AY33" s="112"/>
      <c r="AZ33" s="112"/>
      <c r="BA33" s="112"/>
      <c r="BB33" s="112"/>
      <c r="BC33" s="112"/>
      <c r="BD33" s="108"/>
      <c r="BE33" s="108"/>
      <c r="BF33" s="113"/>
      <c r="BG33" s="112"/>
      <c r="BH33" s="112"/>
      <c r="BI33" s="112"/>
      <c r="BJ33" s="112"/>
      <c r="BK33" s="112"/>
      <c r="BL33" s="112"/>
      <c r="BM33" s="112"/>
      <c r="BN33" s="112"/>
      <c r="BO33" s="112"/>
      <c r="BP33" s="112"/>
      <c r="BQ33" s="112"/>
      <c r="BR33" s="112"/>
      <c r="BS33" s="112"/>
      <c r="BT33" s="108"/>
      <c r="BU33" s="108"/>
      <c r="BV33" s="128"/>
      <c r="BW33" s="112"/>
      <c r="BX33" s="112"/>
      <c r="BY33" s="112"/>
      <c r="BZ33" s="112"/>
      <c r="CA33" s="112"/>
      <c r="CB33" s="112"/>
      <c r="CC33" s="112"/>
      <c r="CD33" s="112"/>
      <c r="CE33" s="112"/>
      <c r="CF33" s="112"/>
      <c r="CG33" s="112"/>
      <c r="CH33" s="112"/>
      <c r="CI33" s="112"/>
      <c r="CJ33" s="112"/>
      <c r="CK33" s="112"/>
      <c r="CL33" s="112"/>
      <c r="CM33" s="112"/>
      <c r="CN33" s="112"/>
      <c r="CO33" s="112"/>
      <c r="CP33" s="112"/>
      <c r="CQ33" s="112"/>
      <c r="CR33" s="112"/>
      <c r="CS33" s="112"/>
      <c r="CT33" s="112"/>
      <c r="CU33" s="112"/>
      <c r="CV33" s="112"/>
      <c r="CW33" s="108"/>
      <c r="CX33" s="107"/>
    </row>
    <row r="34" ht="39.0" customHeight="1">
      <c r="A34" s="107"/>
      <c r="B34" s="108"/>
      <c r="C34" s="108"/>
      <c r="D34" s="108"/>
      <c r="E34" s="108"/>
      <c r="F34" s="112"/>
      <c r="G34" s="112"/>
      <c r="H34" s="112"/>
      <c r="I34" s="112"/>
      <c r="J34" s="108"/>
      <c r="K34" s="112"/>
      <c r="L34" s="112"/>
      <c r="M34" s="108"/>
      <c r="N34" s="112"/>
      <c r="O34" s="108"/>
      <c r="P34" s="113"/>
      <c r="Q34" s="112"/>
      <c r="R34" s="112"/>
      <c r="S34" s="108"/>
      <c r="T34" s="112"/>
      <c r="U34" s="112"/>
      <c r="V34" s="112"/>
      <c r="W34" s="118"/>
      <c r="X34" s="118"/>
      <c r="Y34" s="118"/>
      <c r="Z34" s="108"/>
      <c r="AA34" s="108"/>
      <c r="AB34" s="108"/>
      <c r="AC34" s="108"/>
      <c r="AD34" s="108"/>
      <c r="AE34" s="108"/>
      <c r="AF34" s="108"/>
      <c r="AG34" s="108"/>
      <c r="AH34" s="108"/>
      <c r="AI34" s="108"/>
      <c r="AJ34" s="108"/>
      <c r="AK34" s="108"/>
      <c r="AL34" s="108"/>
      <c r="AM34" s="112"/>
      <c r="AN34" s="108"/>
      <c r="AO34" s="112"/>
      <c r="AP34" s="108"/>
      <c r="AQ34" s="108"/>
      <c r="AR34" s="125"/>
      <c r="AS34" s="108"/>
      <c r="AT34" s="108"/>
      <c r="AU34" s="112"/>
      <c r="AV34" s="108"/>
      <c r="AW34" s="112"/>
      <c r="AX34" s="112"/>
      <c r="AY34" s="112"/>
      <c r="AZ34" s="112"/>
      <c r="BA34" s="112"/>
      <c r="BB34" s="112"/>
      <c r="BC34" s="112"/>
      <c r="BD34" s="108"/>
      <c r="BE34" s="108"/>
      <c r="BF34" s="113"/>
      <c r="BG34" s="112"/>
      <c r="BH34" s="112"/>
      <c r="BI34" s="112"/>
      <c r="BJ34" s="112"/>
      <c r="BK34" s="112"/>
      <c r="BL34" s="112"/>
      <c r="BM34" s="112"/>
      <c r="BN34" s="112"/>
      <c r="BO34" s="112"/>
      <c r="BP34" s="112"/>
      <c r="BQ34" s="112"/>
      <c r="BR34" s="112"/>
      <c r="BS34" s="112"/>
      <c r="BT34" s="108"/>
      <c r="BU34" s="108"/>
      <c r="BV34" s="128"/>
      <c r="BW34" s="112"/>
      <c r="BX34" s="112"/>
      <c r="BY34" s="112"/>
      <c r="BZ34" s="112"/>
      <c r="CA34" s="112"/>
      <c r="CB34" s="112"/>
      <c r="CC34" s="112"/>
      <c r="CD34" s="112"/>
      <c r="CE34" s="112"/>
      <c r="CF34" s="112"/>
      <c r="CG34" s="112"/>
      <c r="CH34" s="112"/>
      <c r="CI34" s="112"/>
      <c r="CJ34" s="112"/>
      <c r="CK34" s="112"/>
      <c r="CL34" s="112"/>
      <c r="CM34" s="112"/>
      <c r="CN34" s="112"/>
      <c r="CO34" s="112"/>
      <c r="CP34" s="112"/>
      <c r="CQ34" s="112"/>
      <c r="CR34" s="112"/>
      <c r="CS34" s="112"/>
      <c r="CT34" s="112"/>
      <c r="CU34" s="112"/>
      <c r="CV34" s="112"/>
      <c r="CW34" s="108"/>
      <c r="CX34" s="107"/>
    </row>
    <row r="35" ht="39.0" customHeight="1">
      <c r="A35" s="107"/>
      <c r="B35" s="108"/>
      <c r="C35" s="108"/>
      <c r="D35" s="108"/>
      <c r="E35" s="108"/>
      <c r="F35" s="112"/>
      <c r="G35" s="112"/>
      <c r="H35" s="112"/>
      <c r="I35" s="112"/>
      <c r="J35" s="108"/>
      <c r="K35" s="112"/>
      <c r="L35" s="112"/>
      <c r="M35" s="108"/>
      <c r="N35" s="112"/>
      <c r="O35" s="108"/>
      <c r="P35" s="113"/>
      <c r="Q35" s="112"/>
      <c r="R35" s="112"/>
      <c r="S35" s="108"/>
      <c r="T35" s="112"/>
      <c r="U35" s="112"/>
      <c r="V35" s="112"/>
      <c r="W35" s="118"/>
      <c r="X35" s="118"/>
      <c r="Y35" s="118"/>
      <c r="Z35" s="108"/>
      <c r="AA35" s="108"/>
      <c r="AB35" s="108"/>
      <c r="AC35" s="108"/>
      <c r="AD35" s="108"/>
      <c r="AE35" s="108"/>
      <c r="AF35" s="108"/>
      <c r="AG35" s="108"/>
      <c r="AH35" s="108"/>
      <c r="AI35" s="108"/>
      <c r="AJ35" s="108"/>
      <c r="AK35" s="108"/>
      <c r="AL35" s="108"/>
      <c r="AM35" s="112"/>
      <c r="AN35" s="108"/>
      <c r="AO35" s="112"/>
      <c r="AP35" s="108"/>
      <c r="AQ35" s="108"/>
      <c r="AR35" s="125"/>
      <c r="AS35" s="108"/>
      <c r="AT35" s="108"/>
      <c r="AU35" s="112"/>
      <c r="AV35" s="108"/>
      <c r="AW35" s="112"/>
      <c r="AX35" s="112"/>
      <c r="AY35" s="112"/>
      <c r="AZ35" s="112"/>
      <c r="BA35" s="112"/>
      <c r="BB35" s="112"/>
      <c r="BC35" s="112"/>
      <c r="BD35" s="108"/>
      <c r="BE35" s="108"/>
      <c r="BF35" s="113"/>
      <c r="BG35" s="112"/>
      <c r="BH35" s="112"/>
      <c r="BI35" s="112"/>
      <c r="BJ35" s="112"/>
      <c r="BK35" s="112"/>
      <c r="BL35" s="112"/>
      <c r="BM35" s="112"/>
      <c r="BN35" s="112"/>
      <c r="BO35" s="112"/>
      <c r="BP35" s="112"/>
      <c r="BQ35" s="112"/>
      <c r="BR35" s="112"/>
      <c r="BS35" s="112"/>
      <c r="BT35" s="108"/>
      <c r="BU35" s="108"/>
      <c r="BV35" s="128"/>
      <c r="BW35" s="112"/>
      <c r="BX35" s="112"/>
      <c r="BY35" s="112"/>
      <c r="BZ35" s="112"/>
      <c r="CA35" s="112"/>
      <c r="CB35" s="112"/>
      <c r="CC35" s="112"/>
      <c r="CD35" s="112"/>
      <c r="CE35" s="112"/>
      <c r="CF35" s="112"/>
      <c r="CG35" s="112"/>
      <c r="CH35" s="112"/>
      <c r="CI35" s="112"/>
      <c r="CJ35" s="112"/>
      <c r="CK35" s="112"/>
      <c r="CL35" s="112"/>
      <c r="CM35" s="112"/>
      <c r="CN35" s="112"/>
      <c r="CO35" s="112"/>
      <c r="CP35" s="112"/>
      <c r="CQ35" s="112"/>
      <c r="CR35" s="112"/>
      <c r="CS35" s="112"/>
      <c r="CT35" s="112"/>
      <c r="CU35" s="112"/>
      <c r="CV35" s="112"/>
      <c r="CW35" s="108"/>
      <c r="CX35" s="107"/>
    </row>
    <row r="36" ht="39.0" customHeight="1">
      <c r="A36" s="107"/>
      <c r="B36" s="108"/>
      <c r="C36" s="108"/>
      <c r="D36" s="108"/>
      <c r="E36" s="108"/>
      <c r="F36" s="112"/>
      <c r="G36" s="112"/>
      <c r="H36" s="112"/>
      <c r="I36" s="112"/>
      <c r="J36" s="108"/>
      <c r="K36" s="112"/>
      <c r="L36" s="112"/>
      <c r="M36" s="108"/>
      <c r="N36" s="112"/>
      <c r="O36" s="108"/>
      <c r="P36" s="113"/>
      <c r="Q36" s="112"/>
      <c r="R36" s="112"/>
      <c r="S36" s="108"/>
      <c r="T36" s="112"/>
      <c r="U36" s="112"/>
      <c r="V36" s="112"/>
      <c r="W36" s="118"/>
      <c r="X36" s="118"/>
      <c r="Y36" s="118"/>
      <c r="Z36" s="108"/>
      <c r="AA36" s="108"/>
      <c r="AB36" s="108"/>
      <c r="AC36" s="108"/>
      <c r="AD36" s="108"/>
      <c r="AE36" s="108"/>
      <c r="AF36" s="108"/>
      <c r="AG36" s="108"/>
      <c r="AH36" s="108"/>
      <c r="AI36" s="108"/>
      <c r="AJ36" s="108"/>
      <c r="AK36" s="108"/>
      <c r="AL36" s="108"/>
      <c r="AM36" s="112"/>
      <c r="AN36" s="108"/>
      <c r="AO36" s="112"/>
      <c r="AP36" s="108"/>
      <c r="AQ36" s="108"/>
      <c r="AR36" s="125"/>
      <c r="AS36" s="108"/>
      <c r="AT36" s="108"/>
      <c r="AU36" s="112"/>
      <c r="AV36" s="108"/>
      <c r="AW36" s="112"/>
      <c r="AX36" s="112"/>
      <c r="AY36" s="112"/>
      <c r="AZ36" s="112"/>
      <c r="BA36" s="112"/>
      <c r="BB36" s="112"/>
      <c r="BC36" s="112"/>
      <c r="BD36" s="108"/>
      <c r="BE36" s="108"/>
      <c r="BF36" s="113"/>
      <c r="BG36" s="112"/>
      <c r="BH36" s="112"/>
      <c r="BI36" s="112"/>
      <c r="BJ36" s="112"/>
      <c r="BK36" s="112"/>
      <c r="BL36" s="112"/>
      <c r="BM36" s="112"/>
      <c r="BN36" s="112"/>
      <c r="BO36" s="112"/>
      <c r="BP36" s="112"/>
      <c r="BQ36" s="112"/>
      <c r="BR36" s="112"/>
      <c r="BS36" s="112"/>
      <c r="BT36" s="108"/>
      <c r="BU36" s="108"/>
      <c r="BV36" s="128"/>
      <c r="BW36" s="112"/>
      <c r="BX36" s="112"/>
      <c r="BY36" s="112"/>
      <c r="BZ36" s="112"/>
      <c r="CA36" s="112"/>
      <c r="CB36" s="112"/>
      <c r="CC36" s="112"/>
      <c r="CD36" s="112"/>
      <c r="CE36" s="112"/>
      <c r="CF36" s="112"/>
      <c r="CG36" s="112"/>
      <c r="CH36" s="112"/>
      <c r="CI36" s="112"/>
      <c r="CJ36" s="112"/>
      <c r="CK36" s="112"/>
      <c r="CL36" s="112"/>
      <c r="CM36" s="112"/>
      <c r="CN36" s="112"/>
      <c r="CO36" s="112"/>
      <c r="CP36" s="112"/>
      <c r="CQ36" s="112"/>
      <c r="CR36" s="112"/>
      <c r="CS36" s="112"/>
      <c r="CT36" s="112"/>
      <c r="CU36" s="112"/>
      <c r="CV36" s="112"/>
      <c r="CW36" s="108"/>
      <c r="CX36" s="107"/>
    </row>
    <row r="37" ht="39.0" customHeight="1">
      <c r="A37" s="107"/>
      <c r="B37" s="108"/>
      <c r="C37" s="108"/>
      <c r="D37" s="108"/>
      <c r="E37" s="108"/>
      <c r="F37" s="112"/>
      <c r="G37" s="112"/>
      <c r="H37" s="112"/>
      <c r="I37" s="112"/>
      <c r="J37" s="108"/>
      <c r="K37" s="112"/>
      <c r="L37" s="112"/>
      <c r="M37" s="108"/>
      <c r="N37" s="112"/>
      <c r="O37" s="108"/>
      <c r="P37" s="113"/>
      <c r="Q37" s="112"/>
      <c r="R37" s="112"/>
      <c r="S37" s="108"/>
      <c r="T37" s="112"/>
      <c r="U37" s="112"/>
      <c r="V37" s="112"/>
      <c r="W37" s="118"/>
      <c r="X37" s="118"/>
      <c r="Y37" s="118"/>
      <c r="Z37" s="108"/>
      <c r="AA37" s="108"/>
      <c r="AB37" s="108"/>
      <c r="AC37" s="108"/>
      <c r="AD37" s="108"/>
      <c r="AE37" s="108"/>
      <c r="AF37" s="108"/>
      <c r="AG37" s="108"/>
      <c r="AH37" s="108"/>
      <c r="AI37" s="108"/>
      <c r="AJ37" s="108"/>
      <c r="AK37" s="108"/>
      <c r="AL37" s="108"/>
      <c r="AM37" s="112"/>
      <c r="AN37" s="108"/>
      <c r="AO37" s="112"/>
      <c r="AP37" s="108"/>
      <c r="AQ37" s="108"/>
      <c r="AR37" s="125"/>
      <c r="AS37" s="108"/>
      <c r="AT37" s="108"/>
      <c r="AU37" s="112"/>
      <c r="AV37" s="108"/>
      <c r="AW37" s="112"/>
      <c r="AX37" s="112"/>
      <c r="AY37" s="112"/>
      <c r="AZ37" s="112"/>
      <c r="BA37" s="112"/>
      <c r="BB37" s="112"/>
      <c r="BC37" s="112"/>
      <c r="BD37" s="108"/>
      <c r="BE37" s="108"/>
      <c r="BF37" s="113"/>
      <c r="BG37" s="112"/>
      <c r="BH37" s="112"/>
      <c r="BI37" s="112"/>
      <c r="BJ37" s="112"/>
      <c r="BK37" s="112"/>
      <c r="BL37" s="112"/>
      <c r="BM37" s="112"/>
      <c r="BN37" s="112"/>
      <c r="BO37" s="112"/>
      <c r="BP37" s="112"/>
      <c r="BQ37" s="112"/>
      <c r="BR37" s="112"/>
      <c r="BS37" s="112"/>
      <c r="BT37" s="108"/>
      <c r="BU37" s="108"/>
      <c r="BV37" s="128"/>
      <c r="BW37" s="112"/>
      <c r="BX37" s="112"/>
      <c r="BY37" s="112"/>
      <c r="BZ37" s="112"/>
      <c r="CA37" s="112"/>
      <c r="CB37" s="112"/>
      <c r="CC37" s="112"/>
      <c r="CD37" s="112"/>
      <c r="CE37" s="112"/>
      <c r="CF37" s="112"/>
      <c r="CG37" s="112"/>
      <c r="CH37" s="112"/>
      <c r="CI37" s="112"/>
      <c r="CJ37" s="112"/>
      <c r="CK37" s="112"/>
      <c r="CL37" s="112"/>
      <c r="CM37" s="112"/>
      <c r="CN37" s="112"/>
      <c r="CO37" s="112"/>
      <c r="CP37" s="112"/>
      <c r="CQ37" s="112"/>
      <c r="CR37" s="112"/>
      <c r="CS37" s="112"/>
      <c r="CT37" s="112"/>
      <c r="CU37" s="112"/>
      <c r="CV37" s="112"/>
      <c r="CW37" s="108"/>
      <c r="CX37" s="107"/>
    </row>
    <row r="38" ht="39.0" customHeight="1">
      <c r="A38" s="107"/>
      <c r="B38" s="108"/>
      <c r="C38" s="108"/>
      <c r="D38" s="108"/>
      <c r="E38" s="108"/>
      <c r="F38" s="112"/>
      <c r="G38" s="112"/>
      <c r="H38" s="112"/>
      <c r="I38" s="112"/>
      <c r="J38" s="108"/>
      <c r="K38" s="112"/>
      <c r="L38" s="112"/>
      <c r="M38" s="108"/>
      <c r="N38" s="112"/>
      <c r="O38" s="108"/>
      <c r="P38" s="113"/>
      <c r="Q38" s="112"/>
      <c r="R38" s="112"/>
      <c r="S38" s="108"/>
      <c r="T38" s="112"/>
      <c r="U38" s="112"/>
      <c r="V38" s="112"/>
      <c r="W38" s="118"/>
      <c r="X38" s="118"/>
      <c r="Y38" s="118"/>
      <c r="Z38" s="108"/>
      <c r="AA38" s="108"/>
      <c r="AB38" s="108"/>
      <c r="AC38" s="108"/>
      <c r="AD38" s="108"/>
      <c r="AE38" s="108"/>
      <c r="AF38" s="108"/>
      <c r="AG38" s="108"/>
      <c r="AH38" s="108"/>
      <c r="AI38" s="108"/>
      <c r="AJ38" s="108"/>
      <c r="AK38" s="108"/>
      <c r="AL38" s="108"/>
      <c r="AM38" s="112"/>
      <c r="AN38" s="108"/>
      <c r="AO38" s="112"/>
      <c r="AP38" s="108"/>
      <c r="AQ38" s="108"/>
      <c r="AR38" s="125"/>
      <c r="AS38" s="108"/>
      <c r="AT38" s="108"/>
      <c r="AU38" s="112"/>
      <c r="AV38" s="108"/>
      <c r="AW38" s="112"/>
      <c r="AX38" s="112"/>
      <c r="AY38" s="112"/>
      <c r="AZ38" s="112"/>
      <c r="BA38" s="112"/>
      <c r="BB38" s="112"/>
      <c r="BC38" s="112"/>
      <c r="BD38" s="108"/>
      <c r="BE38" s="108"/>
      <c r="BF38" s="113"/>
      <c r="BG38" s="112"/>
      <c r="BH38" s="112"/>
      <c r="BI38" s="112"/>
      <c r="BJ38" s="112"/>
      <c r="BK38" s="112"/>
      <c r="BL38" s="112"/>
      <c r="BM38" s="112"/>
      <c r="BN38" s="112"/>
      <c r="BO38" s="112"/>
      <c r="BP38" s="112"/>
      <c r="BQ38" s="112"/>
      <c r="BR38" s="112"/>
      <c r="BS38" s="112"/>
      <c r="BT38" s="108"/>
      <c r="BU38" s="108"/>
      <c r="BV38" s="128"/>
      <c r="BW38" s="112"/>
      <c r="BX38" s="112"/>
      <c r="BY38" s="112"/>
      <c r="BZ38" s="112"/>
      <c r="CA38" s="112"/>
      <c r="CB38" s="112"/>
      <c r="CC38" s="112"/>
      <c r="CD38" s="112"/>
      <c r="CE38" s="112"/>
      <c r="CF38" s="112"/>
      <c r="CG38" s="112"/>
      <c r="CH38" s="112"/>
      <c r="CI38" s="112"/>
      <c r="CJ38" s="112"/>
      <c r="CK38" s="112"/>
      <c r="CL38" s="112"/>
      <c r="CM38" s="112"/>
      <c r="CN38" s="112"/>
      <c r="CO38" s="112"/>
      <c r="CP38" s="112"/>
      <c r="CQ38" s="112"/>
      <c r="CR38" s="112"/>
      <c r="CS38" s="112"/>
      <c r="CT38" s="112"/>
      <c r="CU38" s="112"/>
      <c r="CV38" s="112"/>
      <c r="CW38" s="108"/>
      <c r="CX38" s="107"/>
    </row>
    <row r="39" ht="39.0" customHeight="1">
      <c r="A39" s="107"/>
      <c r="B39" s="108"/>
      <c r="C39" s="108"/>
      <c r="D39" s="108"/>
      <c r="E39" s="108"/>
      <c r="F39" s="112"/>
      <c r="G39" s="112"/>
      <c r="H39" s="112"/>
      <c r="I39" s="112"/>
      <c r="J39" s="108"/>
      <c r="K39" s="112"/>
      <c r="L39" s="112"/>
      <c r="M39" s="108"/>
      <c r="N39" s="112"/>
      <c r="O39" s="108"/>
      <c r="P39" s="113"/>
      <c r="Q39" s="112"/>
      <c r="R39" s="112"/>
      <c r="S39" s="108"/>
      <c r="T39" s="112"/>
      <c r="U39" s="112"/>
      <c r="V39" s="112"/>
      <c r="W39" s="118"/>
      <c r="X39" s="118"/>
      <c r="Y39" s="118"/>
      <c r="Z39" s="108"/>
      <c r="AA39" s="108"/>
      <c r="AB39" s="108"/>
      <c r="AC39" s="108"/>
      <c r="AD39" s="108"/>
      <c r="AE39" s="108"/>
      <c r="AF39" s="108"/>
      <c r="AG39" s="108"/>
      <c r="AH39" s="108"/>
      <c r="AI39" s="108"/>
      <c r="AJ39" s="108"/>
      <c r="AK39" s="108"/>
      <c r="AL39" s="108"/>
      <c r="AM39" s="112"/>
      <c r="AN39" s="108"/>
      <c r="AO39" s="112"/>
      <c r="AP39" s="108"/>
      <c r="AQ39" s="108"/>
      <c r="AR39" s="125"/>
      <c r="AS39" s="108"/>
      <c r="AT39" s="108"/>
      <c r="AU39" s="112"/>
      <c r="AV39" s="108"/>
      <c r="AW39" s="112"/>
      <c r="AX39" s="112"/>
      <c r="AY39" s="112"/>
      <c r="AZ39" s="112"/>
      <c r="BA39" s="112"/>
      <c r="BB39" s="112"/>
      <c r="BC39" s="112"/>
      <c r="BD39" s="108"/>
      <c r="BE39" s="108"/>
      <c r="BF39" s="113"/>
      <c r="BG39" s="112"/>
      <c r="BH39" s="112"/>
      <c r="BI39" s="112"/>
      <c r="BJ39" s="112"/>
      <c r="BK39" s="112"/>
      <c r="BL39" s="112"/>
      <c r="BM39" s="112"/>
      <c r="BN39" s="112"/>
      <c r="BO39" s="112"/>
      <c r="BP39" s="112"/>
      <c r="BQ39" s="112"/>
      <c r="BR39" s="112"/>
      <c r="BS39" s="112"/>
      <c r="BT39" s="108"/>
      <c r="BU39" s="108"/>
      <c r="BV39" s="128"/>
      <c r="BW39" s="112"/>
      <c r="BX39" s="112"/>
      <c r="BY39" s="112"/>
      <c r="BZ39" s="112"/>
      <c r="CA39" s="112"/>
      <c r="CB39" s="112"/>
      <c r="CC39" s="112"/>
      <c r="CD39" s="112"/>
      <c r="CE39" s="112"/>
      <c r="CF39" s="112"/>
      <c r="CG39" s="112"/>
      <c r="CH39" s="112"/>
      <c r="CI39" s="112"/>
      <c r="CJ39" s="112"/>
      <c r="CK39" s="112"/>
      <c r="CL39" s="112"/>
      <c r="CM39" s="112"/>
      <c r="CN39" s="112"/>
      <c r="CO39" s="112"/>
      <c r="CP39" s="112"/>
      <c r="CQ39" s="112"/>
      <c r="CR39" s="112"/>
      <c r="CS39" s="112"/>
      <c r="CT39" s="112"/>
      <c r="CU39" s="112"/>
      <c r="CV39" s="112"/>
      <c r="CW39" s="108"/>
      <c r="CX39" s="107"/>
    </row>
    <row r="40" ht="39.0" customHeight="1">
      <c r="A40" s="107"/>
      <c r="B40" s="108"/>
      <c r="C40" s="108"/>
      <c r="D40" s="108"/>
      <c r="E40" s="108"/>
      <c r="F40" s="112"/>
      <c r="G40" s="112"/>
      <c r="H40" s="112"/>
      <c r="I40" s="112"/>
      <c r="J40" s="108"/>
      <c r="K40" s="112"/>
      <c r="L40" s="112"/>
      <c r="M40" s="108"/>
      <c r="N40" s="112"/>
      <c r="O40" s="108"/>
      <c r="P40" s="113"/>
      <c r="Q40" s="112"/>
      <c r="R40" s="112"/>
      <c r="S40" s="108"/>
      <c r="T40" s="112"/>
      <c r="U40" s="112"/>
      <c r="V40" s="112"/>
      <c r="W40" s="118"/>
      <c r="X40" s="118"/>
      <c r="Y40" s="118"/>
      <c r="Z40" s="108"/>
      <c r="AA40" s="108"/>
      <c r="AB40" s="108"/>
      <c r="AC40" s="108"/>
      <c r="AD40" s="108"/>
      <c r="AE40" s="108"/>
      <c r="AF40" s="108"/>
      <c r="AG40" s="108"/>
      <c r="AH40" s="108"/>
      <c r="AI40" s="108"/>
      <c r="AJ40" s="108"/>
      <c r="AK40" s="108"/>
      <c r="AL40" s="108"/>
      <c r="AM40" s="112"/>
      <c r="AN40" s="108"/>
      <c r="AO40" s="112"/>
      <c r="AP40" s="108"/>
      <c r="AQ40" s="108"/>
      <c r="AR40" s="125"/>
      <c r="AS40" s="108"/>
      <c r="AT40" s="108"/>
      <c r="AU40" s="112"/>
      <c r="AV40" s="108"/>
      <c r="AW40" s="112"/>
      <c r="AX40" s="112"/>
      <c r="AY40" s="112"/>
      <c r="AZ40" s="112"/>
      <c r="BA40" s="112"/>
      <c r="BB40" s="112"/>
      <c r="BC40" s="112"/>
      <c r="BD40" s="108"/>
      <c r="BE40" s="108"/>
      <c r="BF40" s="113"/>
      <c r="BG40" s="112"/>
      <c r="BH40" s="112"/>
      <c r="BI40" s="112"/>
      <c r="BJ40" s="112"/>
      <c r="BK40" s="112"/>
      <c r="BL40" s="112"/>
      <c r="BM40" s="112"/>
      <c r="BN40" s="112"/>
      <c r="BO40" s="112"/>
      <c r="BP40" s="112"/>
      <c r="BQ40" s="112"/>
      <c r="BR40" s="112"/>
      <c r="BS40" s="112"/>
      <c r="BT40" s="108"/>
      <c r="BU40" s="108"/>
      <c r="BV40" s="128"/>
      <c r="BW40" s="112"/>
      <c r="BX40" s="112"/>
      <c r="BY40" s="112"/>
      <c r="BZ40" s="112"/>
      <c r="CA40" s="112"/>
      <c r="CB40" s="112"/>
      <c r="CC40" s="112"/>
      <c r="CD40" s="112"/>
      <c r="CE40" s="112"/>
      <c r="CF40" s="112"/>
      <c r="CG40" s="112"/>
      <c r="CH40" s="112"/>
      <c r="CI40" s="112"/>
      <c r="CJ40" s="112"/>
      <c r="CK40" s="112"/>
      <c r="CL40" s="112"/>
      <c r="CM40" s="112"/>
      <c r="CN40" s="112"/>
      <c r="CO40" s="112"/>
      <c r="CP40" s="112"/>
      <c r="CQ40" s="112"/>
      <c r="CR40" s="112"/>
      <c r="CS40" s="112"/>
      <c r="CT40" s="112"/>
      <c r="CU40" s="112"/>
      <c r="CV40" s="112"/>
      <c r="CW40" s="108"/>
      <c r="CX40" s="107"/>
    </row>
    <row r="41" ht="39.0" customHeight="1">
      <c r="A41" s="107"/>
      <c r="B41" s="108"/>
      <c r="C41" s="108"/>
      <c r="D41" s="108"/>
      <c r="E41" s="108"/>
      <c r="F41" s="112"/>
      <c r="G41" s="112"/>
      <c r="H41" s="112"/>
      <c r="I41" s="112"/>
      <c r="J41" s="108"/>
      <c r="K41" s="112"/>
      <c r="L41" s="112"/>
      <c r="M41" s="108"/>
      <c r="N41" s="112"/>
      <c r="O41" s="108"/>
      <c r="P41" s="113"/>
      <c r="Q41" s="112"/>
      <c r="R41" s="112"/>
      <c r="S41" s="108"/>
      <c r="T41" s="112"/>
      <c r="U41" s="112"/>
      <c r="V41" s="112"/>
      <c r="W41" s="118"/>
      <c r="X41" s="118"/>
      <c r="Y41" s="118"/>
      <c r="Z41" s="108"/>
      <c r="AA41" s="108"/>
      <c r="AB41" s="108"/>
      <c r="AC41" s="108"/>
      <c r="AD41" s="108"/>
      <c r="AE41" s="108"/>
      <c r="AF41" s="108"/>
      <c r="AG41" s="108"/>
      <c r="AH41" s="108"/>
      <c r="AI41" s="108"/>
      <c r="AJ41" s="108"/>
      <c r="AK41" s="108"/>
      <c r="AL41" s="108"/>
      <c r="AM41" s="112"/>
      <c r="AN41" s="108"/>
      <c r="AO41" s="112"/>
      <c r="AP41" s="108"/>
      <c r="AQ41" s="108"/>
      <c r="AR41" s="125"/>
      <c r="AS41" s="108"/>
      <c r="AT41" s="108"/>
      <c r="AU41" s="112"/>
      <c r="AV41" s="108"/>
      <c r="AW41" s="112"/>
      <c r="AX41" s="112"/>
      <c r="AY41" s="112"/>
      <c r="AZ41" s="112"/>
      <c r="BA41" s="112"/>
      <c r="BB41" s="112"/>
      <c r="BC41" s="112"/>
      <c r="BD41" s="108"/>
      <c r="BE41" s="108"/>
      <c r="BF41" s="113"/>
      <c r="BG41" s="112"/>
      <c r="BH41" s="112"/>
      <c r="BI41" s="112"/>
      <c r="BJ41" s="112"/>
      <c r="BK41" s="112"/>
      <c r="BL41" s="112"/>
      <c r="BM41" s="112"/>
      <c r="BN41" s="112"/>
      <c r="BO41" s="112"/>
      <c r="BP41" s="112"/>
      <c r="BQ41" s="112"/>
      <c r="BR41" s="112"/>
      <c r="BS41" s="112"/>
      <c r="BT41" s="108"/>
      <c r="BU41" s="108"/>
      <c r="BV41" s="128"/>
      <c r="BW41" s="112"/>
      <c r="BX41" s="112"/>
      <c r="BY41" s="112"/>
      <c r="BZ41" s="112"/>
      <c r="CA41" s="112"/>
      <c r="CB41" s="112"/>
      <c r="CC41" s="112"/>
      <c r="CD41" s="112"/>
      <c r="CE41" s="112"/>
      <c r="CF41" s="112"/>
      <c r="CG41" s="112"/>
      <c r="CH41" s="112"/>
      <c r="CI41" s="112"/>
      <c r="CJ41" s="112"/>
      <c r="CK41" s="112"/>
      <c r="CL41" s="112"/>
      <c r="CM41" s="112"/>
      <c r="CN41" s="112"/>
      <c r="CO41" s="112"/>
      <c r="CP41" s="112"/>
      <c r="CQ41" s="112"/>
      <c r="CR41" s="112"/>
      <c r="CS41" s="112"/>
      <c r="CT41" s="112"/>
      <c r="CU41" s="112"/>
      <c r="CV41" s="112"/>
      <c r="CW41" s="108"/>
      <c r="CX41" s="107"/>
    </row>
    <row r="42" ht="39.0" customHeight="1">
      <c r="A42" s="107"/>
      <c r="B42" s="108"/>
      <c r="C42" s="108"/>
      <c r="D42" s="108"/>
      <c r="E42" s="108"/>
      <c r="F42" s="112"/>
      <c r="G42" s="112"/>
      <c r="H42" s="112"/>
      <c r="I42" s="112"/>
      <c r="J42" s="108"/>
      <c r="K42" s="112"/>
      <c r="L42" s="112"/>
      <c r="M42" s="108"/>
      <c r="N42" s="112"/>
      <c r="O42" s="108"/>
      <c r="P42" s="113"/>
      <c r="Q42" s="112"/>
      <c r="R42" s="112"/>
      <c r="S42" s="108"/>
      <c r="T42" s="112"/>
      <c r="U42" s="112"/>
      <c r="V42" s="112"/>
      <c r="W42" s="118"/>
      <c r="X42" s="118"/>
      <c r="Y42" s="118"/>
      <c r="Z42" s="108"/>
      <c r="AA42" s="108"/>
      <c r="AB42" s="108"/>
      <c r="AC42" s="108"/>
      <c r="AD42" s="108"/>
      <c r="AE42" s="108"/>
      <c r="AF42" s="108"/>
      <c r="AG42" s="108"/>
      <c r="AH42" s="108"/>
      <c r="AI42" s="108"/>
      <c r="AJ42" s="108"/>
      <c r="AK42" s="108"/>
      <c r="AL42" s="108"/>
      <c r="AM42" s="112"/>
      <c r="AN42" s="108"/>
      <c r="AO42" s="112"/>
      <c r="AP42" s="108"/>
      <c r="AQ42" s="108"/>
      <c r="AR42" s="125"/>
      <c r="AS42" s="108"/>
      <c r="AT42" s="108"/>
      <c r="AU42" s="112"/>
      <c r="AV42" s="108"/>
      <c r="AW42" s="112"/>
      <c r="AX42" s="112"/>
      <c r="AY42" s="112"/>
      <c r="AZ42" s="112"/>
      <c r="BA42" s="112"/>
      <c r="BB42" s="112"/>
      <c r="BC42" s="112"/>
      <c r="BD42" s="108"/>
      <c r="BE42" s="108"/>
      <c r="BF42" s="113"/>
      <c r="BG42" s="112"/>
      <c r="BH42" s="112"/>
      <c r="BI42" s="112"/>
      <c r="BJ42" s="112"/>
      <c r="BK42" s="112"/>
      <c r="BL42" s="112"/>
      <c r="BM42" s="112"/>
      <c r="BN42" s="112"/>
      <c r="BO42" s="112"/>
      <c r="BP42" s="112"/>
      <c r="BQ42" s="112"/>
      <c r="BR42" s="112"/>
      <c r="BS42" s="112"/>
      <c r="BT42" s="108"/>
      <c r="BU42" s="108"/>
      <c r="BV42" s="128"/>
      <c r="BW42" s="112"/>
      <c r="BX42" s="112"/>
      <c r="BY42" s="112"/>
      <c r="BZ42" s="112"/>
      <c r="CA42" s="112"/>
      <c r="CB42" s="112"/>
      <c r="CC42" s="112"/>
      <c r="CD42" s="112"/>
      <c r="CE42" s="112"/>
      <c r="CF42" s="112"/>
      <c r="CG42" s="112"/>
      <c r="CH42" s="112"/>
      <c r="CI42" s="112"/>
      <c r="CJ42" s="112"/>
      <c r="CK42" s="112"/>
      <c r="CL42" s="112"/>
      <c r="CM42" s="112"/>
      <c r="CN42" s="112"/>
      <c r="CO42" s="112"/>
      <c r="CP42" s="112"/>
      <c r="CQ42" s="112"/>
      <c r="CR42" s="112"/>
      <c r="CS42" s="112"/>
      <c r="CT42" s="112"/>
      <c r="CU42" s="112"/>
      <c r="CV42" s="112"/>
      <c r="CW42" s="108"/>
      <c r="CX42" s="107"/>
    </row>
    <row r="43" ht="39.0" customHeight="1">
      <c r="A43" s="107"/>
      <c r="B43" s="108"/>
      <c r="C43" s="108"/>
      <c r="D43" s="108"/>
      <c r="E43" s="108"/>
      <c r="F43" s="112"/>
      <c r="G43" s="112"/>
      <c r="H43" s="112"/>
      <c r="I43" s="112"/>
      <c r="J43" s="108"/>
      <c r="K43" s="112"/>
      <c r="L43" s="112"/>
      <c r="M43" s="108"/>
      <c r="N43" s="112"/>
      <c r="O43" s="108"/>
      <c r="P43" s="113"/>
      <c r="Q43" s="112"/>
      <c r="R43" s="112"/>
      <c r="S43" s="108"/>
      <c r="T43" s="112"/>
      <c r="U43" s="112"/>
      <c r="V43" s="112"/>
      <c r="W43" s="118"/>
      <c r="X43" s="118"/>
      <c r="Y43" s="118"/>
      <c r="Z43" s="108"/>
      <c r="AA43" s="108"/>
      <c r="AB43" s="108"/>
      <c r="AC43" s="108"/>
      <c r="AD43" s="108"/>
      <c r="AE43" s="108"/>
      <c r="AF43" s="108"/>
      <c r="AG43" s="108"/>
      <c r="AH43" s="108"/>
      <c r="AI43" s="108"/>
      <c r="AJ43" s="108"/>
      <c r="AK43" s="108"/>
      <c r="AL43" s="108"/>
      <c r="AM43" s="112"/>
      <c r="AN43" s="108"/>
      <c r="AO43" s="112"/>
      <c r="AP43" s="108"/>
      <c r="AQ43" s="108"/>
      <c r="AR43" s="125"/>
      <c r="AS43" s="108"/>
      <c r="AT43" s="108"/>
      <c r="AU43" s="112"/>
      <c r="AV43" s="108"/>
      <c r="AW43" s="112"/>
      <c r="AX43" s="112"/>
      <c r="AY43" s="112"/>
      <c r="AZ43" s="112"/>
      <c r="BA43" s="112"/>
      <c r="BB43" s="112"/>
      <c r="BC43" s="112"/>
      <c r="BD43" s="108"/>
      <c r="BE43" s="108"/>
      <c r="BF43" s="113"/>
      <c r="BG43" s="112"/>
      <c r="BH43" s="112"/>
      <c r="BI43" s="112"/>
      <c r="BJ43" s="112"/>
      <c r="BK43" s="112"/>
      <c r="BL43" s="112"/>
      <c r="BM43" s="112"/>
      <c r="BN43" s="112"/>
      <c r="BO43" s="112"/>
      <c r="BP43" s="112"/>
      <c r="BQ43" s="112"/>
      <c r="BR43" s="112"/>
      <c r="BS43" s="112"/>
      <c r="BT43" s="108"/>
      <c r="BU43" s="108"/>
      <c r="BV43" s="128"/>
      <c r="BW43" s="112"/>
      <c r="BX43" s="112"/>
      <c r="BY43" s="112"/>
      <c r="BZ43" s="112"/>
      <c r="CA43" s="112"/>
      <c r="CB43" s="112"/>
      <c r="CC43" s="112"/>
      <c r="CD43" s="112"/>
      <c r="CE43" s="112"/>
      <c r="CF43" s="112"/>
      <c r="CG43" s="112"/>
      <c r="CH43" s="112"/>
      <c r="CI43" s="112"/>
      <c r="CJ43" s="112"/>
      <c r="CK43" s="112"/>
      <c r="CL43" s="112"/>
      <c r="CM43" s="112"/>
      <c r="CN43" s="112"/>
      <c r="CO43" s="112"/>
      <c r="CP43" s="112"/>
      <c r="CQ43" s="112"/>
      <c r="CR43" s="112"/>
      <c r="CS43" s="112"/>
      <c r="CT43" s="112"/>
      <c r="CU43" s="112"/>
      <c r="CV43" s="112"/>
      <c r="CW43" s="108"/>
      <c r="CX43" s="107"/>
    </row>
    <row r="44" ht="39.0" customHeight="1">
      <c r="A44" s="107"/>
      <c r="B44" s="108"/>
      <c r="C44" s="108"/>
      <c r="D44" s="108"/>
      <c r="E44" s="108"/>
      <c r="F44" s="112"/>
      <c r="G44" s="112"/>
      <c r="H44" s="112"/>
      <c r="I44" s="112"/>
      <c r="J44" s="108"/>
      <c r="K44" s="112"/>
      <c r="L44" s="112"/>
      <c r="M44" s="108"/>
      <c r="N44" s="112"/>
      <c r="O44" s="108"/>
      <c r="P44" s="113"/>
      <c r="Q44" s="112"/>
      <c r="R44" s="112"/>
      <c r="S44" s="108"/>
      <c r="T44" s="112"/>
      <c r="U44" s="112"/>
      <c r="V44" s="112"/>
      <c r="W44" s="118"/>
      <c r="X44" s="118"/>
      <c r="Y44" s="118"/>
      <c r="Z44" s="108"/>
      <c r="AA44" s="108"/>
      <c r="AB44" s="108"/>
      <c r="AC44" s="108"/>
      <c r="AD44" s="108"/>
      <c r="AE44" s="108"/>
      <c r="AF44" s="108"/>
      <c r="AG44" s="108"/>
      <c r="AH44" s="108"/>
      <c r="AI44" s="108"/>
      <c r="AJ44" s="108"/>
      <c r="AK44" s="108"/>
      <c r="AL44" s="108"/>
      <c r="AM44" s="112"/>
      <c r="AN44" s="108"/>
      <c r="AO44" s="112"/>
      <c r="AP44" s="108"/>
      <c r="AQ44" s="108"/>
      <c r="AR44" s="125"/>
      <c r="AS44" s="108"/>
      <c r="AT44" s="108"/>
      <c r="AU44" s="112"/>
      <c r="AV44" s="108"/>
      <c r="AW44" s="112"/>
      <c r="AX44" s="112"/>
      <c r="AY44" s="112"/>
      <c r="AZ44" s="112"/>
      <c r="BA44" s="112"/>
      <c r="BB44" s="112"/>
      <c r="BC44" s="112"/>
      <c r="BD44" s="108"/>
      <c r="BE44" s="108"/>
      <c r="BF44" s="113"/>
      <c r="BG44" s="112"/>
      <c r="BH44" s="112"/>
      <c r="BI44" s="112"/>
      <c r="BJ44" s="112"/>
      <c r="BK44" s="112"/>
      <c r="BL44" s="112"/>
      <c r="BM44" s="112"/>
      <c r="BN44" s="112"/>
      <c r="BO44" s="112"/>
      <c r="BP44" s="112"/>
      <c r="BQ44" s="112"/>
      <c r="BR44" s="112"/>
      <c r="BS44" s="112"/>
      <c r="BT44" s="108"/>
      <c r="BU44" s="108"/>
      <c r="BV44" s="128"/>
      <c r="BW44" s="112"/>
      <c r="BX44" s="112"/>
      <c r="BY44" s="112"/>
      <c r="BZ44" s="112"/>
      <c r="CA44" s="112"/>
      <c r="CB44" s="112"/>
      <c r="CC44" s="112"/>
      <c r="CD44" s="112"/>
      <c r="CE44" s="112"/>
      <c r="CF44" s="112"/>
      <c r="CG44" s="112"/>
      <c r="CH44" s="112"/>
      <c r="CI44" s="112"/>
      <c r="CJ44" s="112"/>
      <c r="CK44" s="112"/>
      <c r="CL44" s="112"/>
      <c r="CM44" s="112"/>
      <c r="CN44" s="112"/>
      <c r="CO44" s="112"/>
      <c r="CP44" s="112"/>
      <c r="CQ44" s="112"/>
      <c r="CR44" s="112"/>
      <c r="CS44" s="112"/>
      <c r="CT44" s="112"/>
      <c r="CU44" s="112"/>
      <c r="CV44" s="112"/>
      <c r="CW44" s="108"/>
      <c r="CX44" s="107"/>
    </row>
    <row r="45" ht="39.0" customHeight="1">
      <c r="A45" s="107"/>
      <c r="B45" s="108"/>
      <c r="C45" s="108"/>
      <c r="D45" s="108"/>
      <c r="E45" s="108"/>
      <c r="F45" s="112"/>
      <c r="G45" s="112"/>
      <c r="H45" s="112"/>
      <c r="I45" s="112"/>
      <c r="J45" s="108"/>
      <c r="K45" s="112"/>
      <c r="L45" s="112"/>
      <c r="M45" s="108"/>
      <c r="N45" s="112"/>
      <c r="O45" s="108"/>
      <c r="P45" s="113"/>
      <c r="Q45" s="112"/>
      <c r="R45" s="112"/>
      <c r="S45" s="108"/>
      <c r="T45" s="112"/>
      <c r="U45" s="112"/>
      <c r="V45" s="112"/>
      <c r="W45" s="118"/>
      <c r="X45" s="118"/>
      <c r="Y45" s="118"/>
      <c r="Z45" s="108"/>
      <c r="AA45" s="108"/>
      <c r="AB45" s="108"/>
      <c r="AC45" s="108"/>
      <c r="AD45" s="108"/>
      <c r="AE45" s="108"/>
      <c r="AF45" s="108"/>
      <c r="AG45" s="108"/>
      <c r="AH45" s="108"/>
      <c r="AI45" s="108"/>
      <c r="AJ45" s="108"/>
      <c r="AK45" s="108"/>
      <c r="AL45" s="108"/>
      <c r="AM45" s="112"/>
      <c r="AN45" s="108"/>
      <c r="AO45" s="112"/>
      <c r="AP45" s="108"/>
      <c r="AQ45" s="108"/>
      <c r="AR45" s="125"/>
      <c r="AS45" s="108"/>
      <c r="AT45" s="108"/>
      <c r="AU45" s="112"/>
      <c r="AV45" s="108"/>
      <c r="AW45" s="112"/>
      <c r="AX45" s="112"/>
      <c r="AY45" s="112"/>
      <c r="AZ45" s="112"/>
      <c r="BA45" s="112"/>
      <c r="BB45" s="112"/>
      <c r="BC45" s="112"/>
      <c r="BD45" s="108"/>
      <c r="BE45" s="108"/>
      <c r="BF45" s="113"/>
      <c r="BG45" s="112"/>
      <c r="BH45" s="112"/>
      <c r="BI45" s="112"/>
      <c r="BJ45" s="112"/>
      <c r="BK45" s="112"/>
      <c r="BL45" s="112"/>
      <c r="BM45" s="112"/>
      <c r="BN45" s="112"/>
      <c r="BO45" s="112"/>
      <c r="BP45" s="112"/>
      <c r="BQ45" s="112"/>
      <c r="BR45" s="112"/>
      <c r="BS45" s="112"/>
      <c r="BT45" s="108"/>
      <c r="BU45" s="108"/>
      <c r="BV45" s="128"/>
      <c r="BW45" s="112"/>
      <c r="BX45" s="112"/>
      <c r="BY45" s="112"/>
      <c r="BZ45" s="112"/>
      <c r="CA45" s="112"/>
      <c r="CB45" s="112"/>
      <c r="CC45" s="112"/>
      <c r="CD45" s="112"/>
      <c r="CE45" s="112"/>
      <c r="CF45" s="112"/>
      <c r="CG45" s="112"/>
      <c r="CH45" s="112"/>
      <c r="CI45" s="112"/>
      <c r="CJ45" s="112"/>
      <c r="CK45" s="112"/>
      <c r="CL45" s="112"/>
      <c r="CM45" s="112"/>
      <c r="CN45" s="112"/>
      <c r="CO45" s="112"/>
      <c r="CP45" s="112"/>
      <c r="CQ45" s="112"/>
      <c r="CR45" s="112"/>
      <c r="CS45" s="112"/>
      <c r="CT45" s="112"/>
      <c r="CU45" s="112"/>
      <c r="CV45" s="112"/>
      <c r="CW45" s="108"/>
      <c r="CX45" s="107"/>
    </row>
    <row r="46" ht="39.0" customHeight="1">
      <c r="A46" s="107"/>
      <c r="B46" s="108"/>
      <c r="C46" s="108"/>
      <c r="D46" s="108"/>
      <c r="E46" s="108"/>
      <c r="F46" s="112"/>
      <c r="G46" s="112"/>
      <c r="H46" s="112"/>
      <c r="I46" s="112"/>
      <c r="J46" s="108"/>
      <c r="K46" s="112"/>
      <c r="L46" s="112"/>
      <c r="M46" s="108"/>
      <c r="N46" s="112"/>
      <c r="O46" s="108"/>
      <c r="P46" s="113"/>
      <c r="Q46" s="112"/>
      <c r="R46" s="112"/>
      <c r="S46" s="108"/>
      <c r="T46" s="112"/>
      <c r="U46" s="112"/>
      <c r="V46" s="112"/>
      <c r="W46" s="118"/>
      <c r="X46" s="118"/>
      <c r="Y46" s="118"/>
      <c r="Z46" s="108"/>
      <c r="AA46" s="108"/>
      <c r="AB46" s="108"/>
      <c r="AC46" s="108"/>
      <c r="AD46" s="108"/>
      <c r="AE46" s="108"/>
      <c r="AF46" s="108"/>
      <c r="AG46" s="108"/>
      <c r="AH46" s="108"/>
      <c r="AI46" s="108"/>
      <c r="AJ46" s="108"/>
      <c r="AK46" s="108"/>
      <c r="AL46" s="108"/>
      <c r="AM46" s="112"/>
      <c r="AN46" s="108"/>
      <c r="AO46" s="112"/>
      <c r="AP46" s="108"/>
      <c r="AQ46" s="108"/>
      <c r="AR46" s="125"/>
      <c r="AS46" s="108"/>
      <c r="AT46" s="108"/>
      <c r="AU46" s="112"/>
      <c r="AV46" s="108"/>
      <c r="AW46" s="112"/>
      <c r="AX46" s="112"/>
      <c r="AY46" s="112"/>
      <c r="AZ46" s="112"/>
      <c r="BA46" s="112"/>
      <c r="BB46" s="112"/>
      <c r="BC46" s="112"/>
      <c r="BD46" s="108"/>
      <c r="BE46" s="108"/>
      <c r="BF46" s="113"/>
      <c r="BG46" s="112"/>
      <c r="BH46" s="112"/>
      <c r="BI46" s="112"/>
      <c r="BJ46" s="112"/>
      <c r="BK46" s="112"/>
      <c r="BL46" s="112"/>
      <c r="BM46" s="112"/>
      <c r="BN46" s="112"/>
      <c r="BO46" s="112"/>
      <c r="BP46" s="112"/>
      <c r="BQ46" s="112"/>
      <c r="BR46" s="112"/>
      <c r="BS46" s="112"/>
      <c r="BT46" s="108"/>
      <c r="BU46" s="108"/>
      <c r="BV46" s="128"/>
      <c r="BW46" s="112"/>
      <c r="BX46" s="112"/>
      <c r="BY46" s="112"/>
      <c r="BZ46" s="112"/>
      <c r="CA46" s="112"/>
      <c r="CB46" s="112"/>
      <c r="CC46" s="112"/>
      <c r="CD46" s="112"/>
      <c r="CE46" s="112"/>
      <c r="CF46" s="112"/>
      <c r="CG46" s="112"/>
      <c r="CH46" s="112"/>
      <c r="CI46" s="112"/>
      <c r="CJ46" s="112"/>
      <c r="CK46" s="112"/>
      <c r="CL46" s="112"/>
      <c r="CM46" s="112"/>
      <c r="CN46" s="112"/>
      <c r="CO46" s="112"/>
      <c r="CP46" s="112"/>
      <c r="CQ46" s="112"/>
      <c r="CR46" s="112"/>
      <c r="CS46" s="112"/>
      <c r="CT46" s="112"/>
      <c r="CU46" s="112"/>
      <c r="CV46" s="112"/>
      <c r="CW46" s="108"/>
      <c r="CX46" s="107"/>
    </row>
    <row r="47" ht="39.0" customHeight="1">
      <c r="A47" s="107"/>
      <c r="B47" s="108"/>
      <c r="C47" s="108"/>
      <c r="D47" s="108"/>
      <c r="E47" s="108"/>
      <c r="F47" s="112"/>
      <c r="G47" s="112"/>
      <c r="H47" s="112"/>
      <c r="I47" s="112"/>
      <c r="J47" s="108"/>
      <c r="K47" s="112"/>
      <c r="L47" s="112"/>
      <c r="M47" s="108"/>
      <c r="N47" s="112"/>
      <c r="O47" s="108"/>
      <c r="P47" s="113"/>
      <c r="Q47" s="112"/>
      <c r="R47" s="112"/>
      <c r="S47" s="108"/>
      <c r="T47" s="112"/>
      <c r="U47" s="112"/>
      <c r="V47" s="112"/>
      <c r="W47" s="118"/>
      <c r="X47" s="118"/>
      <c r="Y47" s="118"/>
      <c r="Z47" s="108"/>
      <c r="AA47" s="108"/>
      <c r="AB47" s="108"/>
      <c r="AC47" s="108"/>
      <c r="AD47" s="108"/>
      <c r="AE47" s="108"/>
      <c r="AF47" s="108"/>
      <c r="AG47" s="108"/>
      <c r="AH47" s="108"/>
      <c r="AI47" s="108"/>
      <c r="AJ47" s="108"/>
      <c r="AK47" s="108"/>
      <c r="AL47" s="108"/>
      <c r="AM47" s="112"/>
      <c r="AN47" s="108"/>
      <c r="AO47" s="112"/>
      <c r="AP47" s="108"/>
      <c r="AQ47" s="108"/>
      <c r="AR47" s="125"/>
      <c r="AS47" s="108"/>
      <c r="AT47" s="108"/>
      <c r="AU47" s="112"/>
      <c r="AV47" s="108"/>
      <c r="AW47" s="112"/>
      <c r="AX47" s="112"/>
      <c r="AY47" s="112"/>
      <c r="AZ47" s="112"/>
      <c r="BA47" s="112"/>
      <c r="BB47" s="112"/>
      <c r="BC47" s="112"/>
      <c r="BD47" s="108"/>
      <c r="BE47" s="108"/>
      <c r="BF47" s="113"/>
      <c r="BG47" s="112"/>
      <c r="BH47" s="112"/>
      <c r="BI47" s="112"/>
      <c r="BJ47" s="112"/>
      <c r="BK47" s="112"/>
      <c r="BL47" s="112"/>
      <c r="BM47" s="112"/>
      <c r="BN47" s="112"/>
      <c r="BO47" s="112"/>
      <c r="BP47" s="112"/>
      <c r="BQ47" s="112"/>
      <c r="BR47" s="112"/>
      <c r="BS47" s="112"/>
      <c r="BT47" s="108"/>
      <c r="BU47" s="108"/>
      <c r="BV47" s="128"/>
      <c r="BW47" s="112"/>
      <c r="BX47" s="112"/>
      <c r="BY47" s="112"/>
      <c r="BZ47" s="112"/>
      <c r="CA47" s="112"/>
      <c r="CB47" s="112"/>
      <c r="CC47" s="112"/>
      <c r="CD47" s="112"/>
      <c r="CE47" s="112"/>
      <c r="CF47" s="112"/>
      <c r="CG47" s="112"/>
      <c r="CH47" s="112"/>
      <c r="CI47" s="112"/>
      <c r="CJ47" s="112"/>
      <c r="CK47" s="112"/>
      <c r="CL47" s="112"/>
      <c r="CM47" s="112"/>
      <c r="CN47" s="112"/>
      <c r="CO47" s="112"/>
      <c r="CP47" s="112"/>
      <c r="CQ47" s="112"/>
      <c r="CR47" s="112"/>
      <c r="CS47" s="112"/>
      <c r="CT47" s="112"/>
      <c r="CU47" s="112"/>
      <c r="CV47" s="112"/>
      <c r="CW47" s="108"/>
      <c r="CX47" s="107"/>
    </row>
    <row r="48" ht="39.0" customHeight="1">
      <c r="A48" s="107"/>
      <c r="B48" s="108"/>
      <c r="C48" s="108"/>
      <c r="D48" s="108"/>
      <c r="E48" s="108"/>
      <c r="F48" s="112"/>
      <c r="G48" s="112"/>
      <c r="H48" s="112"/>
      <c r="I48" s="112"/>
      <c r="J48" s="108"/>
      <c r="K48" s="112"/>
      <c r="L48" s="112"/>
      <c r="M48" s="108"/>
      <c r="N48" s="112"/>
      <c r="O48" s="108"/>
      <c r="P48" s="113"/>
      <c r="Q48" s="112"/>
      <c r="R48" s="112"/>
      <c r="S48" s="108"/>
      <c r="T48" s="112"/>
      <c r="U48" s="112"/>
      <c r="V48" s="112"/>
      <c r="W48" s="118"/>
      <c r="X48" s="118"/>
      <c r="Y48" s="118"/>
      <c r="Z48" s="108"/>
      <c r="AA48" s="108"/>
      <c r="AB48" s="108"/>
      <c r="AC48" s="108"/>
      <c r="AD48" s="108"/>
      <c r="AE48" s="108"/>
      <c r="AF48" s="108"/>
      <c r="AG48" s="108"/>
      <c r="AH48" s="108"/>
      <c r="AI48" s="108"/>
      <c r="AJ48" s="108"/>
      <c r="AK48" s="108"/>
      <c r="AL48" s="108"/>
      <c r="AM48" s="112"/>
      <c r="AN48" s="108"/>
      <c r="AO48" s="112"/>
      <c r="AP48" s="108"/>
      <c r="AQ48" s="108"/>
      <c r="AR48" s="125"/>
      <c r="AS48" s="108"/>
      <c r="AT48" s="108"/>
      <c r="AU48" s="112"/>
      <c r="AV48" s="108"/>
      <c r="AW48" s="112"/>
      <c r="AX48" s="112"/>
      <c r="AY48" s="112"/>
      <c r="AZ48" s="112"/>
      <c r="BA48" s="112"/>
      <c r="BB48" s="112"/>
      <c r="BC48" s="112"/>
      <c r="BD48" s="108"/>
      <c r="BE48" s="108"/>
      <c r="BF48" s="113"/>
      <c r="BG48" s="112"/>
      <c r="BH48" s="112"/>
      <c r="BI48" s="112"/>
      <c r="BJ48" s="112"/>
      <c r="BK48" s="112"/>
      <c r="BL48" s="112"/>
      <c r="BM48" s="112"/>
      <c r="BN48" s="112"/>
      <c r="BO48" s="112"/>
      <c r="BP48" s="112"/>
      <c r="BQ48" s="112"/>
      <c r="BR48" s="112"/>
      <c r="BS48" s="112"/>
      <c r="BT48" s="108"/>
      <c r="BU48" s="108"/>
      <c r="BV48" s="128"/>
      <c r="BW48" s="112"/>
      <c r="BX48" s="112"/>
      <c r="BY48" s="112"/>
      <c r="BZ48" s="112"/>
      <c r="CA48" s="112"/>
      <c r="CB48" s="112"/>
      <c r="CC48" s="112"/>
      <c r="CD48" s="112"/>
      <c r="CE48" s="112"/>
      <c r="CF48" s="112"/>
      <c r="CG48" s="112"/>
      <c r="CH48" s="112"/>
      <c r="CI48" s="112"/>
      <c r="CJ48" s="112"/>
      <c r="CK48" s="112"/>
      <c r="CL48" s="112"/>
      <c r="CM48" s="112"/>
      <c r="CN48" s="112"/>
      <c r="CO48" s="112"/>
      <c r="CP48" s="112"/>
      <c r="CQ48" s="112"/>
      <c r="CR48" s="112"/>
      <c r="CS48" s="112"/>
      <c r="CT48" s="112"/>
      <c r="CU48" s="112"/>
      <c r="CV48" s="112"/>
      <c r="CW48" s="108"/>
      <c r="CX48" s="107"/>
    </row>
    <row r="49" ht="39.0" customHeight="1">
      <c r="A49" s="107"/>
      <c r="B49" s="108"/>
      <c r="C49" s="108"/>
      <c r="D49" s="108"/>
      <c r="E49" s="108"/>
      <c r="F49" s="112"/>
      <c r="G49" s="112"/>
      <c r="H49" s="112"/>
      <c r="I49" s="112"/>
      <c r="J49" s="108"/>
      <c r="K49" s="112"/>
      <c r="L49" s="112"/>
      <c r="M49" s="108"/>
      <c r="N49" s="112"/>
      <c r="O49" s="108"/>
      <c r="P49" s="113"/>
      <c r="Q49" s="112"/>
      <c r="R49" s="112"/>
      <c r="S49" s="108"/>
      <c r="T49" s="112"/>
      <c r="U49" s="112"/>
      <c r="V49" s="112"/>
      <c r="W49" s="118"/>
      <c r="X49" s="118"/>
      <c r="Y49" s="118"/>
      <c r="Z49" s="108"/>
      <c r="AA49" s="108"/>
      <c r="AB49" s="108"/>
      <c r="AC49" s="108"/>
      <c r="AD49" s="108"/>
      <c r="AE49" s="108"/>
      <c r="AF49" s="108"/>
      <c r="AG49" s="108"/>
      <c r="AH49" s="108"/>
      <c r="AI49" s="108"/>
      <c r="AJ49" s="108"/>
      <c r="AK49" s="108"/>
      <c r="AL49" s="108"/>
      <c r="AM49" s="112"/>
      <c r="AN49" s="108"/>
      <c r="AO49" s="112"/>
      <c r="AP49" s="108"/>
      <c r="AQ49" s="108"/>
      <c r="AR49" s="125"/>
      <c r="AS49" s="108"/>
      <c r="AT49" s="108"/>
      <c r="AU49" s="112"/>
      <c r="AV49" s="108"/>
      <c r="AW49" s="112"/>
      <c r="AX49" s="112"/>
      <c r="AY49" s="112"/>
      <c r="AZ49" s="112"/>
      <c r="BA49" s="112"/>
      <c r="BB49" s="112"/>
      <c r="BC49" s="112"/>
      <c r="BD49" s="108"/>
      <c r="BE49" s="108"/>
      <c r="BF49" s="113"/>
      <c r="BG49" s="112"/>
      <c r="BH49" s="112"/>
      <c r="BI49" s="112"/>
      <c r="BJ49" s="112"/>
      <c r="BK49" s="112"/>
      <c r="BL49" s="112"/>
      <c r="BM49" s="112"/>
      <c r="BN49" s="112"/>
      <c r="BO49" s="112"/>
      <c r="BP49" s="112"/>
      <c r="BQ49" s="112"/>
      <c r="BR49" s="112"/>
      <c r="BS49" s="112"/>
      <c r="BT49" s="108"/>
      <c r="BU49" s="108"/>
      <c r="BV49" s="128"/>
      <c r="BW49" s="112"/>
      <c r="BX49" s="112"/>
      <c r="BY49" s="112"/>
      <c r="BZ49" s="112"/>
      <c r="CA49" s="112"/>
      <c r="CB49" s="112"/>
      <c r="CC49" s="112"/>
      <c r="CD49" s="112"/>
      <c r="CE49" s="112"/>
      <c r="CF49" s="112"/>
      <c r="CG49" s="112"/>
      <c r="CH49" s="112"/>
      <c r="CI49" s="112"/>
      <c r="CJ49" s="112"/>
      <c r="CK49" s="112"/>
      <c r="CL49" s="112"/>
      <c r="CM49" s="112"/>
      <c r="CN49" s="112"/>
      <c r="CO49" s="112"/>
      <c r="CP49" s="112"/>
      <c r="CQ49" s="112"/>
      <c r="CR49" s="112"/>
      <c r="CS49" s="112"/>
      <c r="CT49" s="112"/>
      <c r="CU49" s="112"/>
      <c r="CV49" s="112"/>
      <c r="CW49" s="108"/>
      <c r="CX49" s="107"/>
    </row>
    <row r="50" ht="39.0" customHeight="1">
      <c r="A50" s="107"/>
      <c r="B50" s="108"/>
      <c r="C50" s="108"/>
      <c r="D50" s="108"/>
      <c r="E50" s="108"/>
      <c r="F50" s="112"/>
      <c r="G50" s="112"/>
      <c r="H50" s="112"/>
      <c r="I50" s="112"/>
      <c r="J50" s="108"/>
      <c r="K50" s="112"/>
      <c r="L50" s="112"/>
      <c r="M50" s="108"/>
      <c r="N50" s="112"/>
      <c r="O50" s="108"/>
      <c r="P50" s="113"/>
      <c r="Q50" s="112"/>
      <c r="R50" s="112"/>
      <c r="S50" s="108"/>
      <c r="T50" s="112"/>
      <c r="U50" s="112"/>
      <c r="V50" s="112"/>
      <c r="W50" s="118"/>
      <c r="X50" s="118"/>
      <c r="Y50" s="118"/>
      <c r="Z50" s="108"/>
      <c r="AA50" s="108"/>
      <c r="AB50" s="108"/>
      <c r="AC50" s="108"/>
      <c r="AD50" s="108"/>
      <c r="AE50" s="108"/>
      <c r="AF50" s="108"/>
      <c r="AG50" s="108"/>
      <c r="AH50" s="108"/>
      <c r="AI50" s="108"/>
      <c r="AJ50" s="108"/>
      <c r="AK50" s="108"/>
      <c r="AL50" s="108"/>
      <c r="AM50" s="112"/>
      <c r="AN50" s="108"/>
      <c r="AO50" s="112"/>
      <c r="AP50" s="108"/>
      <c r="AQ50" s="108"/>
      <c r="AR50" s="125"/>
      <c r="AS50" s="108"/>
      <c r="AT50" s="108"/>
      <c r="AU50" s="112"/>
      <c r="AV50" s="108"/>
      <c r="AW50" s="112"/>
      <c r="AX50" s="112"/>
      <c r="AY50" s="112"/>
      <c r="AZ50" s="112"/>
      <c r="BA50" s="112"/>
      <c r="BB50" s="112"/>
      <c r="BC50" s="112"/>
      <c r="BD50" s="108"/>
      <c r="BE50" s="108"/>
      <c r="BF50" s="113"/>
      <c r="BG50" s="112"/>
      <c r="BH50" s="112"/>
      <c r="BI50" s="112"/>
      <c r="BJ50" s="112"/>
      <c r="BK50" s="112"/>
      <c r="BL50" s="112"/>
      <c r="BM50" s="112"/>
      <c r="BN50" s="112"/>
      <c r="BO50" s="112"/>
      <c r="BP50" s="112"/>
      <c r="BQ50" s="112"/>
      <c r="BR50" s="112"/>
      <c r="BS50" s="112"/>
      <c r="BT50" s="108"/>
      <c r="BU50" s="108"/>
      <c r="BV50" s="128"/>
      <c r="BW50" s="112"/>
      <c r="BX50" s="112"/>
      <c r="BY50" s="112"/>
      <c r="BZ50" s="112"/>
      <c r="CA50" s="112"/>
      <c r="CB50" s="112"/>
      <c r="CC50" s="112"/>
      <c r="CD50" s="112"/>
      <c r="CE50" s="112"/>
      <c r="CF50" s="112"/>
      <c r="CG50" s="112"/>
      <c r="CH50" s="112"/>
      <c r="CI50" s="112"/>
      <c r="CJ50" s="112"/>
      <c r="CK50" s="112"/>
      <c r="CL50" s="112"/>
      <c r="CM50" s="112"/>
      <c r="CN50" s="112"/>
      <c r="CO50" s="112"/>
      <c r="CP50" s="112"/>
      <c r="CQ50" s="112"/>
      <c r="CR50" s="112"/>
      <c r="CS50" s="112"/>
      <c r="CT50" s="112"/>
      <c r="CU50" s="112"/>
      <c r="CV50" s="112"/>
      <c r="CW50" s="108"/>
      <c r="CX50" s="107"/>
    </row>
    <row r="51" ht="39.0" customHeight="1">
      <c r="A51" s="107"/>
      <c r="B51" s="108"/>
      <c r="C51" s="108"/>
      <c r="D51" s="108"/>
      <c r="E51" s="108"/>
      <c r="F51" s="112"/>
      <c r="G51" s="112"/>
      <c r="H51" s="112"/>
      <c r="I51" s="112"/>
      <c r="J51" s="108"/>
      <c r="K51" s="112"/>
      <c r="L51" s="112"/>
      <c r="M51" s="108"/>
      <c r="N51" s="112"/>
      <c r="O51" s="108"/>
      <c r="P51" s="113"/>
      <c r="Q51" s="112"/>
      <c r="R51" s="112"/>
      <c r="S51" s="108"/>
      <c r="T51" s="112"/>
      <c r="U51" s="112"/>
      <c r="V51" s="112"/>
      <c r="W51" s="118"/>
      <c r="X51" s="118"/>
      <c r="Y51" s="118"/>
      <c r="Z51" s="108"/>
      <c r="AA51" s="108"/>
      <c r="AB51" s="108"/>
      <c r="AC51" s="108"/>
      <c r="AD51" s="108"/>
      <c r="AE51" s="108"/>
      <c r="AF51" s="108"/>
      <c r="AG51" s="108"/>
      <c r="AH51" s="108"/>
      <c r="AI51" s="108"/>
      <c r="AJ51" s="108"/>
      <c r="AK51" s="108"/>
      <c r="AL51" s="108"/>
      <c r="AM51" s="112"/>
      <c r="AN51" s="108"/>
      <c r="AO51" s="112"/>
      <c r="AP51" s="108"/>
      <c r="AQ51" s="108"/>
      <c r="AR51" s="125"/>
      <c r="AS51" s="108"/>
      <c r="AT51" s="108"/>
      <c r="AU51" s="112"/>
      <c r="AV51" s="108"/>
      <c r="AW51" s="112"/>
      <c r="AX51" s="112"/>
      <c r="AY51" s="112"/>
      <c r="AZ51" s="112"/>
      <c r="BA51" s="112"/>
      <c r="BB51" s="112"/>
      <c r="BC51" s="112"/>
      <c r="BD51" s="108"/>
      <c r="BE51" s="108"/>
      <c r="BF51" s="113"/>
      <c r="BG51" s="112"/>
      <c r="BH51" s="112"/>
      <c r="BI51" s="112"/>
      <c r="BJ51" s="112"/>
      <c r="BK51" s="112"/>
      <c r="BL51" s="112"/>
      <c r="BM51" s="112"/>
      <c r="BN51" s="112"/>
      <c r="BO51" s="112"/>
      <c r="BP51" s="112"/>
      <c r="BQ51" s="112"/>
      <c r="BR51" s="112"/>
      <c r="BS51" s="112"/>
      <c r="BT51" s="108"/>
      <c r="BU51" s="108"/>
      <c r="BV51" s="128"/>
      <c r="BW51" s="112"/>
      <c r="BX51" s="112"/>
      <c r="BY51" s="112"/>
      <c r="BZ51" s="112"/>
      <c r="CA51" s="112"/>
      <c r="CB51" s="112"/>
      <c r="CC51" s="112"/>
      <c r="CD51" s="112"/>
      <c r="CE51" s="112"/>
      <c r="CF51" s="112"/>
      <c r="CG51" s="112"/>
      <c r="CH51" s="112"/>
      <c r="CI51" s="112"/>
      <c r="CJ51" s="112"/>
      <c r="CK51" s="112"/>
      <c r="CL51" s="112"/>
      <c r="CM51" s="112"/>
      <c r="CN51" s="112"/>
      <c r="CO51" s="112"/>
      <c r="CP51" s="112"/>
      <c r="CQ51" s="112"/>
      <c r="CR51" s="112"/>
      <c r="CS51" s="112"/>
      <c r="CT51" s="112"/>
      <c r="CU51" s="112"/>
      <c r="CV51" s="112"/>
      <c r="CW51" s="108"/>
      <c r="CX51" s="107"/>
    </row>
    <row r="52" ht="39.0" customHeight="1">
      <c r="A52" s="107"/>
      <c r="B52" s="108"/>
      <c r="C52" s="108"/>
      <c r="D52" s="108"/>
      <c r="E52" s="108"/>
      <c r="F52" s="112"/>
      <c r="G52" s="112"/>
      <c r="H52" s="112"/>
      <c r="I52" s="112"/>
      <c r="J52" s="108"/>
      <c r="K52" s="112"/>
      <c r="L52" s="112"/>
      <c r="M52" s="108"/>
      <c r="N52" s="112"/>
      <c r="O52" s="108"/>
      <c r="P52" s="113"/>
      <c r="Q52" s="112"/>
      <c r="R52" s="112"/>
      <c r="S52" s="108"/>
      <c r="T52" s="112"/>
      <c r="U52" s="112"/>
      <c r="V52" s="112"/>
      <c r="W52" s="118"/>
      <c r="X52" s="118"/>
      <c r="Y52" s="118"/>
      <c r="Z52" s="108"/>
      <c r="AA52" s="108"/>
      <c r="AB52" s="108"/>
      <c r="AC52" s="108"/>
      <c r="AD52" s="108"/>
      <c r="AE52" s="108"/>
      <c r="AF52" s="108"/>
      <c r="AG52" s="108"/>
      <c r="AH52" s="108"/>
      <c r="AI52" s="108"/>
      <c r="AJ52" s="108"/>
      <c r="AK52" s="108"/>
      <c r="AL52" s="108"/>
      <c r="AM52" s="112"/>
      <c r="AN52" s="108"/>
      <c r="AO52" s="112"/>
      <c r="AP52" s="108"/>
      <c r="AQ52" s="108"/>
      <c r="AR52" s="125"/>
      <c r="AS52" s="108"/>
      <c r="AT52" s="108"/>
      <c r="AU52" s="112"/>
      <c r="AV52" s="108"/>
      <c r="AW52" s="112"/>
      <c r="AX52" s="112"/>
      <c r="AY52" s="112"/>
      <c r="AZ52" s="112"/>
      <c r="BA52" s="112"/>
      <c r="BB52" s="112"/>
      <c r="BC52" s="112"/>
      <c r="BD52" s="108"/>
      <c r="BE52" s="108"/>
      <c r="BF52" s="113"/>
      <c r="BG52" s="112"/>
      <c r="BH52" s="112"/>
      <c r="BI52" s="112"/>
      <c r="BJ52" s="112"/>
      <c r="BK52" s="112"/>
      <c r="BL52" s="112"/>
      <c r="BM52" s="112"/>
      <c r="BN52" s="112"/>
      <c r="BO52" s="112"/>
      <c r="BP52" s="112"/>
      <c r="BQ52" s="112"/>
      <c r="BR52" s="112"/>
      <c r="BS52" s="112"/>
      <c r="BT52" s="108"/>
      <c r="BU52" s="108"/>
      <c r="BV52" s="128"/>
      <c r="BW52" s="112"/>
      <c r="BX52" s="112"/>
      <c r="BY52" s="112"/>
      <c r="BZ52" s="112"/>
      <c r="CA52" s="112"/>
      <c r="CB52" s="112"/>
      <c r="CC52" s="112"/>
      <c r="CD52" s="112"/>
      <c r="CE52" s="112"/>
      <c r="CF52" s="112"/>
      <c r="CG52" s="112"/>
      <c r="CH52" s="112"/>
      <c r="CI52" s="112"/>
      <c r="CJ52" s="112"/>
      <c r="CK52" s="112"/>
      <c r="CL52" s="112"/>
      <c r="CM52" s="112"/>
      <c r="CN52" s="112"/>
      <c r="CO52" s="112"/>
      <c r="CP52" s="112"/>
      <c r="CQ52" s="112"/>
      <c r="CR52" s="112"/>
      <c r="CS52" s="112"/>
      <c r="CT52" s="112"/>
      <c r="CU52" s="112"/>
      <c r="CV52" s="112"/>
      <c r="CW52" s="108"/>
      <c r="CX52" s="107"/>
    </row>
    <row r="53" ht="39.0" customHeight="1">
      <c r="A53" s="107"/>
      <c r="B53" s="108"/>
      <c r="C53" s="108"/>
      <c r="D53" s="108"/>
      <c r="E53" s="108"/>
      <c r="F53" s="112"/>
      <c r="G53" s="112"/>
      <c r="H53" s="112"/>
      <c r="I53" s="112"/>
      <c r="J53" s="108"/>
      <c r="K53" s="112"/>
      <c r="L53" s="112"/>
      <c r="M53" s="108"/>
      <c r="N53" s="112"/>
      <c r="O53" s="108"/>
      <c r="P53" s="113"/>
      <c r="Q53" s="112"/>
      <c r="R53" s="112"/>
      <c r="S53" s="108"/>
      <c r="T53" s="112"/>
      <c r="U53" s="112"/>
      <c r="V53" s="112"/>
      <c r="W53" s="118"/>
      <c r="X53" s="118"/>
      <c r="Y53" s="118"/>
      <c r="Z53" s="108"/>
      <c r="AA53" s="108"/>
      <c r="AB53" s="108"/>
      <c r="AC53" s="108"/>
      <c r="AD53" s="108"/>
      <c r="AE53" s="108"/>
      <c r="AF53" s="108"/>
      <c r="AG53" s="108"/>
      <c r="AH53" s="108"/>
      <c r="AI53" s="108"/>
      <c r="AJ53" s="108"/>
      <c r="AK53" s="108"/>
      <c r="AL53" s="108"/>
      <c r="AM53" s="112"/>
      <c r="AN53" s="108"/>
      <c r="AO53" s="112"/>
      <c r="AP53" s="108"/>
      <c r="AQ53" s="108"/>
      <c r="AR53" s="125"/>
      <c r="AS53" s="108"/>
      <c r="AT53" s="108"/>
      <c r="AU53" s="112"/>
      <c r="AV53" s="108"/>
      <c r="AW53" s="112"/>
      <c r="AX53" s="112"/>
      <c r="AY53" s="112"/>
      <c r="AZ53" s="112"/>
      <c r="BA53" s="112"/>
      <c r="BB53" s="112"/>
      <c r="BC53" s="112"/>
      <c r="BD53" s="108"/>
      <c r="BE53" s="108"/>
      <c r="BF53" s="113"/>
      <c r="BG53" s="112"/>
      <c r="BH53" s="112"/>
      <c r="BI53" s="112"/>
      <c r="BJ53" s="112"/>
      <c r="BK53" s="112"/>
      <c r="BL53" s="112"/>
      <c r="BM53" s="112"/>
      <c r="BN53" s="112"/>
      <c r="BO53" s="112"/>
      <c r="BP53" s="112"/>
      <c r="BQ53" s="112"/>
      <c r="BR53" s="112"/>
      <c r="BS53" s="112"/>
      <c r="BT53" s="108"/>
      <c r="BU53" s="108"/>
      <c r="BV53" s="128"/>
      <c r="BW53" s="112"/>
      <c r="BX53" s="112"/>
      <c r="BY53" s="112"/>
      <c r="BZ53" s="112"/>
      <c r="CA53" s="112"/>
      <c r="CB53" s="112"/>
      <c r="CC53" s="112"/>
      <c r="CD53" s="112"/>
      <c r="CE53" s="112"/>
      <c r="CF53" s="112"/>
      <c r="CG53" s="112"/>
      <c r="CH53" s="112"/>
      <c r="CI53" s="112"/>
      <c r="CJ53" s="112"/>
      <c r="CK53" s="112"/>
      <c r="CL53" s="112"/>
      <c r="CM53" s="112"/>
      <c r="CN53" s="112"/>
      <c r="CO53" s="112"/>
      <c r="CP53" s="112"/>
      <c r="CQ53" s="112"/>
      <c r="CR53" s="112"/>
      <c r="CS53" s="112"/>
      <c r="CT53" s="112"/>
      <c r="CU53" s="112"/>
      <c r="CV53" s="112"/>
      <c r="CW53" s="108"/>
      <c r="CX53" s="107"/>
    </row>
    <row r="54" ht="39.0" customHeight="1">
      <c r="A54" s="107"/>
      <c r="B54" s="108"/>
      <c r="C54" s="108"/>
      <c r="D54" s="108"/>
      <c r="E54" s="108"/>
      <c r="F54" s="112"/>
      <c r="G54" s="112"/>
      <c r="H54" s="112"/>
      <c r="I54" s="112"/>
      <c r="J54" s="108"/>
      <c r="K54" s="112"/>
      <c r="L54" s="112"/>
      <c r="M54" s="108"/>
      <c r="N54" s="112"/>
      <c r="O54" s="108"/>
      <c r="P54" s="113"/>
      <c r="Q54" s="112"/>
      <c r="R54" s="112"/>
      <c r="S54" s="108"/>
      <c r="T54" s="112"/>
      <c r="U54" s="112"/>
      <c r="V54" s="112"/>
      <c r="W54" s="118"/>
      <c r="X54" s="118"/>
      <c r="Y54" s="118"/>
      <c r="Z54" s="108"/>
      <c r="AA54" s="108"/>
      <c r="AB54" s="108"/>
      <c r="AC54" s="108"/>
      <c r="AD54" s="108"/>
      <c r="AE54" s="108"/>
      <c r="AF54" s="108"/>
      <c r="AG54" s="108"/>
      <c r="AH54" s="108"/>
      <c r="AI54" s="108"/>
      <c r="AJ54" s="108"/>
      <c r="AK54" s="108"/>
      <c r="AL54" s="108"/>
      <c r="AM54" s="112"/>
      <c r="AN54" s="108"/>
      <c r="AO54" s="112"/>
      <c r="AP54" s="108"/>
      <c r="AQ54" s="108"/>
      <c r="AR54" s="125"/>
      <c r="AS54" s="108"/>
      <c r="AT54" s="108"/>
      <c r="AU54" s="112"/>
      <c r="AV54" s="108"/>
      <c r="AW54" s="112"/>
      <c r="AX54" s="112"/>
      <c r="AY54" s="112"/>
      <c r="AZ54" s="112"/>
      <c r="BA54" s="112"/>
      <c r="BB54" s="112"/>
      <c r="BC54" s="112"/>
      <c r="BD54" s="108"/>
      <c r="BE54" s="108"/>
      <c r="BF54" s="113"/>
      <c r="BG54" s="112"/>
      <c r="BH54" s="112"/>
      <c r="BI54" s="112"/>
      <c r="BJ54" s="112"/>
      <c r="BK54" s="112"/>
      <c r="BL54" s="112"/>
      <c r="BM54" s="112"/>
      <c r="BN54" s="112"/>
      <c r="BO54" s="112"/>
      <c r="BP54" s="112"/>
      <c r="BQ54" s="112"/>
      <c r="BR54" s="112"/>
      <c r="BS54" s="112"/>
      <c r="BT54" s="108"/>
      <c r="BU54" s="108"/>
      <c r="BV54" s="128"/>
      <c r="BW54" s="112"/>
      <c r="BX54" s="112"/>
      <c r="BY54" s="112"/>
      <c r="BZ54" s="112"/>
      <c r="CA54" s="112"/>
      <c r="CB54" s="112"/>
      <c r="CC54" s="112"/>
      <c r="CD54" s="112"/>
      <c r="CE54" s="112"/>
      <c r="CF54" s="112"/>
      <c r="CG54" s="112"/>
      <c r="CH54" s="112"/>
      <c r="CI54" s="112"/>
      <c r="CJ54" s="112"/>
      <c r="CK54" s="112"/>
      <c r="CL54" s="112"/>
      <c r="CM54" s="112"/>
      <c r="CN54" s="112"/>
      <c r="CO54" s="112"/>
      <c r="CP54" s="112"/>
      <c r="CQ54" s="112"/>
      <c r="CR54" s="112"/>
      <c r="CS54" s="112"/>
      <c r="CT54" s="112"/>
      <c r="CU54" s="112"/>
      <c r="CV54" s="112"/>
      <c r="CW54" s="108"/>
      <c r="CX54" s="107"/>
    </row>
    <row r="55" ht="39.0" customHeight="1">
      <c r="A55" s="107"/>
      <c r="B55" s="108"/>
      <c r="C55" s="108"/>
      <c r="D55" s="108"/>
      <c r="E55" s="108"/>
      <c r="F55" s="112"/>
      <c r="G55" s="112"/>
      <c r="H55" s="112"/>
      <c r="I55" s="112"/>
      <c r="J55" s="108"/>
      <c r="K55" s="112"/>
      <c r="L55" s="112"/>
      <c r="M55" s="108"/>
      <c r="N55" s="112"/>
      <c r="O55" s="108"/>
      <c r="P55" s="113"/>
      <c r="Q55" s="112"/>
      <c r="R55" s="112"/>
      <c r="S55" s="108"/>
      <c r="T55" s="112"/>
      <c r="U55" s="112"/>
      <c r="V55" s="112"/>
      <c r="W55" s="118"/>
      <c r="X55" s="118"/>
      <c r="Y55" s="118"/>
      <c r="Z55" s="108"/>
      <c r="AA55" s="108"/>
      <c r="AB55" s="108"/>
      <c r="AC55" s="108"/>
      <c r="AD55" s="108"/>
      <c r="AE55" s="108"/>
      <c r="AF55" s="108"/>
      <c r="AG55" s="108"/>
      <c r="AH55" s="108"/>
      <c r="AI55" s="108"/>
      <c r="AJ55" s="108"/>
      <c r="AK55" s="108"/>
      <c r="AL55" s="108"/>
      <c r="AM55" s="112"/>
      <c r="AN55" s="108"/>
      <c r="AO55" s="112"/>
      <c r="AP55" s="108"/>
      <c r="AQ55" s="108"/>
      <c r="AR55" s="125"/>
      <c r="AS55" s="108"/>
      <c r="AT55" s="108"/>
      <c r="AU55" s="112"/>
      <c r="AV55" s="108"/>
      <c r="AW55" s="112"/>
      <c r="AX55" s="112"/>
      <c r="AY55" s="112"/>
      <c r="AZ55" s="112"/>
      <c r="BA55" s="112"/>
      <c r="BB55" s="112"/>
      <c r="BC55" s="112"/>
      <c r="BD55" s="108"/>
      <c r="BE55" s="108"/>
      <c r="BF55" s="113"/>
      <c r="BG55" s="112"/>
      <c r="BH55" s="112"/>
      <c r="BI55" s="112"/>
      <c r="BJ55" s="112"/>
      <c r="BK55" s="112"/>
      <c r="BL55" s="112"/>
      <c r="BM55" s="112"/>
      <c r="BN55" s="112"/>
      <c r="BO55" s="112"/>
      <c r="BP55" s="112"/>
      <c r="BQ55" s="112"/>
      <c r="BR55" s="112"/>
      <c r="BS55" s="112"/>
      <c r="BT55" s="108"/>
      <c r="BU55" s="108"/>
      <c r="BV55" s="128"/>
      <c r="BW55" s="112"/>
      <c r="BX55" s="112"/>
      <c r="BY55" s="112"/>
      <c r="BZ55" s="112"/>
      <c r="CA55" s="112"/>
      <c r="CB55" s="112"/>
      <c r="CC55" s="112"/>
      <c r="CD55" s="112"/>
      <c r="CE55" s="112"/>
      <c r="CF55" s="112"/>
      <c r="CG55" s="112"/>
      <c r="CH55" s="112"/>
      <c r="CI55" s="112"/>
      <c r="CJ55" s="112"/>
      <c r="CK55" s="112"/>
      <c r="CL55" s="112"/>
      <c r="CM55" s="112"/>
      <c r="CN55" s="112"/>
      <c r="CO55" s="112"/>
      <c r="CP55" s="112"/>
      <c r="CQ55" s="112"/>
      <c r="CR55" s="112"/>
      <c r="CS55" s="112"/>
      <c r="CT55" s="112"/>
      <c r="CU55" s="112"/>
      <c r="CV55" s="112"/>
      <c r="CW55" s="108"/>
      <c r="CX55" s="107"/>
    </row>
    <row r="56" ht="39.0" customHeight="1">
      <c r="A56" s="107"/>
      <c r="B56" s="108"/>
      <c r="C56" s="108"/>
      <c r="D56" s="108"/>
      <c r="E56" s="108"/>
      <c r="F56" s="112"/>
      <c r="G56" s="112"/>
      <c r="H56" s="112"/>
      <c r="I56" s="112"/>
      <c r="J56" s="108"/>
      <c r="K56" s="112"/>
      <c r="L56" s="112"/>
      <c r="M56" s="108"/>
      <c r="N56" s="112"/>
      <c r="O56" s="108"/>
      <c r="P56" s="113"/>
      <c r="Q56" s="112"/>
      <c r="R56" s="112"/>
      <c r="S56" s="108"/>
      <c r="T56" s="112"/>
      <c r="U56" s="112"/>
      <c r="V56" s="112"/>
      <c r="W56" s="118"/>
      <c r="X56" s="118"/>
      <c r="Y56" s="118"/>
      <c r="Z56" s="108"/>
      <c r="AA56" s="108"/>
      <c r="AB56" s="108"/>
      <c r="AC56" s="108"/>
      <c r="AD56" s="108"/>
      <c r="AE56" s="108"/>
      <c r="AF56" s="108"/>
      <c r="AG56" s="108"/>
      <c r="AH56" s="108"/>
      <c r="AI56" s="108"/>
      <c r="AJ56" s="108"/>
      <c r="AK56" s="108"/>
      <c r="AL56" s="108"/>
      <c r="AM56" s="112"/>
      <c r="AN56" s="108"/>
      <c r="AO56" s="112"/>
      <c r="AP56" s="108"/>
      <c r="AQ56" s="108"/>
      <c r="AR56" s="125"/>
      <c r="AS56" s="108"/>
      <c r="AT56" s="108"/>
      <c r="AU56" s="112"/>
      <c r="AV56" s="108"/>
      <c r="AW56" s="112"/>
      <c r="AX56" s="112"/>
      <c r="AY56" s="112"/>
      <c r="AZ56" s="112"/>
      <c r="BA56" s="112"/>
      <c r="BB56" s="112"/>
      <c r="BC56" s="112"/>
      <c r="BD56" s="108"/>
      <c r="BE56" s="108"/>
      <c r="BF56" s="113"/>
      <c r="BG56" s="112"/>
      <c r="BH56" s="112"/>
      <c r="BI56" s="112"/>
      <c r="BJ56" s="112"/>
      <c r="BK56" s="112"/>
      <c r="BL56" s="112"/>
      <c r="BM56" s="112"/>
      <c r="BN56" s="112"/>
      <c r="BO56" s="112"/>
      <c r="BP56" s="112"/>
      <c r="BQ56" s="112"/>
      <c r="BR56" s="112"/>
      <c r="BS56" s="112"/>
      <c r="BT56" s="108"/>
      <c r="BU56" s="108"/>
      <c r="BV56" s="128"/>
      <c r="BW56" s="112"/>
      <c r="BX56" s="112"/>
      <c r="BY56" s="112"/>
      <c r="BZ56" s="112"/>
      <c r="CA56" s="112"/>
      <c r="CB56" s="112"/>
      <c r="CC56" s="112"/>
      <c r="CD56" s="112"/>
      <c r="CE56" s="112"/>
      <c r="CF56" s="112"/>
      <c r="CG56" s="112"/>
      <c r="CH56" s="112"/>
      <c r="CI56" s="112"/>
      <c r="CJ56" s="112"/>
      <c r="CK56" s="112"/>
      <c r="CL56" s="112"/>
      <c r="CM56" s="112"/>
      <c r="CN56" s="112"/>
      <c r="CO56" s="112"/>
      <c r="CP56" s="112"/>
      <c r="CQ56" s="112"/>
      <c r="CR56" s="112"/>
      <c r="CS56" s="112"/>
      <c r="CT56" s="112"/>
      <c r="CU56" s="112"/>
      <c r="CV56" s="112"/>
      <c r="CW56" s="108"/>
      <c r="CX56" s="107"/>
    </row>
    <row r="57" ht="39.0" customHeight="1">
      <c r="A57" s="107"/>
      <c r="B57" s="108"/>
      <c r="C57" s="108"/>
      <c r="D57" s="108"/>
      <c r="E57" s="108"/>
      <c r="F57" s="112"/>
      <c r="G57" s="112"/>
      <c r="H57" s="112"/>
      <c r="I57" s="112"/>
      <c r="J57" s="108"/>
      <c r="K57" s="112"/>
      <c r="L57" s="112"/>
      <c r="M57" s="108"/>
      <c r="N57" s="112"/>
      <c r="O57" s="108"/>
      <c r="P57" s="113"/>
      <c r="Q57" s="112"/>
      <c r="R57" s="112"/>
      <c r="S57" s="108"/>
      <c r="T57" s="112"/>
      <c r="U57" s="112"/>
      <c r="V57" s="112"/>
      <c r="W57" s="118"/>
      <c r="X57" s="118"/>
      <c r="Y57" s="118"/>
      <c r="Z57" s="108"/>
      <c r="AA57" s="108"/>
      <c r="AB57" s="108"/>
      <c r="AC57" s="108"/>
      <c r="AD57" s="108"/>
      <c r="AE57" s="108"/>
      <c r="AF57" s="108"/>
      <c r="AG57" s="108"/>
      <c r="AH57" s="108"/>
      <c r="AI57" s="108"/>
      <c r="AJ57" s="108"/>
      <c r="AK57" s="108"/>
      <c r="AL57" s="108"/>
      <c r="AM57" s="112"/>
      <c r="AN57" s="108"/>
      <c r="AO57" s="112"/>
      <c r="AP57" s="108"/>
      <c r="AQ57" s="108"/>
      <c r="AR57" s="125"/>
      <c r="AS57" s="108"/>
      <c r="AT57" s="108"/>
      <c r="AU57" s="112"/>
      <c r="AV57" s="108"/>
      <c r="AW57" s="112"/>
      <c r="AX57" s="112"/>
      <c r="AY57" s="112"/>
      <c r="AZ57" s="112"/>
      <c r="BA57" s="112"/>
      <c r="BB57" s="112"/>
      <c r="BC57" s="112"/>
      <c r="BD57" s="108"/>
      <c r="BE57" s="108"/>
      <c r="BF57" s="113"/>
      <c r="BG57" s="112"/>
      <c r="BH57" s="112"/>
      <c r="BI57" s="112"/>
      <c r="BJ57" s="112"/>
      <c r="BK57" s="112"/>
      <c r="BL57" s="112"/>
      <c r="BM57" s="112"/>
      <c r="BN57" s="112"/>
      <c r="BO57" s="112"/>
      <c r="BP57" s="112"/>
      <c r="BQ57" s="112"/>
      <c r="BR57" s="112"/>
      <c r="BS57" s="112"/>
      <c r="BT57" s="108"/>
      <c r="BU57" s="108"/>
      <c r="BV57" s="128"/>
      <c r="BW57" s="112"/>
      <c r="BX57" s="112"/>
      <c r="BY57" s="112"/>
      <c r="BZ57" s="112"/>
      <c r="CA57" s="112"/>
      <c r="CB57" s="112"/>
      <c r="CC57" s="112"/>
      <c r="CD57" s="112"/>
      <c r="CE57" s="112"/>
      <c r="CF57" s="112"/>
      <c r="CG57" s="112"/>
      <c r="CH57" s="112"/>
      <c r="CI57" s="112"/>
      <c r="CJ57" s="112"/>
      <c r="CK57" s="112"/>
      <c r="CL57" s="112"/>
      <c r="CM57" s="112"/>
      <c r="CN57" s="112"/>
      <c r="CO57" s="112"/>
      <c r="CP57" s="112"/>
      <c r="CQ57" s="112"/>
      <c r="CR57" s="112"/>
      <c r="CS57" s="112"/>
      <c r="CT57" s="112"/>
      <c r="CU57" s="112"/>
      <c r="CV57" s="112"/>
      <c r="CW57" s="108"/>
      <c r="CX57" s="107"/>
    </row>
    <row r="58" ht="39.0" customHeight="1">
      <c r="A58" s="107"/>
      <c r="B58" s="108"/>
      <c r="C58" s="108"/>
      <c r="D58" s="108"/>
      <c r="E58" s="108"/>
      <c r="F58" s="112"/>
      <c r="G58" s="112"/>
      <c r="H58" s="112"/>
      <c r="I58" s="112"/>
      <c r="J58" s="108"/>
      <c r="K58" s="112"/>
      <c r="L58" s="112"/>
      <c r="M58" s="108"/>
      <c r="N58" s="112"/>
      <c r="O58" s="108"/>
      <c r="P58" s="113"/>
      <c r="Q58" s="112"/>
      <c r="R58" s="112"/>
      <c r="S58" s="108"/>
      <c r="T58" s="112"/>
      <c r="U58" s="112"/>
      <c r="V58" s="112"/>
      <c r="W58" s="118"/>
      <c r="X58" s="118"/>
      <c r="Y58" s="118"/>
      <c r="Z58" s="108"/>
      <c r="AA58" s="108"/>
      <c r="AB58" s="108"/>
      <c r="AC58" s="108"/>
      <c r="AD58" s="108"/>
      <c r="AE58" s="108"/>
      <c r="AF58" s="108"/>
      <c r="AG58" s="108"/>
      <c r="AH58" s="108"/>
      <c r="AI58" s="108"/>
      <c r="AJ58" s="108"/>
      <c r="AK58" s="108"/>
      <c r="AL58" s="108"/>
      <c r="AM58" s="112"/>
      <c r="AN58" s="108"/>
      <c r="AO58" s="112"/>
      <c r="AP58" s="108"/>
      <c r="AQ58" s="108"/>
      <c r="AR58" s="125"/>
      <c r="AS58" s="108"/>
      <c r="AT58" s="108"/>
      <c r="AU58" s="112"/>
      <c r="AV58" s="108"/>
      <c r="AW58" s="112"/>
      <c r="AX58" s="112"/>
      <c r="AY58" s="112"/>
      <c r="AZ58" s="112"/>
      <c r="BA58" s="112"/>
      <c r="BB58" s="112"/>
      <c r="BC58" s="112"/>
      <c r="BD58" s="108"/>
      <c r="BE58" s="108"/>
      <c r="BF58" s="113"/>
      <c r="BG58" s="112"/>
      <c r="BH58" s="112"/>
      <c r="BI58" s="112"/>
      <c r="BJ58" s="112"/>
      <c r="BK58" s="112"/>
      <c r="BL58" s="112"/>
      <c r="BM58" s="112"/>
      <c r="BN58" s="112"/>
      <c r="BO58" s="112"/>
      <c r="BP58" s="112"/>
      <c r="BQ58" s="112"/>
      <c r="BR58" s="112"/>
      <c r="BS58" s="112"/>
      <c r="BT58" s="108"/>
      <c r="BU58" s="108"/>
      <c r="BV58" s="128"/>
      <c r="BW58" s="112"/>
      <c r="BX58" s="112"/>
      <c r="BY58" s="112"/>
      <c r="BZ58" s="112"/>
      <c r="CA58" s="112"/>
      <c r="CB58" s="112"/>
      <c r="CC58" s="112"/>
      <c r="CD58" s="112"/>
      <c r="CE58" s="112"/>
      <c r="CF58" s="112"/>
      <c r="CG58" s="112"/>
      <c r="CH58" s="112"/>
      <c r="CI58" s="112"/>
      <c r="CJ58" s="112"/>
      <c r="CK58" s="112"/>
      <c r="CL58" s="112"/>
      <c r="CM58" s="112"/>
      <c r="CN58" s="112"/>
      <c r="CO58" s="112"/>
      <c r="CP58" s="112"/>
      <c r="CQ58" s="112"/>
      <c r="CR58" s="112"/>
      <c r="CS58" s="112"/>
      <c r="CT58" s="112"/>
      <c r="CU58" s="112"/>
      <c r="CV58" s="112"/>
      <c r="CW58" s="108"/>
      <c r="CX58" s="107"/>
    </row>
    <row r="59" ht="39.0" customHeight="1">
      <c r="A59" s="107"/>
      <c r="B59" s="108"/>
      <c r="C59" s="108"/>
      <c r="D59" s="108"/>
      <c r="E59" s="108"/>
      <c r="F59" s="112"/>
      <c r="G59" s="112"/>
      <c r="H59" s="112"/>
      <c r="I59" s="112"/>
      <c r="J59" s="108"/>
      <c r="K59" s="112"/>
      <c r="L59" s="112"/>
      <c r="M59" s="108"/>
      <c r="N59" s="112"/>
      <c r="O59" s="108"/>
      <c r="P59" s="113"/>
      <c r="Q59" s="112"/>
      <c r="R59" s="112"/>
      <c r="S59" s="108"/>
      <c r="T59" s="112"/>
      <c r="U59" s="112"/>
      <c r="V59" s="112"/>
      <c r="W59" s="118"/>
      <c r="X59" s="118"/>
      <c r="Y59" s="118"/>
      <c r="Z59" s="108"/>
      <c r="AA59" s="108"/>
      <c r="AB59" s="108"/>
      <c r="AC59" s="108"/>
      <c r="AD59" s="108"/>
      <c r="AE59" s="108"/>
      <c r="AF59" s="108"/>
      <c r="AG59" s="108"/>
      <c r="AH59" s="108"/>
      <c r="AI59" s="108"/>
      <c r="AJ59" s="108"/>
      <c r="AK59" s="108"/>
      <c r="AL59" s="108"/>
      <c r="AM59" s="112"/>
      <c r="AN59" s="108"/>
      <c r="AO59" s="112"/>
      <c r="AP59" s="108"/>
      <c r="AQ59" s="108"/>
      <c r="AR59" s="125"/>
      <c r="AS59" s="108"/>
      <c r="AT59" s="108"/>
      <c r="AU59" s="112"/>
      <c r="AV59" s="108"/>
      <c r="AW59" s="112"/>
      <c r="AX59" s="112"/>
      <c r="AY59" s="112"/>
      <c r="AZ59" s="112"/>
      <c r="BA59" s="112"/>
      <c r="BB59" s="112"/>
      <c r="BC59" s="112"/>
      <c r="BD59" s="108"/>
      <c r="BE59" s="108"/>
      <c r="BF59" s="113"/>
      <c r="BG59" s="112"/>
      <c r="BH59" s="112"/>
      <c r="BI59" s="112"/>
      <c r="BJ59" s="112"/>
      <c r="BK59" s="112"/>
      <c r="BL59" s="112"/>
      <c r="BM59" s="112"/>
      <c r="BN59" s="112"/>
      <c r="BO59" s="112"/>
      <c r="BP59" s="112"/>
      <c r="BQ59" s="112"/>
      <c r="BR59" s="112"/>
      <c r="BS59" s="112"/>
      <c r="BT59" s="108"/>
      <c r="BU59" s="108"/>
      <c r="BV59" s="128"/>
      <c r="BW59" s="112"/>
      <c r="BX59" s="112"/>
      <c r="BY59" s="112"/>
      <c r="BZ59" s="112"/>
      <c r="CA59" s="112"/>
      <c r="CB59" s="112"/>
      <c r="CC59" s="112"/>
      <c r="CD59" s="112"/>
      <c r="CE59" s="112"/>
      <c r="CF59" s="112"/>
      <c r="CG59" s="112"/>
      <c r="CH59" s="112"/>
      <c r="CI59" s="112"/>
      <c r="CJ59" s="112"/>
      <c r="CK59" s="112"/>
      <c r="CL59" s="112"/>
      <c r="CM59" s="112"/>
      <c r="CN59" s="112"/>
      <c r="CO59" s="112"/>
      <c r="CP59" s="112"/>
      <c r="CQ59" s="112"/>
      <c r="CR59" s="112"/>
      <c r="CS59" s="112"/>
      <c r="CT59" s="112"/>
      <c r="CU59" s="112"/>
      <c r="CV59" s="112"/>
      <c r="CW59" s="108"/>
      <c r="CX59" s="107"/>
    </row>
    <row r="60" ht="39.0" customHeight="1">
      <c r="A60" s="107"/>
      <c r="B60" s="108"/>
      <c r="C60" s="108"/>
      <c r="D60" s="108"/>
      <c r="E60" s="108"/>
      <c r="F60" s="112"/>
      <c r="G60" s="112"/>
      <c r="H60" s="112"/>
      <c r="I60" s="112"/>
      <c r="J60" s="108"/>
      <c r="K60" s="112"/>
      <c r="L60" s="112"/>
      <c r="M60" s="108"/>
      <c r="N60" s="112"/>
      <c r="O60" s="108"/>
      <c r="P60" s="113"/>
      <c r="Q60" s="112"/>
      <c r="R60" s="112"/>
      <c r="S60" s="108"/>
      <c r="T60" s="112"/>
      <c r="U60" s="112"/>
      <c r="V60" s="112"/>
      <c r="W60" s="118"/>
      <c r="X60" s="118"/>
      <c r="Y60" s="118"/>
      <c r="Z60" s="108"/>
      <c r="AA60" s="108"/>
      <c r="AB60" s="108"/>
      <c r="AC60" s="108"/>
      <c r="AD60" s="108"/>
      <c r="AE60" s="108"/>
      <c r="AF60" s="108"/>
      <c r="AG60" s="108"/>
      <c r="AH60" s="108"/>
      <c r="AI60" s="108"/>
      <c r="AJ60" s="108"/>
      <c r="AK60" s="108"/>
      <c r="AL60" s="108"/>
      <c r="AM60" s="112"/>
      <c r="AN60" s="108"/>
      <c r="AO60" s="112"/>
      <c r="AP60" s="108"/>
      <c r="AQ60" s="108"/>
      <c r="AR60" s="125"/>
      <c r="AS60" s="108"/>
      <c r="AT60" s="108"/>
      <c r="AU60" s="112"/>
      <c r="AV60" s="108"/>
      <c r="AW60" s="112"/>
      <c r="AX60" s="112"/>
      <c r="AY60" s="112"/>
      <c r="AZ60" s="112"/>
      <c r="BA60" s="112"/>
      <c r="BB60" s="112"/>
      <c r="BC60" s="112"/>
      <c r="BD60" s="108"/>
      <c r="BE60" s="108"/>
      <c r="BF60" s="113"/>
      <c r="BG60" s="112"/>
      <c r="BH60" s="112"/>
      <c r="BI60" s="112"/>
      <c r="BJ60" s="112"/>
      <c r="BK60" s="112"/>
      <c r="BL60" s="112"/>
      <c r="BM60" s="112"/>
      <c r="BN60" s="112"/>
      <c r="BO60" s="112"/>
      <c r="BP60" s="112"/>
      <c r="BQ60" s="112"/>
      <c r="BR60" s="112"/>
      <c r="BS60" s="112"/>
      <c r="BT60" s="108"/>
      <c r="BU60" s="108"/>
      <c r="BV60" s="128"/>
      <c r="BW60" s="112"/>
      <c r="BX60" s="112"/>
      <c r="BY60" s="112"/>
      <c r="BZ60" s="112"/>
      <c r="CA60" s="112"/>
      <c r="CB60" s="112"/>
      <c r="CC60" s="112"/>
      <c r="CD60" s="112"/>
      <c r="CE60" s="112"/>
      <c r="CF60" s="112"/>
      <c r="CG60" s="112"/>
      <c r="CH60" s="112"/>
      <c r="CI60" s="112"/>
      <c r="CJ60" s="112"/>
      <c r="CK60" s="112"/>
      <c r="CL60" s="112"/>
      <c r="CM60" s="112"/>
      <c r="CN60" s="112"/>
      <c r="CO60" s="112"/>
      <c r="CP60" s="112"/>
      <c r="CQ60" s="112"/>
      <c r="CR60" s="112"/>
      <c r="CS60" s="112"/>
      <c r="CT60" s="112"/>
      <c r="CU60" s="112"/>
      <c r="CV60" s="112"/>
      <c r="CW60" s="108"/>
      <c r="CX60" s="107"/>
    </row>
    <row r="61" ht="15.75" customHeight="1">
      <c r="T61" s="7"/>
      <c r="U61" s="7"/>
      <c r="V61" s="7"/>
      <c r="W61" s="7"/>
      <c r="X61" s="7"/>
      <c r="Y61" s="7"/>
    </row>
    <row r="62" ht="15.75" customHeight="1">
      <c r="T62" s="7"/>
      <c r="U62" s="7"/>
      <c r="V62" s="7"/>
      <c r="W62" s="7"/>
      <c r="X62" s="7"/>
      <c r="Y62" s="7"/>
    </row>
    <row r="63" ht="15.75" customHeight="1">
      <c r="T63" s="7"/>
      <c r="U63" s="7"/>
      <c r="V63" s="7"/>
      <c r="W63" s="7"/>
      <c r="X63" s="7"/>
      <c r="Y63" s="7"/>
    </row>
    <row r="64" ht="15.75" customHeight="1">
      <c r="T64" s="7"/>
      <c r="U64" s="7"/>
      <c r="V64" s="7"/>
      <c r="W64" s="7"/>
      <c r="X64" s="7"/>
      <c r="Y64" s="7"/>
    </row>
    <row r="65" ht="15.75" customHeight="1">
      <c r="T65" s="7"/>
      <c r="U65" s="7"/>
      <c r="V65" s="7"/>
      <c r="W65" s="7"/>
      <c r="X65" s="7"/>
      <c r="Y65" s="7"/>
    </row>
    <row r="66" ht="15.75" customHeight="1">
      <c r="T66" s="7"/>
      <c r="U66" s="7"/>
      <c r="V66" s="7"/>
      <c r="W66" s="7"/>
      <c r="X66" s="7"/>
      <c r="Y66" s="7"/>
    </row>
    <row r="67" ht="15.75" customHeight="1">
      <c r="T67" s="7"/>
      <c r="U67" s="7"/>
      <c r="V67" s="7"/>
      <c r="W67" s="7"/>
      <c r="X67" s="7"/>
      <c r="Y67" s="7"/>
    </row>
    <row r="68" ht="15.75" customHeight="1">
      <c r="T68" s="7"/>
      <c r="U68" s="7"/>
      <c r="V68" s="7"/>
      <c r="W68" s="7"/>
      <c r="X68" s="7"/>
      <c r="Y68" s="7"/>
    </row>
    <row r="69" ht="15.75" customHeight="1">
      <c r="T69" s="7"/>
      <c r="U69" s="7"/>
      <c r="V69" s="7"/>
      <c r="W69" s="7"/>
      <c r="X69" s="7"/>
      <c r="Y69" s="7"/>
    </row>
    <row r="70" ht="15.75" customHeight="1">
      <c r="T70" s="7"/>
      <c r="U70" s="7"/>
      <c r="V70" s="7"/>
      <c r="W70" s="7"/>
      <c r="X70" s="7"/>
      <c r="Y70" s="7"/>
    </row>
    <row r="71" ht="15.75" customHeight="1">
      <c r="T71" s="7"/>
      <c r="U71" s="7"/>
      <c r="V71" s="7"/>
      <c r="W71" s="7"/>
      <c r="X71" s="7"/>
      <c r="Y71" s="7"/>
    </row>
    <row r="72" ht="15.75" customHeight="1">
      <c r="T72" s="7"/>
      <c r="U72" s="7"/>
      <c r="V72" s="7"/>
      <c r="W72" s="7"/>
      <c r="X72" s="7"/>
      <c r="Y72" s="7"/>
    </row>
    <row r="73" ht="15.75" customHeight="1">
      <c r="T73" s="7"/>
      <c r="U73" s="7"/>
      <c r="V73" s="7"/>
      <c r="W73" s="7"/>
      <c r="X73" s="7"/>
      <c r="Y73" s="7"/>
    </row>
    <row r="74" ht="15.75" customHeight="1">
      <c r="T74" s="7"/>
      <c r="U74" s="7"/>
      <c r="V74" s="7"/>
      <c r="W74" s="7"/>
      <c r="X74" s="7"/>
      <c r="Y74" s="7"/>
    </row>
    <row r="75" ht="15.75" customHeight="1">
      <c r="T75" s="7"/>
      <c r="U75" s="7"/>
      <c r="V75" s="7"/>
      <c r="W75" s="7"/>
      <c r="X75" s="7"/>
      <c r="Y75" s="7"/>
    </row>
    <row r="76" ht="15.75" customHeight="1">
      <c r="T76" s="7"/>
      <c r="U76" s="7"/>
      <c r="V76" s="7"/>
      <c r="W76" s="7"/>
      <c r="X76" s="7"/>
      <c r="Y76" s="7"/>
    </row>
    <row r="77" ht="15.75" customHeight="1">
      <c r="T77" s="7"/>
      <c r="U77" s="7"/>
      <c r="V77" s="7"/>
      <c r="W77" s="7"/>
      <c r="X77" s="7"/>
      <c r="Y77" s="7"/>
    </row>
    <row r="78" ht="15.75" customHeight="1">
      <c r="T78" s="7"/>
      <c r="U78" s="7"/>
      <c r="V78" s="7"/>
      <c r="W78" s="7"/>
      <c r="X78" s="7"/>
      <c r="Y78" s="7"/>
    </row>
    <row r="79" ht="15.75" customHeight="1">
      <c r="T79" s="7"/>
      <c r="U79" s="7"/>
      <c r="V79" s="7"/>
      <c r="W79" s="7"/>
      <c r="X79" s="7"/>
      <c r="Y79" s="7"/>
    </row>
    <row r="80" ht="15.75" customHeight="1">
      <c r="T80" s="7"/>
      <c r="U80" s="7"/>
      <c r="V80" s="7"/>
      <c r="W80" s="7"/>
      <c r="X80" s="7"/>
      <c r="Y80" s="7"/>
    </row>
    <row r="81" ht="15.75" customHeight="1">
      <c r="T81" s="7"/>
      <c r="U81" s="7"/>
      <c r="V81" s="7"/>
      <c r="W81" s="7"/>
      <c r="X81" s="7"/>
      <c r="Y81" s="7"/>
    </row>
    <row r="82" ht="15.75" customHeight="1">
      <c r="T82" s="7"/>
      <c r="U82" s="7"/>
      <c r="V82" s="7"/>
      <c r="W82" s="7"/>
      <c r="X82" s="7"/>
      <c r="Y82" s="7"/>
    </row>
    <row r="83" ht="15.75" customHeight="1">
      <c r="T83" s="7"/>
      <c r="U83" s="7"/>
      <c r="V83" s="7"/>
      <c r="W83" s="7"/>
      <c r="X83" s="7"/>
      <c r="Y83" s="7"/>
    </row>
    <row r="84" ht="15.75" customHeight="1">
      <c r="T84" s="7"/>
      <c r="U84" s="7"/>
      <c r="V84" s="7"/>
      <c r="W84" s="7"/>
      <c r="X84" s="7"/>
      <c r="Y84" s="7"/>
    </row>
    <row r="85" ht="15.75" customHeight="1">
      <c r="T85" s="7"/>
      <c r="U85" s="7"/>
      <c r="V85" s="7"/>
      <c r="W85" s="7"/>
      <c r="X85" s="7"/>
      <c r="Y85" s="7"/>
    </row>
    <row r="86" ht="15.75" customHeight="1">
      <c r="T86" s="7"/>
      <c r="U86" s="7"/>
      <c r="V86" s="7"/>
      <c r="W86" s="7"/>
      <c r="X86" s="7"/>
      <c r="Y86" s="7"/>
    </row>
    <row r="87" ht="15.75" customHeight="1">
      <c r="T87" s="7"/>
      <c r="U87" s="7"/>
      <c r="V87" s="7"/>
      <c r="W87" s="7"/>
      <c r="X87" s="7"/>
      <c r="Y87" s="7"/>
    </row>
    <row r="88" ht="15.75" customHeight="1">
      <c r="T88" s="7"/>
      <c r="U88" s="7"/>
      <c r="V88" s="7"/>
      <c r="W88" s="7"/>
      <c r="X88" s="7"/>
      <c r="Y88" s="7"/>
    </row>
    <row r="89" ht="15.75" customHeight="1">
      <c r="T89" s="7"/>
      <c r="U89" s="7"/>
      <c r="V89" s="7"/>
      <c r="W89" s="7"/>
      <c r="X89" s="7"/>
      <c r="Y89" s="7"/>
    </row>
    <row r="90" ht="15.75" customHeight="1">
      <c r="T90" s="7"/>
      <c r="U90" s="7"/>
      <c r="V90" s="7"/>
      <c r="W90" s="7"/>
      <c r="X90" s="7"/>
      <c r="Y90" s="7"/>
    </row>
    <row r="91" ht="15.75" customHeight="1">
      <c r="T91" s="7"/>
      <c r="U91" s="7"/>
      <c r="V91" s="7"/>
      <c r="W91" s="7"/>
      <c r="X91" s="7"/>
      <c r="Y91" s="7"/>
    </row>
    <row r="92" ht="15.75" customHeight="1">
      <c r="T92" s="7"/>
      <c r="U92" s="7"/>
      <c r="V92" s="7"/>
      <c r="W92" s="7"/>
      <c r="X92" s="7"/>
      <c r="Y92" s="7"/>
    </row>
    <row r="93" ht="15.75" customHeight="1">
      <c r="T93" s="7"/>
      <c r="U93" s="7"/>
      <c r="V93" s="7"/>
      <c r="W93" s="7"/>
      <c r="X93" s="7"/>
      <c r="Y93" s="7"/>
    </row>
    <row r="94" ht="15.75" customHeight="1">
      <c r="T94" s="7"/>
      <c r="U94" s="7"/>
      <c r="V94" s="7"/>
      <c r="W94" s="7"/>
      <c r="X94" s="7"/>
      <c r="Y94" s="7"/>
    </row>
    <row r="95" ht="15.75" customHeight="1">
      <c r="T95" s="7"/>
      <c r="U95" s="7"/>
      <c r="V95" s="7"/>
      <c r="W95" s="7"/>
      <c r="X95" s="7"/>
      <c r="Y95" s="7"/>
    </row>
    <row r="96" ht="15.75" customHeight="1">
      <c r="T96" s="7"/>
      <c r="U96" s="7"/>
      <c r="V96" s="7"/>
      <c r="W96" s="7"/>
      <c r="X96" s="7"/>
      <c r="Y96" s="7"/>
    </row>
    <row r="97" ht="15.75" customHeight="1">
      <c r="T97" s="7"/>
      <c r="U97" s="7"/>
      <c r="V97" s="7"/>
      <c r="W97" s="7"/>
      <c r="X97" s="7"/>
      <c r="Y97" s="7"/>
    </row>
    <row r="98" ht="15.75" customHeight="1">
      <c r="T98" s="7"/>
      <c r="U98" s="7"/>
      <c r="V98" s="7"/>
      <c r="W98" s="7"/>
      <c r="X98" s="7"/>
      <c r="Y98" s="7"/>
    </row>
    <row r="99" ht="15.75" customHeight="1">
      <c r="T99" s="7"/>
      <c r="U99" s="7"/>
      <c r="V99" s="7"/>
      <c r="W99" s="7"/>
      <c r="X99" s="7"/>
      <c r="Y99" s="7"/>
    </row>
    <row r="100" ht="15.75" customHeight="1">
      <c r="T100" s="7"/>
      <c r="U100" s="7"/>
      <c r="V100" s="7"/>
      <c r="W100" s="7"/>
      <c r="X100" s="7"/>
      <c r="Y100" s="7"/>
    </row>
    <row r="101" ht="15.75" customHeight="1">
      <c r="T101" s="7"/>
      <c r="U101" s="7"/>
      <c r="V101" s="7"/>
      <c r="W101" s="7"/>
      <c r="X101" s="7"/>
      <c r="Y101" s="7"/>
    </row>
    <row r="102" ht="15.75" customHeight="1">
      <c r="T102" s="7"/>
      <c r="U102" s="7"/>
      <c r="V102" s="7"/>
      <c r="W102" s="7"/>
      <c r="X102" s="7"/>
      <c r="Y102" s="7"/>
    </row>
    <row r="103" ht="15.75" customHeight="1">
      <c r="T103" s="7"/>
      <c r="U103" s="7"/>
      <c r="V103" s="7"/>
      <c r="W103" s="7"/>
      <c r="X103" s="7"/>
      <c r="Y103" s="7"/>
    </row>
    <row r="104" ht="15.75" customHeight="1">
      <c r="T104" s="7"/>
      <c r="U104" s="7"/>
      <c r="V104" s="7"/>
      <c r="W104" s="7"/>
      <c r="X104" s="7"/>
      <c r="Y104" s="7"/>
    </row>
    <row r="105" ht="15.75" customHeight="1">
      <c r="T105" s="7"/>
      <c r="U105" s="7"/>
      <c r="V105" s="7"/>
      <c r="W105" s="7"/>
      <c r="X105" s="7"/>
      <c r="Y105" s="7"/>
    </row>
    <row r="106" ht="15.75" customHeight="1">
      <c r="T106" s="7"/>
      <c r="U106" s="7"/>
      <c r="V106" s="7"/>
      <c r="W106" s="7"/>
      <c r="X106" s="7"/>
      <c r="Y106" s="7"/>
    </row>
    <row r="107" ht="15.75" customHeight="1">
      <c r="T107" s="7"/>
      <c r="U107" s="7"/>
      <c r="V107" s="7"/>
      <c r="W107" s="7"/>
      <c r="X107" s="7"/>
      <c r="Y107" s="7"/>
    </row>
    <row r="108" ht="15.75" customHeight="1">
      <c r="T108" s="7"/>
      <c r="U108" s="7"/>
      <c r="V108" s="7"/>
      <c r="W108" s="7"/>
      <c r="X108" s="7"/>
      <c r="Y108" s="7"/>
    </row>
    <row r="109" ht="15.75" customHeight="1">
      <c r="T109" s="7"/>
      <c r="U109" s="7"/>
      <c r="V109" s="7"/>
      <c r="W109" s="7"/>
      <c r="X109" s="7"/>
      <c r="Y109" s="7"/>
    </row>
    <row r="110" ht="15.75" customHeight="1">
      <c r="T110" s="7"/>
      <c r="U110" s="7"/>
      <c r="V110" s="7"/>
      <c r="W110" s="7"/>
      <c r="X110" s="7"/>
      <c r="Y110" s="7"/>
    </row>
    <row r="111" ht="15.75" customHeight="1">
      <c r="T111" s="7"/>
      <c r="U111" s="7"/>
      <c r="V111" s="7"/>
      <c r="W111" s="7"/>
      <c r="X111" s="7"/>
      <c r="Y111" s="7"/>
    </row>
    <row r="112" ht="15.75" customHeight="1">
      <c r="T112" s="7"/>
      <c r="U112" s="7"/>
      <c r="V112" s="7"/>
      <c r="W112" s="7"/>
      <c r="X112" s="7"/>
      <c r="Y112" s="7"/>
    </row>
    <row r="113" ht="15.75" customHeight="1">
      <c r="T113" s="7"/>
      <c r="U113" s="7"/>
      <c r="V113" s="7"/>
      <c r="W113" s="7"/>
      <c r="X113" s="7"/>
      <c r="Y113" s="7"/>
    </row>
    <row r="114" ht="15.75" customHeight="1">
      <c r="T114" s="7"/>
      <c r="U114" s="7"/>
      <c r="V114" s="7"/>
      <c r="W114" s="7"/>
      <c r="X114" s="7"/>
      <c r="Y114" s="7"/>
    </row>
    <row r="115" ht="15.75" customHeight="1">
      <c r="T115" s="7"/>
      <c r="U115" s="7"/>
      <c r="V115" s="7"/>
      <c r="W115" s="7"/>
      <c r="X115" s="7"/>
      <c r="Y115" s="7"/>
    </row>
    <row r="116" ht="15.75" customHeight="1">
      <c r="T116" s="7"/>
      <c r="U116" s="7"/>
      <c r="V116" s="7"/>
      <c r="W116" s="7"/>
      <c r="X116" s="7"/>
      <c r="Y116" s="7"/>
    </row>
    <row r="117" ht="15.75" customHeight="1">
      <c r="T117" s="7"/>
      <c r="U117" s="7"/>
      <c r="V117" s="7"/>
      <c r="W117" s="7"/>
      <c r="X117" s="7"/>
      <c r="Y117" s="7"/>
    </row>
    <row r="118" ht="15.75" customHeight="1">
      <c r="T118" s="7"/>
      <c r="U118" s="7"/>
      <c r="V118" s="7"/>
      <c r="W118" s="7"/>
      <c r="X118" s="7"/>
      <c r="Y118" s="7"/>
    </row>
    <row r="119" ht="15.75" customHeight="1">
      <c r="T119" s="7"/>
      <c r="U119" s="7"/>
      <c r="V119" s="7"/>
      <c r="W119" s="7"/>
      <c r="X119" s="7"/>
      <c r="Y119" s="7"/>
    </row>
    <row r="120" ht="15.75" customHeight="1">
      <c r="T120" s="7"/>
      <c r="U120" s="7"/>
      <c r="V120" s="7"/>
      <c r="W120" s="7"/>
      <c r="X120" s="7"/>
      <c r="Y120" s="7"/>
    </row>
    <row r="121" ht="15.75" customHeight="1">
      <c r="T121" s="7"/>
      <c r="U121" s="7"/>
      <c r="V121" s="7"/>
      <c r="W121" s="7"/>
      <c r="X121" s="7"/>
      <c r="Y121" s="7"/>
    </row>
    <row r="122" ht="15.75" customHeight="1">
      <c r="T122" s="7"/>
      <c r="U122" s="7"/>
      <c r="V122" s="7"/>
      <c r="W122" s="7"/>
      <c r="X122" s="7"/>
      <c r="Y122" s="7"/>
    </row>
    <row r="123" ht="15.75" customHeight="1">
      <c r="T123" s="7"/>
      <c r="U123" s="7"/>
      <c r="V123" s="7"/>
      <c r="W123" s="7"/>
      <c r="X123" s="7"/>
      <c r="Y123" s="7"/>
    </row>
    <row r="124" ht="15.75" customHeight="1">
      <c r="T124" s="7"/>
      <c r="U124" s="7"/>
      <c r="V124" s="7"/>
      <c r="W124" s="7"/>
      <c r="X124" s="7"/>
      <c r="Y124" s="7"/>
    </row>
    <row r="125" ht="15.75" customHeight="1">
      <c r="T125" s="7"/>
      <c r="U125" s="7"/>
      <c r="V125" s="7"/>
      <c r="W125" s="7"/>
      <c r="X125" s="7"/>
      <c r="Y125" s="7"/>
    </row>
    <row r="126" ht="15.75" customHeight="1">
      <c r="T126" s="7"/>
      <c r="U126" s="7"/>
      <c r="V126" s="7"/>
      <c r="W126" s="7"/>
      <c r="X126" s="7"/>
      <c r="Y126" s="7"/>
    </row>
    <row r="127" ht="15.75" customHeight="1">
      <c r="T127" s="7"/>
      <c r="U127" s="7"/>
      <c r="V127" s="7"/>
      <c r="W127" s="7"/>
      <c r="X127" s="7"/>
      <c r="Y127" s="7"/>
    </row>
    <row r="128" ht="15.75" customHeight="1">
      <c r="T128" s="7"/>
      <c r="U128" s="7"/>
      <c r="V128" s="7"/>
      <c r="W128" s="7"/>
      <c r="X128" s="7"/>
      <c r="Y128" s="7"/>
    </row>
    <row r="129" ht="15.75" customHeight="1">
      <c r="T129" s="7"/>
      <c r="U129" s="7"/>
      <c r="V129" s="7"/>
      <c r="W129" s="7"/>
      <c r="X129" s="7"/>
      <c r="Y129" s="7"/>
    </row>
    <row r="130" ht="15.75" customHeight="1">
      <c r="T130" s="7"/>
      <c r="U130" s="7"/>
      <c r="V130" s="7"/>
      <c r="W130" s="7"/>
      <c r="X130" s="7"/>
      <c r="Y130" s="7"/>
    </row>
    <row r="131" ht="15.75" customHeight="1">
      <c r="T131" s="7"/>
      <c r="U131" s="7"/>
      <c r="V131" s="7"/>
      <c r="W131" s="7"/>
      <c r="X131" s="7"/>
      <c r="Y131" s="7"/>
    </row>
    <row r="132" ht="15.75" customHeight="1">
      <c r="T132" s="7"/>
      <c r="U132" s="7"/>
      <c r="V132" s="7"/>
      <c r="W132" s="7"/>
      <c r="X132" s="7"/>
      <c r="Y132" s="7"/>
    </row>
    <row r="133" ht="15.75" customHeight="1">
      <c r="T133" s="7"/>
      <c r="U133" s="7"/>
      <c r="V133" s="7"/>
      <c r="W133" s="7"/>
      <c r="X133" s="7"/>
      <c r="Y133" s="7"/>
    </row>
    <row r="134" ht="15.75" customHeight="1">
      <c r="T134" s="7"/>
      <c r="U134" s="7"/>
      <c r="V134" s="7"/>
      <c r="W134" s="7"/>
      <c r="X134" s="7"/>
      <c r="Y134" s="7"/>
    </row>
    <row r="135" ht="15.75" customHeight="1">
      <c r="T135" s="7"/>
      <c r="U135" s="7"/>
      <c r="V135" s="7"/>
      <c r="W135" s="7"/>
      <c r="X135" s="7"/>
      <c r="Y135" s="7"/>
    </row>
    <row r="136" ht="15.75" customHeight="1">
      <c r="T136" s="7"/>
      <c r="U136" s="7"/>
      <c r="V136" s="7"/>
      <c r="W136" s="7"/>
      <c r="X136" s="7"/>
      <c r="Y136" s="7"/>
    </row>
    <row r="137" ht="15.75" customHeight="1">
      <c r="T137" s="7"/>
      <c r="U137" s="7"/>
      <c r="V137" s="7"/>
      <c r="W137" s="7"/>
      <c r="X137" s="7"/>
      <c r="Y137" s="7"/>
    </row>
    <row r="138" ht="15.75" customHeight="1">
      <c r="T138" s="7"/>
      <c r="U138" s="7"/>
      <c r="V138" s="7"/>
      <c r="W138" s="7"/>
      <c r="X138" s="7"/>
      <c r="Y138" s="7"/>
    </row>
    <row r="139" ht="15.75" customHeight="1">
      <c r="T139" s="7"/>
      <c r="U139" s="7"/>
      <c r="V139" s="7"/>
      <c r="W139" s="7"/>
      <c r="X139" s="7"/>
      <c r="Y139" s="7"/>
    </row>
    <row r="140" ht="15.75" customHeight="1">
      <c r="T140" s="7"/>
      <c r="U140" s="7"/>
      <c r="V140" s="7"/>
      <c r="W140" s="7"/>
      <c r="X140" s="7"/>
      <c r="Y140" s="7"/>
    </row>
    <row r="141" ht="15.75" customHeight="1">
      <c r="T141" s="7"/>
      <c r="U141" s="7"/>
      <c r="V141" s="7"/>
      <c r="W141" s="7"/>
      <c r="X141" s="7"/>
      <c r="Y141" s="7"/>
    </row>
    <row r="142" ht="15.75" customHeight="1">
      <c r="T142" s="7"/>
      <c r="U142" s="7"/>
      <c r="V142" s="7"/>
      <c r="W142" s="7"/>
      <c r="X142" s="7"/>
      <c r="Y142" s="7"/>
    </row>
    <row r="143" ht="15.75" customHeight="1">
      <c r="T143" s="7"/>
      <c r="U143" s="7"/>
      <c r="V143" s="7"/>
      <c r="W143" s="7"/>
      <c r="X143" s="7"/>
      <c r="Y143" s="7"/>
    </row>
    <row r="144" ht="15.75" customHeight="1">
      <c r="T144" s="7"/>
      <c r="U144" s="7"/>
      <c r="V144" s="7"/>
      <c r="W144" s="7"/>
      <c r="X144" s="7"/>
      <c r="Y144" s="7"/>
    </row>
    <row r="145" ht="15.75" customHeight="1">
      <c r="T145" s="7"/>
      <c r="U145" s="7"/>
      <c r="V145" s="7"/>
      <c r="W145" s="7"/>
      <c r="X145" s="7"/>
      <c r="Y145" s="7"/>
    </row>
    <row r="146" ht="15.75" customHeight="1">
      <c r="T146" s="7"/>
      <c r="U146" s="7"/>
      <c r="V146" s="7"/>
      <c r="W146" s="7"/>
      <c r="X146" s="7"/>
      <c r="Y146" s="7"/>
    </row>
    <row r="147" ht="15.75" customHeight="1">
      <c r="T147" s="7"/>
      <c r="U147" s="7"/>
      <c r="V147" s="7"/>
      <c r="W147" s="7"/>
      <c r="X147" s="7"/>
      <c r="Y147" s="7"/>
    </row>
    <row r="148" ht="15.75" customHeight="1">
      <c r="T148" s="7"/>
      <c r="U148" s="7"/>
      <c r="V148" s="7"/>
      <c r="W148" s="7"/>
      <c r="X148" s="7"/>
      <c r="Y148" s="7"/>
    </row>
    <row r="149" ht="15.75" customHeight="1">
      <c r="T149" s="7"/>
      <c r="U149" s="7"/>
      <c r="V149" s="7"/>
      <c r="W149" s="7"/>
      <c r="X149" s="7"/>
      <c r="Y149" s="7"/>
    </row>
    <row r="150" ht="15.75" customHeight="1">
      <c r="T150" s="7"/>
      <c r="U150" s="7"/>
      <c r="V150" s="7"/>
      <c r="W150" s="7"/>
      <c r="X150" s="7"/>
      <c r="Y150" s="7"/>
    </row>
    <row r="151" ht="15.75" customHeight="1">
      <c r="T151" s="7"/>
      <c r="U151" s="7"/>
      <c r="V151" s="7"/>
      <c r="W151" s="7"/>
      <c r="X151" s="7"/>
      <c r="Y151" s="7"/>
    </row>
    <row r="152" ht="15.75" customHeight="1">
      <c r="T152" s="7"/>
      <c r="U152" s="7"/>
      <c r="V152" s="7"/>
      <c r="W152" s="7"/>
      <c r="X152" s="7"/>
      <c r="Y152" s="7"/>
    </row>
    <row r="153" ht="15.75" customHeight="1">
      <c r="T153" s="7"/>
      <c r="U153" s="7"/>
      <c r="V153" s="7"/>
      <c r="W153" s="7"/>
      <c r="X153" s="7"/>
      <c r="Y153" s="7"/>
    </row>
    <row r="154" ht="15.75" customHeight="1">
      <c r="T154" s="7"/>
      <c r="U154" s="7"/>
      <c r="V154" s="7"/>
      <c r="W154" s="7"/>
      <c r="X154" s="7"/>
      <c r="Y154" s="7"/>
    </row>
    <row r="155" ht="15.75" customHeight="1">
      <c r="T155" s="7"/>
      <c r="U155" s="7"/>
      <c r="V155" s="7"/>
      <c r="W155" s="7"/>
      <c r="X155" s="7"/>
      <c r="Y155" s="7"/>
    </row>
    <row r="156" ht="15.75" customHeight="1">
      <c r="T156" s="7"/>
      <c r="U156" s="7"/>
      <c r="V156" s="7"/>
      <c r="W156" s="7"/>
      <c r="X156" s="7"/>
      <c r="Y156" s="7"/>
    </row>
    <row r="157" ht="15.75" customHeight="1">
      <c r="T157" s="7"/>
      <c r="U157" s="7"/>
      <c r="V157" s="7"/>
      <c r="W157" s="7"/>
      <c r="X157" s="7"/>
      <c r="Y157" s="7"/>
    </row>
    <row r="158" ht="15.75" customHeight="1">
      <c r="T158" s="7"/>
      <c r="U158" s="7"/>
      <c r="V158" s="7"/>
      <c r="W158" s="7"/>
      <c r="X158" s="7"/>
      <c r="Y158" s="7"/>
    </row>
    <row r="159" ht="15.75" customHeight="1">
      <c r="T159" s="7"/>
      <c r="U159" s="7"/>
      <c r="V159" s="7"/>
      <c r="W159" s="7"/>
      <c r="X159" s="7"/>
      <c r="Y159" s="7"/>
    </row>
    <row r="160" ht="15.75" customHeight="1">
      <c r="T160" s="7"/>
      <c r="U160" s="7"/>
      <c r="V160" s="7"/>
      <c r="W160" s="7"/>
      <c r="X160" s="7"/>
      <c r="Y160" s="7"/>
    </row>
    <row r="161" ht="15.75" customHeight="1">
      <c r="T161" s="7"/>
      <c r="U161" s="7"/>
      <c r="V161" s="7"/>
      <c r="W161" s="7"/>
      <c r="X161" s="7"/>
      <c r="Y161" s="7"/>
    </row>
    <row r="162" ht="15.75" customHeight="1">
      <c r="T162" s="7"/>
      <c r="U162" s="7"/>
      <c r="V162" s="7"/>
      <c r="W162" s="7"/>
      <c r="X162" s="7"/>
      <c r="Y162" s="7"/>
    </row>
    <row r="163" ht="15.75" customHeight="1">
      <c r="T163" s="7"/>
      <c r="U163" s="7"/>
      <c r="V163" s="7"/>
      <c r="W163" s="7"/>
      <c r="X163" s="7"/>
      <c r="Y163" s="7"/>
    </row>
    <row r="164" ht="15.75" customHeight="1">
      <c r="T164" s="7"/>
      <c r="U164" s="7"/>
      <c r="V164" s="7"/>
      <c r="W164" s="7"/>
      <c r="X164" s="7"/>
      <c r="Y164" s="7"/>
    </row>
    <row r="165" ht="15.75" customHeight="1">
      <c r="T165" s="7"/>
      <c r="U165" s="7"/>
      <c r="V165" s="7"/>
      <c r="W165" s="7"/>
      <c r="X165" s="7"/>
      <c r="Y165" s="7"/>
    </row>
    <row r="166" ht="15.75" customHeight="1">
      <c r="T166" s="7"/>
      <c r="U166" s="7"/>
      <c r="V166" s="7"/>
      <c r="W166" s="7"/>
      <c r="X166" s="7"/>
      <c r="Y166" s="7"/>
    </row>
    <row r="167" ht="15.75" customHeight="1">
      <c r="T167" s="7"/>
      <c r="U167" s="7"/>
      <c r="V167" s="7"/>
      <c r="W167" s="7"/>
      <c r="X167" s="7"/>
      <c r="Y167" s="7"/>
    </row>
    <row r="168" ht="15.75" customHeight="1">
      <c r="T168" s="7"/>
      <c r="U168" s="7"/>
      <c r="V168" s="7"/>
      <c r="W168" s="7"/>
      <c r="X168" s="7"/>
      <c r="Y168" s="7"/>
    </row>
    <row r="169" ht="15.75" customHeight="1">
      <c r="T169" s="7"/>
      <c r="U169" s="7"/>
      <c r="V169" s="7"/>
      <c r="W169" s="7"/>
      <c r="X169" s="7"/>
      <c r="Y169" s="7"/>
    </row>
    <row r="170" ht="15.75" customHeight="1">
      <c r="T170" s="7"/>
      <c r="U170" s="7"/>
      <c r="V170" s="7"/>
      <c r="W170" s="7"/>
      <c r="X170" s="7"/>
      <c r="Y170" s="7"/>
    </row>
    <row r="171" ht="15.75" customHeight="1">
      <c r="T171" s="7"/>
      <c r="U171" s="7"/>
      <c r="V171" s="7"/>
      <c r="W171" s="7"/>
      <c r="X171" s="7"/>
      <c r="Y171" s="7"/>
    </row>
    <row r="172" ht="15.75" customHeight="1">
      <c r="T172" s="7"/>
      <c r="U172" s="7"/>
      <c r="V172" s="7"/>
      <c r="W172" s="7"/>
      <c r="X172" s="7"/>
      <c r="Y172" s="7"/>
    </row>
    <row r="173" ht="15.75" customHeight="1">
      <c r="T173" s="7"/>
      <c r="U173" s="7"/>
      <c r="V173" s="7"/>
      <c r="W173" s="7"/>
      <c r="X173" s="7"/>
      <c r="Y173" s="7"/>
    </row>
    <row r="174" ht="15.75" customHeight="1">
      <c r="T174" s="7"/>
      <c r="U174" s="7"/>
      <c r="V174" s="7"/>
      <c r="W174" s="7"/>
      <c r="X174" s="7"/>
      <c r="Y174" s="7"/>
    </row>
    <row r="175" ht="15.75" customHeight="1">
      <c r="T175" s="7"/>
      <c r="U175" s="7"/>
      <c r="V175" s="7"/>
      <c r="W175" s="7"/>
      <c r="X175" s="7"/>
      <c r="Y175" s="7"/>
    </row>
    <row r="176" ht="15.75" customHeight="1">
      <c r="T176" s="7"/>
      <c r="U176" s="7"/>
      <c r="V176" s="7"/>
      <c r="W176" s="7"/>
      <c r="X176" s="7"/>
      <c r="Y176" s="7"/>
    </row>
    <row r="177" ht="15.75" customHeight="1">
      <c r="T177" s="7"/>
      <c r="U177" s="7"/>
      <c r="V177" s="7"/>
      <c r="W177" s="7"/>
      <c r="X177" s="7"/>
      <c r="Y177" s="7"/>
    </row>
    <row r="178" ht="15.75" customHeight="1">
      <c r="T178" s="7"/>
      <c r="U178" s="7"/>
      <c r="V178" s="7"/>
      <c r="W178" s="7"/>
      <c r="X178" s="7"/>
      <c r="Y178" s="7"/>
    </row>
    <row r="179" ht="15.75" customHeight="1">
      <c r="T179" s="7"/>
      <c r="U179" s="7"/>
      <c r="V179" s="7"/>
      <c r="W179" s="7"/>
      <c r="X179" s="7"/>
      <c r="Y179" s="7"/>
    </row>
    <row r="180" ht="15.75" customHeight="1">
      <c r="T180" s="7"/>
      <c r="U180" s="7"/>
      <c r="V180" s="7"/>
      <c r="W180" s="7"/>
      <c r="X180" s="7"/>
      <c r="Y180" s="7"/>
    </row>
    <row r="181" ht="15.75" customHeight="1">
      <c r="T181" s="7"/>
      <c r="U181" s="7"/>
      <c r="V181" s="7"/>
      <c r="W181" s="7"/>
      <c r="X181" s="7"/>
      <c r="Y181" s="7"/>
    </row>
    <row r="182" ht="15.75" customHeight="1">
      <c r="T182" s="7"/>
      <c r="U182" s="7"/>
      <c r="V182" s="7"/>
      <c r="W182" s="7"/>
      <c r="X182" s="7"/>
      <c r="Y182" s="7"/>
    </row>
    <row r="183" ht="15.75" customHeight="1">
      <c r="T183" s="7"/>
      <c r="U183" s="7"/>
      <c r="V183" s="7"/>
      <c r="W183" s="7"/>
      <c r="X183" s="7"/>
      <c r="Y183" s="7"/>
    </row>
    <row r="184" ht="15.75" customHeight="1">
      <c r="T184" s="7"/>
      <c r="U184" s="7"/>
      <c r="V184" s="7"/>
      <c r="W184" s="7"/>
      <c r="X184" s="7"/>
      <c r="Y184" s="7"/>
    </row>
    <row r="185" ht="15.75" customHeight="1">
      <c r="T185" s="7"/>
      <c r="U185" s="7"/>
      <c r="V185" s="7"/>
      <c r="W185" s="7"/>
      <c r="X185" s="7"/>
      <c r="Y185" s="7"/>
    </row>
    <row r="186" ht="15.75" customHeight="1">
      <c r="T186" s="7"/>
      <c r="U186" s="7"/>
      <c r="V186" s="7"/>
      <c r="W186" s="7"/>
      <c r="X186" s="7"/>
      <c r="Y186" s="7"/>
    </row>
    <row r="187" ht="15.75" customHeight="1">
      <c r="T187" s="7"/>
      <c r="U187" s="7"/>
      <c r="V187" s="7"/>
      <c r="W187" s="7"/>
      <c r="X187" s="7"/>
      <c r="Y187" s="7"/>
    </row>
    <row r="188" ht="15.75" customHeight="1">
      <c r="T188" s="7"/>
      <c r="U188" s="7"/>
      <c r="V188" s="7"/>
      <c r="W188" s="7"/>
      <c r="X188" s="7"/>
      <c r="Y188" s="7"/>
    </row>
    <row r="189" ht="15.75" customHeight="1">
      <c r="T189" s="7"/>
      <c r="U189" s="7"/>
      <c r="V189" s="7"/>
      <c r="W189" s="7"/>
      <c r="X189" s="7"/>
      <c r="Y189" s="7"/>
    </row>
    <row r="190" ht="15.75" customHeight="1">
      <c r="T190" s="7"/>
      <c r="U190" s="7"/>
      <c r="V190" s="7"/>
      <c r="W190" s="7"/>
      <c r="X190" s="7"/>
      <c r="Y190" s="7"/>
    </row>
    <row r="191" ht="15.75" customHeight="1">
      <c r="T191" s="7"/>
      <c r="U191" s="7"/>
      <c r="V191" s="7"/>
      <c r="W191" s="7"/>
      <c r="X191" s="7"/>
      <c r="Y191" s="7"/>
    </row>
    <row r="192" ht="15.75" customHeight="1">
      <c r="T192" s="7"/>
      <c r="U192" s="7"/>
      <c r="V192" s="7"/>
      <c r="W192" s="7"/>
      <c r="X192" s="7"/>
      <c r="Y192" s="7"/>
    </row>
    <row r="193" ht="15.75" customHeight="1">
      <c r="T193" s="7"/>
      <c r="U193" s="7"/>
      <c r="V193" s="7"/>
      <c r="W193" s="7"/>
      <c r="X193" s="7"/>
      <c r="Y193" s="7"/>
    </row>
    <row r="194" ht="15.75" customHeight="1">
      <c r="T194" s="7"/>
      <c r="U194" s="7"/>
      <c r="V194" s="7"/>
      <c r="W194" s="7"/>
      <c r="X194" s="7"/>
      <c r="Y194" s="7"/>
    </row>
    <row r="195" ht="15.75" customHeight="1">
      <c r="T195" s="7"/>
      <c r="U195" s="7"/>
      <c r="V195" s="7"/>
      <c r="W195" s="7"/>
      <c r="X195" s="7"/>
      <c r="Y195" s="7"/>
    </row>
    <row r="196" ht="15.75" customHeight="1">
      <c r="T196" s="7"/>
      <c r="U196" s="7"/>
      <c r="V196" s="7"/>
      <c r="W196" s="7"/>
      <c r="X196" s="7"/>
      <c r="Y196" s="7"/>
    </row>
    <row r="197" ht="15.75" customHeight="1">
      <c r="T197" s="7"/>
      <c r="U197" s="7"/>
      <c r="V197" s="7"/>
      <c r="W197" s="7"/>
      <c r="X197" s="7"/>
      <c r="Y197" s="7"/>
    </row>
    <row r="198" ht="15.75" customHeight="1">
      <c r="T198" s="7"/>
      <c r="U198" s="7"/>
      <c r="V198" s="7"/>
      <c r="W198" s="7"/>
      <c r="X198" s="7"/>
      <c r="Y198" s="7"/>
    </row>
    <row r="199" ht="15.75" customHeight="1">
      <c r="T199" s="7"/>
      <c r="U199" s="7"/>
      <c r="V199" s="7"/>
      <c r="W199" s="7"/>
      <c r="X199" s="7"/>
      <c r="Y199" s="7"/>
    </row>
    <row r="200" ht="15.75" customHeight="1">
      <c r="T200" s="7"/>
      <c r="U200" s="7"/>
      <c r="V200" s="7"/>
      <c r="W200" s="7"/>
      <c r="X200" s="7"/>
      <c r="Y200" s="7"/>
    </row>
    <row r="201" ht="15.75" customHeight="1">
      <c r="T201" s="7"/>
      <c r="U201" s="7"/>
      <c r="V201" s="7"/>
      <c r="W201" s="7"/>
      <c r="X201" s="7"/>
      <c r="Y201" s="7"/>
    </row>
    <row r="202" ht="15.75" customHeight="1">
      <c r="T202" s="7"/>
      <c r="U202" s="7"/>
      <c r="V202" s="7"/>
      <c r="W202" s="7"/>
      <c r="X202" s="7"/>
      <c r="Y202" s="7"/>
    </row>
    <row r="203" ht="15.75" customHeight="1">
      <c r="T203" s="7"/>
      <c r="U203" s="7"/>
      <c r="V203" s="7"/>
      <c r="W203" s="7"/>
      <c r="X203" s="7"/>
      <c r="Y203" s="7"/>
    </row>
    <row r="204" ht="15.75" customHeight="1">
      <c r="T204" s="7"/>
      <c r="U204" s="7"/>
      <c r="V204" s="7"/>
      <c r="W204" s="7"/>
      <c r="X204" s="7"/>
      <c r="Y204" s="7"/>
    </row>
    <row r="205" ht="15.75" customHeight="1">
      <c r="T205" s="7"/>
      <c r="U205" s="7"/>
      <c r="V205" s="7"/>
      <c r="W205" s="7"/>
      <c r="X205" s="7"/>
      <c r="Y205" s="7"/>
    </row>
    <row r="206" ht="15.75" customHeight="1">
      <c r="T206" s="7"/>
      <c r="U206" s="7"/>
      <c r="V206" s="7"/>
      <c r="W206" s="7"/>
      <c r="X206" s="7"/>
      <c r="Y206" s="7"/>
    </row>
    <row r="207" ht="15.75" customHeight="1">
      <c r="T207" s="7"/>
      <c r="U207" s="7"/>
      <c r="V207" s="7"/>
      <c r="W207" s="7"/>
      <c r="X207" s="7"/>
      <c r="Y207" s="7"/>
    </row>
    <row r="208" ht="15.75" customHeight="1">
      <c r="T208" s="7"/>
      <c r="U208" s="7"/>
      <c r="V208" s="7"/>
      <c r="W208" s="7"/>
      <c r="X208" s="7"/>
      <c r="Y208" s="7"/>
    </row>
    <row r="209" ht="15.75" customHeight="1">
      <c r="T209" s="7"/>
      <c r="U209" s="7"/>
      <c r="V209" s="7"/>
      <c r="W209" s="7"/>
      <c r="X209" s="7"/>
      <c r="Y209" s="7"/>
    </row>
    <row r="210" ht="15.75" customHeight="1">
      <c r="T210" s="7"/>
      <c r="U210" s="7"/>
      <c r="V210" s="7"/>
      <c r="W210" s="7"/>
      <c r="X210" s="7"/>
      <c r="Y210" s="7"/>
    </row>
    <row r="211" ht="15.75" customHeight="1">
      <c r="T211" s="7"/>
      <c r="U211" s="7"/>
      <c r="V211" s="7"/>
      <c r="W211" s="7"/>
      <c r="X211" s="7"/>
      <c r="Y211" s="7"/>
    </row>
    <row r="212" ht="15.75" customHeight="1">
      <c r="T212" s="7"/>
      <c r="U212" s="7"/>
      <c r="V212" s="7"/>
      <c r="W212" s="7"/>
      <c r="X212" s="7"/>
      <c r="Y212" s="7"/>
    </row>
    <row r="213" ht="15.75" customHeight="1">
      <c r="T213" s="7"/>
      <c r="U213" s="7"/>
      <c r="V213" s="7"/>
      <c r="W213" s="7"/>
      <c r="X213" s="7"/>
      <c r="Y213" s="7"/>
    </row>
    <row r="214" ht="15.75" customHeight="1">
      <c r="T214" s="7"/>
      <c r="U214" s="7"/>
      <c r="V214" s="7"/>
      <c r="W214" s="7"/>
      <c r="X214" s="7"/>
      <c r="Y214" s="7"/>
    </row>
    <row r="215" ht="15.75" customHeight="1">
      <c r="T215" s="7"/>
      <c r="U215" s="7"/>
      <c r="V215" s="7"/>
      <c r="W215" s="7"/>
      <c r="X215" s="7"/>
      <c r="Y215" s="7"/>
    </row>
    <row r="216" ht="15.75" customHeight="1">
      <c r="T216" s="7"/>
      <c r="U216" s="7"/>
      <c r="V216" s="7"/>
      <c r="W216" s="7"/>
      <c r="X216" s="7"/>
      <c r="Y216" s="7"/>
    </row>
    <row r="217" ht="15.75" customHeight="1">
      <c r="T217" s="7"/>
      <c r="U217" s="7"/>
      <c r="V217" s="7"/>
      <c r="W217" s="7"/>
      <c r="X217" s="7"/>
      <c r="Y217" s="7"/>
    </row>
    <row r="218" ht="15.75" customHeight="1">
      <c r="T218" s="7"/>
      <c r="U218" s="7"/>
      <c r="V218" s="7"/>
      <c r="W218" s="7"/>
      <c r="X218" s="7"/>
      <c r="Y218" s="7"/>
    </row>
    <row r="219" ht="15.75" customHeight="1">
      <c r="T219" s="7"/>
      <c r="U219" s="7"/>
      <c r="V219" s="7"/>
      <c r="W219" s="7"/>
      <c r="X219" s="7"/>
      <c r="Y219" s="7"/>
    </row>
    <row r="220" ht="15.75" customHeight="1">
      <c r="T220" s="7"/>
      <c r="U220" s="7"/>
      <c r="V220" s="7"/>
      <c r="W220" s="7"/>
      <c r="X220" s="7"/>
      <c r="Y220" s="7"/>
    </row>
    <row r="221" ht="15.75" customHeight="1">
      <c r="T221" s="7"/>
      <c r="U221" s="7"/>
      <c r="V221" s="7"/>
      <c r="W221" s="7"/>
      <c r="X221" s="7"/>
      <c r="Y221" s="7"/>
    </row>
    <row r="222" ht="15.75" customHeight="1">
      <c r="T222" s="7"/>
      <c r="U222" s="7"/>
      <c r="V222" s="7"/>
      <c r="W222" s="7"/>
      <c r="X222" s="7"/>
      <c r="Y222" s="7"/>
    </row>
    <row r="223" ht="15.75" customHeight="1">
      <c r="T223" s="7"/>
      <c r="U223" s="7"/>
      <c r="V223" s="7"/>
      <c r="W223" s="7"/>
      <c r="X223" s="7"/>
      <c r="Y223" s="7"/>
    </row>
    <row r="224" ht="15.75" customHeight="1">
      <c r="T224" s="7"/>
      <c r="U224" s="7"/>
      <c r="V224" s="7"/>
      <c r="W224" s="7"/>
      <c r="X224" s="7"/>
      <c r="Y224" s="7"/>
    </row>
    <row r="225" ht="15.75" customHeight="1">
      <c r="T225" s="7"/>
      <c r="U225" s="7"/>
      <c r="V225" s="7"/>
      <c r="W225" s="7"/>
      <c r="X225" s="7"/>
      <c r="Y225" s="7"/>
    </row>
    <row r="226" ht="15.75" customHeight="1">
      <c r="T226" s="7"/>
      <c r="U226" s="7"/>
      <c r="V226" s="7"/>
      <c r="W226" s="7"/>
      <c r="X226" s="7"/>
      <c r="Y226" s="7"/>
    </row>
    <row r="227" ht="15.75" customHeight="1">
      <c r="T227" s="7"/>
      <c r="U227" s="7"/>
      <c r="V227" s="7"/>
      <c r="W227" s="7"/>
      <c r="X227" s="7"/>
      <c r="Y227" s="7"/>
    </row>
    <row r="228" ht="15.75" customHeight="1">
      <c r="T228" s="7"/>
      <c r="U228" s="7"/>
      <c r="V228" s="7"/>
      <c r="W228" s="7"/>
      <c r="X228" s="7"/>
      <c r="Y228" s="7"/>
    </row>
    <row r="229" ht="15.75" customHeight="1">
      <c r="T229" s="7"/>
      <c r="U229" s="7"/>
      <c r="V229" s="7"/>
      <c r="W229" s="7"/>
      <c r="X229" s="7"/>
      <c r="Y229" s="7"/>
    </row>
    <row r="230" ht="15.75" customHeight="1">
      <c r="T230" s="7"/>
      <c r="U230" s="7"/>
      <c r="V230" s="7"/>
      <c r="W230" s="7"/>
      <c r="X230" s="7"/>
      <c r="Y230" s="7"/>
    </row>
    <row r="231" ht="15.75" customHeight="1">
      <c r="T231" s="7"/>
      <c r="U231" s="7"/>
      <c r="V231" s="7"/>
      <c r="W231" s="7"/>
      <c r="X231" s="7"/>
      <c r="Y231" s="7"/>
    </row>
    <row r="232" ht="15.75" customHeight="1">
      <c r="T232" s="7"/>
      <c r="U232" s="7"/>
      <c r="V232" s="7"/>
      <c r="W232" s="7"/>
      <c r="X232" s="7"/>
      <c r="Y232" s="7"/>
    </row>
    <row r="233" ht="15.75" customHeight="1">
      <c r="T233" s="7"/>
      <c r="U233" s="7"/>
      <c r="V233" s="7"/>
      <c r="W233" s="7"/>
      <c r="X233" s="7"/>
      <c r="Y233" s="7"/>
    </row>
    <row r="234" ht="15.75" customHeight="1">
      <c r="T234" s="7"/>
      <c r="U234" s="7"/>
      <c r="V234" s="7"/>
      <c r="W234" s="7"/>
      <c r="X234" s="7"/>
      <c r="Y234" s="7"/>
    </row>
    <row r="235" ht="15.75" customHeight="1">
      <c r="T235" s="7"/>
      <c r="U235" s="7"/>
      <c r="V235" s="7"/>
      <c r="W235" s="7"/>
      <c r="X235" s="7"/>
      <c r="Y235" s="7"/>
    </row>
    <row r="236" ht="15.75" customHeight="1">
      <c r="T236" s="7"/>
      <c r="U236" s="7"/>
      <c r="V236" s="7"/>
      <c r="W236" s="7"/>
      <c r="X236" s="7"/>
      <c r="Y236" s="7"/>
    </row>
    <row r="237" ht="15.75" customHeight="1">
      <c r="T237" s="7"/>
      <c r="U237" s="7"/>
      <c r="V237" s="7"/>
      <c r="W237" s="7"/>
      <c r="X237" s="7"/>
      <c r="Y237" s="7"/>
    </row>
    <row r="238" ht="15.75" customHeight="1">
      <c r="T238" s="7"/>
      <c r="U238" s="7"/>
      <c r="V238" s="7"/>
      <c r="W238" s="7"/>
      <c r="X238" s="7"/>
      <c r="Y238" s="7"/>
    </row>
    <row r="239" ht="15.75" customHeight="1">
      <c r="T239" s="7"/>
      <c r="U239" s="7"/>
      <c r="V239" s="7"/>
      <c r="W239" s="7"/>
      <c r="X239" s="7"/>
      <c r="Y239" s="7"/>
    </row>
    <row r="240" ht="15.75" customHeight="1">
      <c r="T240" s="7"/>
      <c r="U240" s="7"/>
      <c r="V240" s="7"/>
      <c r="W240" s="7"/>
      <c r="X240" s="7"/>
      <c r="Y240" s="7"/>
    </row>
    <row r="241" ht="15.75" customHeight="1">
      <c r="T241" s="7"/>
      <c r="U241" s="7"/>
      <c r="V241" s="7"/>
      <c r="W241" s="7"/>
      <c r="X241" s="7"/>
      <c r="Y241" s="7"/>
    </row>
    <row r="242" ht="15.75" customHeight="1">
      <c r="T242" s="7"/>
      <c r="U242" s="7"/>
      <c r="V242" s="7"/>
      <c r="W242" s="7"/>
      <c r="X242" s="7"/>
      <c r="Y242" s="7"/>
    </row>
    <row r="243" ht="15.75" customHeight="1">
      <c r="T243" s="7"/>
      <c r="U243" s="7"/>
      <c r="V243" s="7"/>
      <c r="W243" s="7"/>
      <c r="X243" s="7"/>
      <c r="Y243" s="7"/>
    </row>
    <row r="244" ht="15.75" customHeight="1">
      <c r="T244" s="7"/>
      <c r="U244" s="7"/>
      <c r="V244" s="7"/>
      <c r="W244" s="7"/>
      <c r="X244" s="7"/>
      <c r="Y244" s="7"/>
    </row>
    <row r="245" ht="15.75" customHeight="1">
      <c r="T245" s="7"/>
      <c r="U245" s="7"/>
      <c r="V245" s="7"/>
      <c r="W245" s="7"/>
      <c r="X245" s="7"/>
      <c r="Y245" s="7"/>
    </row>
    <row r="246" ht="15.75" customHeight="1">
      <c r="T246" s="7"/>
      <c r="U246" s="7"/>
      <c r="V246" s="7"/>
      <c r="W246" s="7"/>
      <c r="X246" s="7"/>
      <c r="Y246" s="7"/>
    </row>
    <row r="247" ht="15.75" customHeight="1">
      <c r="T247" s="7"/>
      <c r="U247" s="7"/>
      <c r="V247" s="7"/>
      <c r="W247" s="7"/>
      <c r="X247" s="7"/>
      <c r="Y247" s="7"/>
    </row>
    <row r="248" ht="15.75" customHeight="1">
      <c r="T248" s="7"/>
      <c r="U248" s="7"/>
      <c r="V248" s="7"/>
      <c r="W248" s="7"/>
      <c r="X248" s="7"/>
      <c r="Y248" s="7"/>
    </row>
    <row r="249" ht="15.75" customHeight="1">
      <c r="T249" s="7"/>
      <c r="U249" s="7"/>
      <c r="V249" s="7"/>
      <c r="W249" s="7"/>
      <c r="X249" s="7"/>
      <c r="Y249" s="7"/>
    </row>
    <row r="250" ht="15.75" customHeight="1">
      <c r="T250" s="7"/>
      <c r="U250" s="7"/>
      <c r="V250" s="7"/>
      <c r="W250" s="7"/>
      <c r="X250" s="7"/>
      <c r="Y250" s="7"/>
    </row>
    <row r="251" ht="15.75" customHeight="1">
      <c r="T251" s="7"/>
      <c r="U251" s="7"/>
      <c r="V251" s="7"/>
      <c r="W251" s="7"/>
      <c r="X251" s="7"/>
      <c r="Y251" s="7"/>
    </row>
    <row r="252" ht="15.75" customHeight="1">
      <c r="T252" s="7"/>
      <c r="U252" s="7"/>
      <c r="V252" s="7"/>
      <c r="W252" s="7"/>
      <c r="X252" s="7"/>
      <c r="Y252" s="7"/>
    </row>
    <row r="253" ht="15.75" customHeight="1">
      <c r="T253" s="7"/>
      <c r="U253" s="7"/>
      <c r="V253" s="7"/>
      <c r="W253" s="7"/>
      <c r="X253" s="7"/>
      <c r="Y253" s="7"/>
    </row>
    <row r="254" ht="15.75" customHeight="1">
      <c r="T254" s="7"/>
      <c r="U254" s="7"/>
      <c r="V254" s="7"/>
      <c r="W254" s="7"/>
      <c r="X254" s="7"/>
      <c r="Y254" s="7"/>
    </row>
    <row r="255" ht="15.75" customHeight="1">
      <c r="T255" s="7"/>
      <c r="U255" s="7"/>
      <c r="V255" s="7"/>
      <c r="W255" s="7"/>
      <c r="X255" s="7"/>
      <c r="Y255" s="7"/>
    </row>
    <row r="256" ht="15.75" customHeight="1">
      <c r="T256" s="7"/>
      <c r="U256" s="7"/>
      <c r="V256" s="7"/>
      <c r="W256" s="7"/>
      <c r="X256" s="7"/>
      <c r="Y256" s="7"/>
    </row>
    <row r="257" ht="15.75" customHeight="1">
      <c r="T257" s="7"/>
      <c r="U257" s="7"/>
      <c r="V257" s="7"/>
      <c r="W257" s="7"/>
      <c r="X257" s="7"/>
      <c r="Y257" s="7"/>
    </row>
    <row r="258" ht="15.75" customHeight="1">
      <c r="T258" s="7"/>
      <c r="U258" s="7"/>
      <c r="V258" s="7"/>
      <c r="W258" s="7"/>
      <c r="X258" s="7"/>
      <c r="Y258" s="7"/>
    </row>
    <row r="259" ht="15.75" customHeight="1">
      <c r="T259" s="7"/>
      <c r="U259" s="7"/>
      <c r="V259" s="7"/>
      <c r="W259" s="7"/>
      <c r="X259" s="7"/>
      <c r="Y259" s="7"/>
    </row>
    <row r="260" ht="15.75" customHeight="1">
      <c r="T260" s="7"/>
      <c r="U260" s="7"/>
      <c r="V260" s="7"/>
      <c r="W260" s="7"/>
      <c r="X260" s="7"/>
      <c r="Y260" s="7"/>
    </row>
    <row r="261" ht="15.75" customHeight="1">
      <c r="T261" s="7"/>
      <c r="U261" s="7"/>
      <c r="V261" s="7"/>
      <c r="W261" s="7"/>
      <c r="X261" s="7"/>
      <c r="Y261" s="7"/>
    </row>
    <row r="262" ht="15.75" customHeight="1">
      <c r="T262" s="7"/>
      <c r="U262" s="7"/>
      <c r="V262" s="7"/>
      <c r="W262" s="7"/>
      <c r="X262" s="7"/>
      <c r="Y262" s="7"/>
    </row>
    <row r="263" ht="15.75" customHeight="1">
      <c r="T263" s="7"/>
      <c r="U263" s="7"/>
      <c r="V263" s="7"/>
      <c r="W263" s="7"/>
      <c r="X263" s="7"/>
      <c r="Y263" s="7"/>
    </row>
    <row r="264" ht="15.75" customHeight="1">
      <c r="T264" s="7"/>
      <c r="U264" s="7"/>
      <c r="V264" s="7"/>
      <c r="W264" s="7"/>
      <c r="X264" s="7"/>
      <c r="Y264" s="7"/>
    </row>
    <row r="265" ht="15.75" customHeight="1">
      <c r="T265" s="7"/>
      <c r="U265" s="7"/>
      <c r="V265" s="7"/>
      <c r="W265" s="7"/>
      <c r="X265" s="7"/>
      <c r="Y265" s="7"/>
    </row>
    <row r="266" ht="15.75" customHeight="1">
      <c r="T266" s="7"/>
      <c r="U266" s="7"/>
      <c r="V266" s="7"/>
      <c r="W266" s="7"/>
      <c r="X266" s="7"/>
      <c r="Y266" s="7"/>
    </row>
    <row r="267" ht="15.75" customHeight="1">
      <c r="T267" s="7"/>
      <c r="U267" s="7"/>
      <c r="V267" s="7"/>
      <c r="W267" s="7"/>
      <c r="X267" s="7"/>
      <c r="Y267" s="7"/>
    </row>
    <row r="268" ht="15.75" customHeight="1">
      <c r="T268" s="7"/>
      <c r="U268" s="7"/>
      <c r="V268" s="7"/>
      <c r="W268" s="7"/>
      <c r="X268" s="7"/>
      <c r="Y268" s="7"/>
    </row>
    <row r="269" ht="15.75" customHeight="1">
      <c r="T269" s="7"/>
      <c r="U269" s="7"/>
      <c r="V269" s="7"/>
      <c r="W269" s="7"/>
      <c r="X269" s="7"/>
      <c r="Y269" s="7"/>
    </row>
    <row r="270" ht="15.75" customHeight="1">
      <c r="T270" s="7"/>
      <c r="U270" s="7"/>
      <c r="V270" s="7"/>
      <c r="W270" s="7"/>
      <c r="X270" s="7"/>
      <c r="Y270" s="7"/>
    </row>
    <row r="271" ht="15.75" customHeight="1">
      <c r="T271" s="7"/>
      <c r="U271" s="7"/>
      <c r="V271" s="7"/>
      <c r="W271" s="7"/>
      <c r="X271" s="7"/>
      <c r="Y271" s="7"/>
    </row>
    <row r="272" ht="15.75" customHeight="1">
      <c r="T272" s="7"/>
      <c r="U272" s="7"/>
      <c r="V272" s="7"/>
      <c r="W272" s="7"/>
      <c r="X272" s="7"/>
      <c r="Y272" s="7"/>
    </row>
    <row r="273" ht="15.75" customHeight="1">
      <c r="T273" s="7"/>
      <c r="U273" s="7"/>
      <c r="V273" s="7"/>
      <c r="W273" s="7"/>
      <c r="X273" s="7"/>
      <c r="Y273" s="7"/>
    </row>
    <row r="274" ht="15.75" customHeight="1">
      <c r="T274" s="7"/>
      <c r="U274" s="7"/>
      <c r="V274" s="7"/>
      <c r="W274" s="7"/>
      <c r="X274" s="7"/>
      <c r="Y274" s="7"/>
    </row>
    <row r="275" ht="15.75" customHeight="1">
      <c r="T275" s="7"/>
      <c r="U275" s="7"/>
      <c r="V275" s="7"/>
      <c r="W275" s="7"/>
      <c r="X275" s="7"/>
      <c r="Y275" s="7"/>
    </row>
    <row r="276" ht="15.75" customHeight="1">
      <c r="T276" s="7"/>
      <c r="U276" s="7"/>
      <c r="V276" s="7"/>
      <c r="W276" s="7"/>
      <c r="X276" s="7"/>
      <c r="Y276" s="7"/>
    </row>
    <row r="277" ht="15.75" customHeight="1">
      <c r="T277" s="7"/>
      <c r="U277" s="7"/>
      <c r="V277" s="7"/>
      <c r="W277" s="7"/>
      <c r="X277" s="7"/>
      <c r="Y277" s="7"/>
    </row>
    <row r="278" ht="15.75" customHeight="1">
      <c r="T278" s="7"/>
      <c r="U278" s="7"/>
      <c r="V278" s="7"/>
      <c r="W278" s="7"/>
      <c r="X278" s="7"/>
      <c r="Y278" s="7"/>
    </row>
    <row r="279" ht="15.75" customHeight="1">
      <c r="T279" s="7"/>
      <c r="U279" s="7"/>
      <c r="V279" s="7"/>
      <c r="W279" s="7"/>
      <c r="X279" s="7"/>
      <c r="Y279" s="7"/>
    </row>
    <row r="280" ht="15.75" customHeight="1">
      <c r="T280" s="7"/>
      <c r="U280" s="7"/>
      <c r="V280" s="7"/>
      <c r="W280" s="7"/>
      <c r="X280" s="7"/>
      <c r="Y280" s="7"/>
    </row>
    <row r="281" ht="15.75" customHeight="1">
      <c r="T281" s="7"/>
      <c r="U281" s="7"/>
      <c r="V281" s="7"/>
      <c r="W281" s="7"/>
      <c r="X281" s="7"/>
      <c r="Y281" s="7"/>
    </row>
    <row r="282" ht="15.75" customHeight="1">
      <c r="T282" s="7"/>
      <c r="U282" s="7"/>
      <c r="V282" s="7"/>
      <c r="W282" s="7"/>
      <c r="X282" s="7"/>
      <c r="Y282" s="7"/>
    </row>
    <row r="283" ht="15.75" customHeight="1">
      <c r="T283" s="7"/>
      <c r="U283" s="7"/>
      <c r="V283" s="7"/>
      <c r="W283" s="7"/>
      <c r="X283" s="7"/>
      <c r="Y283" s="7"/>
    </row>
    <row r="284" ht="15.75" customHeight="1">
      <c r="T284" s="7"/>
      <c r="U284" s="7"/>
      <c r="V284" s="7"/>
      <c r="W284" s="7"/>
      <c r="X284" s="7"/>
      <c r="Y284" s="7"/>
    </row>
    <row r="285" ht="15.75" customHeight="1">
      <c r="T285" s="7"/>
      <c r="U285" s="7"/>
      <c r="V285" s="7"/>
      <c r="W285" s="7"/>
      <c r="X285" s="7"/>
      <c r="Y285" s="7"/>
    </row>
    <row r="286" ht="15.75" customHeight="1">
      <c r="T286" s="7"/>
      <c r="U286" s="7"/>
      <c r="V286" s="7"/>
      <c r="W286" s="7"/>
      <c r="X286" s="7"/>
      <c r="Y286" s="7"/>
    </row>
    <row r="287" ht="15.75" customHeight="1">
      <c r="T287" s="7"/>
      <c r="U287" s="7"/>
      <c r="V287" s="7"/>
      <c r="W287" s="7"/>
      <c r="X287" s="7"/>
      <c r="Y287" s="7"/>
    </row>
    <row r="288" ht="15.75" customHeight="1">
      <c r="T288" s="7"/>
      <c r="U288" s="7"/>
      <c r="V288" s="7"/>
      <c r="W288" s="7"/>
      <c r="X288" s="7"/>
      <c r="Y288" s="7"/>
    </row>
    <row r="289" ht="15.75" customHeight="1">
      <c r="T289" s="7"/>
      <c r="U289" s="7"/>
      <c r="V289" s="7"/>
      <c r="W289" s="7"/>
      <c r="X289" s="7"/>
      <c r="Y289" s="7"/>
    </row>
    <row r="290" ht="15.75" customHeight="1">
      <c r="T290" s="7"/>
      <c r="U290" s="7"/>
      <c r="V290" s="7"/>
      <c r="W290" s="7"/>
      <c r="X290" s="7"/>
      <c r="Y290" s="7"/>
    </row>
    <row r="291" ht="15.75" customHeight="1">
      <c r="T291" s="7"/>
      <c r="U291" s="7"/>
      <c r="V291" s="7"/>
      <c r="W291" s="7"/>
      <c r="X291" s="7"/>
      <c r="Y291" s="7"/>
    </row>
    <row r="292" ht="15.75" customHeight="1">
      <c r="T292" s="7"/>
      <c r="U292" s="7"/>
      <c r="V292" s="7"/>
      <c r="W292" s="7"/>
      <c r="X292" s="7"/>
      <c r="Y292" s="7"/>
    </row>
    <row r="293" ht="15.75" customHeight="1">
      <c r="T293" s="7"/>
      <c r="U293" s="7"/>
      <c r="V293" s="7"/>
      <c r="W293" s="7"/>
      <c r="X293" s="7"/>
      <c r="Y293" s="7"/>
    </row>
    <row r="294" ht="15.75" customHeight="1">
      <c r="T294" s="7"/>
      <c r="U294" s="7"/>
      <c r="V294" s="7"/>
      <c r="W294" s="7"/>
      <c r="X294" s="7"/>
      <c r="Y294" s="7"/>
    </row>
    <row r="295" ht="15.75" customHeight="1">
      <c r="T295" s="7"/>
      <c r="U295" s="7"/>
      <c r="V295" s="7"/>
      <c r="W295" s="7"/>
      <c r="X295" s="7"/>
      <c r="Y295" s="7"/>
    </row>
    <row r="296" ht="15.75" customHeight="1">
      <c r="T296" s="7"/>
      <c r="U296" s="7"/>
      <c r="V296" s="7"/>
      <c r="W296" s="7"/>
      <c r="X296" s="7"/>
      <c r="Y296" s="7"/>
    </row>
    <row r="297" ht="15.75" customHeight="1">
      <c r="T297" s="7"/>
      <c r="U297" s="7"/>
      <c r="V297" s="7"/>
      <c r="W297" s="7"/>
      <c r="X297" s="7"/>
      <c r="Y297" s="7"/>
    </row>
    <row r="298" ht="15.75" customHeight="1">
      <c r="T298" s="7"/>
      <c r="U298" s="7"/>
      <c r="V298" s="7"/>
      <c r="W298" s="7"/>
      <c r="X298" s="7"/>
      <c r="Y298" s="7"/>
    </row>
    <row r="299" ht="15.75" customHeight="1">
      <c r="T299" s="7"/>
      <c r="U299" s="7"/>
      <c r="V299" s="7"/>
      <c r="W299" s="7"/>
      <c r="X299" s="7"/>
      <c r="Y299" s="7"/>
    </row>
    <row r="300" ht="15.75" customHeight="1">
      <c r="T300" s="7"/>
      <c r="U300" s="7"/>
      <c r="V300" s="7"/>
      <c r="W300" s="7"/>
      <c r="X300" s="7"/>
      <c r="Y300" s="7"/>
    </row>
    <row r="301" ht="15.75" customHeight="1">
      <c r="T301" s="7"/>
      <c r="U301" s="7"/>
      <c r="V301" s="7"/>
      <c r="W301" s="7"/>
      <c r="X301" s="7"/>
      <c r="Y301" s="7"/>
    </row>
    <row r="302" ht="15.75" customHeight="1">
      <c r="T302" s="7"/>
      <c r="U302" s="7"/>
      <c r="V302" s="7"/>
      <c r="W302" s="7"/>
      <c r="X302" s="7"/>
      <c r="Y302" s="7"/>
    </row>
    <row r="303" ht="15.75" customHeight="1">
      <c r="T303" s="7"/>
      <c r="U303" s="7"/>
      <c r="V303" s="7"/>
      <c r="W303" s="7"/>
      <c r="X303" s="7"/>
      <c r="Y303" s="7"/>
    </row>
    <row r="304" ht="15.75" customHeight="1">
      <c r="T304" s="7"/>
      <c r="U304" s="7"/>
      <c r="V304" s="7"/>
      <c r="W304" s="7"/>
      <c r="X304" s="7"/>
      <c r="Y304" s="7"/>
    </row>
    <row r="305" ht="15.75" customHeight="1">
      <c r="T305" s="7"/>
      <c r="U305" s="7"/>
      <c r="V305" s="7"/>
      <c r="W305" s="7"/>
      <c r="X305" s="7"/>
      <c r="Y305" s="7"/>
    </row>
    <row r="306" ht="15.75" customHeight="1">
      <c r="T306" s="7"/>
      <c r="U306" s="7"/>
      <c r="V306" s="7"/>
      <c r="W306" s="7"/>
      <c r="X306" s="7"/>
      <c r="Y306" s="7"/>
    </row>
    <row r="307" ht="15.75" customHeight="1">
      <c r="T307" s="7"/>
      <c r="U307" s="7"/>
      <c r="V307" s="7"/>
      <c r="W307" s="7"/>
      <c r="X307" s="7"/>
      <c r="Y307" s="7"/>
    </row>
    <row r="308" ht="15.75" customHeight="1">
      <c r="T308" s="7"/>
      <c r="U308" s="7"/>
      <c r="V308" s="7"/>
      <c r="W308" s="7"/>
      <c r="X308" s="7"/>
      <c r="Y308" s="7"/>
    </row>
    <row r="309" ht="15.75" customHeight="1">
      <c r="T309" s="7"/>
      <c r="U309" s="7"/>
      <c r="V309" s="7"/>
      <c r="W309" s="7"/>
      <c r="X309" s="7"/>
      <c r="Y309" s="7"/>
    </row>
    <row r="310" ht="15.75" customHeight="1">
      <c r="T310" s="7"/>
      <c r="U310" s="7"/>
      <c r="V310" s="7"/>
      <c r="W310" s="7"/>
      <c r="X310" s="7"/>
      <c r="Y310" s="7"/>
    </row>
    <row r="311" ht="15.75" customHeight="1">
      <c r="T311" s="7"/>
      <c r="U311" s="7"/>
      <c r="V311" s="7"/>
      <c r="W311" s="7"/>
      <c r="X311" s="7"/>
      <c r="Y311" s="7"/>
    </row>
    <row r="312" ht="15.75" customHeight="1">
      <c r="T312" s="7"/>
      <c r="U312" s="7"/>
      <c r="V312" s="7"/>
      <c r="W312" s="7"/>
      <c r="X312" s="7"/>
      <c r="Y312" s="7"/>
    </row>
    <row r="313" ht="15.75" customHeight="1">
      <c r="T313" s="7"/>
      <c r="U313" s="7"/>
      <c r="V313" s="7"/>
      <c r="W313" s="7"/>
      <c r="X313" s="7"/>
      <c r="Y313" s="7"/>
    </row>
    <row r="314" ht="15.75" customHeight="1">
      <c r="T314" s="7"/>
      <c r="U314" s="7"/>
      <c r="V314" s="7"/>
      <c r="W314" s="7"/>
      <c r="X314" s="7"/>
      <c r="Y314" s="7"/>
    </row>
    <row r="315" ht="15.75" customHeight="1">
      <c r="T315" s="7"/>
      <c r="U315" s="7"/>
      <c r="V315" s="7"/>
      <c r="W315" s="7"/>
      <c r="X315" s="7"/>
      <c r="Y315" s="7"/>
    </row>
    <row r="316" ht="15.75" customHeight="1">
      <c r="T316" s="7"/>
      <c r="U316" s="7"/>
      <c r="V316" s="7"/>
      <c r="W316" s="7"/>
      <c r="X316" s="7"/>
      <c r="Y316" s="7"/>
    </row>
    <row r="317" ht="15.75" customHeight="1">
      <c r="T317" s="7"/>
      <c r="U317" s="7"/>
      <c r="V317" s="7"/>
      <c r="W317" s="7"/>
      <c r="X317" s="7"/>
      <c r="Y317" s="7"/>
    </row>
    <row r="318" ht="15.75" customHeight="1">
      <c r="T318" s="7"/>
      <c r="U318" s="7"/>
      <c r="V318" s="7"/>
      <c r="W318" s="7"/>
      <c r="X318" s="7"/>
      <c r="Y318" s="7"/>
    </row>
    <row r="319" ht="15.75" customHeight="1">
      <c r="T319" s="7"/>
      <c r="U319" s="7"/>
      <c r="V319" s="7"/>
      <c r="W319" s="7"/>
      <c r="X319" s="7"/>
      <c r="Y319" s="7"/>
    </row>
    <row r="320" ht="15.75" customHeight="1">
      <c r="T320" s="7"/>
      <c r="U320" s="7"/>
      <c r="V320" s="7"/>
      <c r="W320" s="7"/>
      <c r="X320" s="7"/>
      <c r="Y320" s="7"/>
    </row>
    <row r="321" ht="15.75" customHeight="1">
      <c r="T321" s="7"/>
      <c r="U321" s="7"/>
      <c r="V321" s="7"/>
      <c r="W321" s="7"/>
      <c r="X321" s="7"/>
      <c r="Y321" s="7"/>
    </row>
    <row r="322" ht="15.75" customHeight="1">
      <c r="T322" s="7"/>
      <c r="U322" s="7"/>
      <c r="V322" s="7"/>
      <c r="W322" s="7"/>
      <c r="X322" s="7"/>
      <c r="Y322" s="7"/>
    </row>
    <row r="323" ht="15.75" customHeight="1">
      <c r="T323" s="7"/>
      <c r="U323" s="7"/>
      <c r="V323" s="7"/>
      <c r="W323" s="7"/>
      <c r="X323" s="7"/>
      <c r="Y323" s="7"/>
    </row>
    <row r="324" ht="15.75" customHeight="1">
      <c r="T324" s="7"/>
      <c r="U324" s="7"/>
      <c r="V324" s="7"/>
      <c r="W324" s="7"/>
      <c r="X324" s="7"/>
      <c r="Y324" s="7"/>
    </row>
    <row r="325" ht="15.75" customHeight="1">
      <c r="T325" s="7"/>
      <c r="U325" s="7"/>
      <c r="V325" s="7"/>
      <c r="W325" s="7"/>
      <c r="X325" s="7"/>
      <c r="Y325" s="7"/>
    </row>
    <row r="326" ht="15.75" customHeight="1">
      <c r="T326" s="7"/>
      <c r="U326" s="7"/>
      <c r="V326" s="7"/>
      <c r="W326" s="7"/>
      <c r="X326" s="7"/>
      <c r="Y326" s="7"/>
    </row>
    <row r="327" ht="15.75" customHeight="1">
      <c r="T327" s="7"/>
      <c r="U327" s="7"/>
      <c r="V327" s="7"/>
      <c r="W327" s="7"/>
      <c r="X327" s="7"/>
      <c r="Y327" s="7"/>
    </row>
    <row r="328" ht="15.75" customHeight="1">
      <c r="T328" s="7"/>
      <c r="U328" s="7"/>
      <c r="V328" s="7"/>
      <c r="W328" s="7"/>
      <c r="X328" s="7"/>
      <c r="Y328" s="7"/>
    </row>
    <row r="329" ht="15.75" customHeight="1">
      <c r="T329" s="7"/>
      <c r="U329" s="7"/>
      <c r="V329" s="7"/>
      <c r="W329" s="7"/>
      <c r="X329" s="7"/>
      <c r="Y329" s="7"/>
    </row>
    <row r="330" ht="15.75" customHeight="1">
      <c r="T330" s="7"/>
      <c r="U330" s="7"/>
      <c r="V330" s="7"/>
      <c r="W330" s="7"/>
      <c r="X330" s="7"/>
      <c r="Y330" s="7"/>
    </row>
    <row r="331" ht="15.75" customHeight="1">
      <c r="T331" s="7"/>
      <c r="U331" s="7"/>
      <c r="V331" s="7"/>
      <c r="W331" s="7"/>
      <c r="X331" s="7"/>
      <c r="Y331" s="7"/>
    </row>
    <row r="332" ht="15.75" customHeight="1">
      <c r="T332" s="7"/>
      <c r="U332" s="7"/>
      <c r="V332" s="7"/>
      <c r="W332" s="7"/>
      <c r="X332" s="7"/>
      <c r="Y332" s="7"/>
    </row>
    <row r="333" ht="15.75" customHeight="1">
      <c r="T333" s="7"/>
      <c r="U333" s="7"/>
      <c r="V333" s="7"/>
      <c r="W333" s="7"/>
      <c r="X333" s="7"/>
      <c r="Y333" s="7"/>
    </row>
    <row r="334" ht="15.75" customHeight="1">
      <c r="T334" s="7"/>
      <c r="U334" s="7"/>
      <c r="V334" s="7"/>
      <c r="W334" s="7"/>
      <c r="X334" s="7"/>
      <c r="Y334" s="7"/>
    </row>
    <row r="335" ht="15.75" customHeight="1">
      <c r="T335" s="7"/>
      <c r="U335" s="7"/>
      <c r="V335" s="7"/>
      <c r="W335" s="7"/>
      <c r="X335" s="7"/>
      <c r="Y335" s="7"/>
    </row>
    <row r="336" ht="15.75" customHeight="1">
      <c r="T336" s="7"/>
      <c r="U336" s="7"/>
      <c r="V336" s="7"/>
      <c r="W336" s="7"/>
      <c r="X336" s="7"/>
      <c r="Y336" s="7"/>
    </row>
    <row r="337" ht="15.75" customHeight="1">
      <c r="T337" s="7"/>
      <c r="U337" s="7"/>
      <c r="V337" s="7"/>
      <c r="W337" s="7"/>
      <c r="X337" s="7"/>
      <c r="Y337" s="7"/>
    </row>
    <row r="338" ht="15.75" customHeight="1">
      <c r="T338" s="7"/>
      <c r="U338" s="7"/>
      <c r="V338" s="7"/>
      <c r="W338" s="7"/>
      <c r="X338" s="7"/>
      <c r="Y338" s="7"/>
    </row>
    <row r="339" ht="15.75" customHeight="1">
      <c r="T339" s="7"/>
      <c r="U339" s="7"/>
      <c r="V339" s="7"/>
      <c r="W339" s="7"/>
      <c r="X339" s="7"/>
      <c r="Y339" s="7"/>
    </row>
    <row r="340" ht="15.75" customHeight="1">
      <c r="T340" s="7"/>
      <c r="U340" s="7"/>
      <c r="V340" s="7"/>
      <c r="W340" s="7"/>
      <c r="X340" s="7"/>
      <c r="Y340" s="7"/>
    </row>
    <row r="341" ht="15.75" customHeight="1">
      <c r="T341" s="7"/>
      <c r="U341" s="7"/>
      <c r="V341" s="7"/>
      <c r="W341" s="7"/>
      <c r="X341" s="7"/>
      <c r="Y341" s="7"/>
    </row>
    <row r="342" ht="15.75" customHeight="1">
      <c r="T342" s="7"/>
      <c r="U342" s="7"/>
      <c r="V342" s="7"/>
      <c r="W342" s="7"/>
      <c r="X342" s="7"/>
      <c r="Y342" s="7"/>
    </row>
    <row r="343" ht="15.75" customHeight="1">
      <c r="T343" s="7"/>
      <c r="U343" s="7"/>
      <c r="V343" s="7"/>
      <c r="W343" s="7"/>
      <c r="X343" s="7"/>
      <c r="Y343" s="7"/>
    </row>
    <row r="344" ht="15.75" customHeight="1">
      <c r="T344" s="7"/>
      <c r="U344" s="7"/>
      <c r="V344" s="7"/>
      <c r="W344" s="7"/>
      <c r="X344" s="7"/>
      <c r="Y344" s="7"/>
    </row>
    <row r="345" ht="15.75" customHeight="1">
      <c r="T345" s="7"/>
      <c r="U345" s="7"/>
      <c r="V345" s="7"/>
      <c r="W345" s="7"/>
      <c r="X345" s="7"/>
      <c r="Y345" s="7"/>
    </row>
    <row r="346" ht="15.75" customHeight="1">
      <c r="T346" s="7"/>
      <c r="U346" s="7"/>
      <c r="V346" s="7"/>
      <c r="W346" s="7"/>
      <c r="X346" s="7"/>
      <c r="Y346" s="7"/>
    </row>
    <row r="347" ht="15.75" customHeight="1">
      <c r="T347" s="7"/>
      <c r="U347" s="7"/>
      <c r="V347" s="7"/>
      <c r="W347" s="7"/>
      <c r="X347" s="7"/>
      <c r="Y347" s="7"/>
    </row>
    <row r="348" ht="15.75" customHeight="1">
      <c r="T348" s="7"/>
      <c r="U348" s="7"/>
      <c r="V348" s="7"/>
      <c r="W348" s="7"/>
      <c r="X348" s="7"/>
      <c r="Y348" s="7"/>
    </row>
    <row r="349" ht="15.75" customHeight="1">
      <c r="T349" s="7"/>
      <c r="U349" s="7"/>
      <c r="V349" s="7"/>
      <c r="W349" s="7"/>
      <c r="X349" s="7"/>
      <c r="Y349" s="7"/>
    </row>
    <row r="350" ht="15.75" customHeight="1">
      <c r="T350" s="7"/>
      <c r="U350" s="7"/>
      <c r="V350" s="7"/>
      <c r="W350" s="7"/>
      <c r="X350" s="7"/>
      <c r="Y350" s="7"/>
    </row>
    <row r="351" ht="15.75" customHeight="1">
      <c r="T351" s="7"/>
      <c r="U351" s="7"/>
      <c r="V351" s="7"/>
      <c r="W351" s="7"/>
      <c r="X351" s="7"/>
      <c r="Y351" s="7"/>
    </row>
    <row r="352" ht="15.75" customHeight="1">
      <c r="T352" s="7"/>
      <c r="U352" s="7"/>
      <c r="V352" s="7"/>
      <c r="W352" s="7"/>
      <c r="X352" s="7"/>
      <c r="Y352" s="7"/>
    </row>
    <row r="353" ht="15.75" customHeight="1">
      <c r="T353" s="7"/>
      <c r="U353" s="7"/>
      <c r="V353" s="7"/>
      <c r="W353" s="7"/>
      <c r="X353" s="7"/>
      <c r="Y353" s="7"/>
    </row>
    <row r="354" ht="15.75" customHeight="1">
      <c r="T354" s="7"/>
      <c r="U354" s="7"/>
      <c r="V354" s="7"/>
      <c r="W354" s="7"/>
      <c r="X354" s="7"/>
      <c r="Y354" s="7"/>
    </row>
    <row r="355" ht="15.75" customHeight="1">
      <c r="T355" s="7"/>
      <c r="U355" s="7"/>
      <c r="V355" s="7"/>
      <c r="W355" s="7"/>
      <c r="X355" s="7"/>
      <c r="Y355" s="7"/>
    </row>
    <row r="356" ht="15.75" customHeight="1">
      <c r="T356" s="7"/>
      <c r="U356" s="7"/>
      <c r="V356" s="7"/>
      <c r="W356" s="7"/>
      <c r="X356" s="7"/>
      <c r="Y356" s="7"/>
    </row>
    <row r="357" ht="15.75" customHeight="1">
      <c r="T357" s="7"/>
      <c r="U357" s="7"/>
      <c r="V357" s="7"/>
      <c r="W357" s="7"/>
      <c r="X357" s="7"/>
      <c r="Y357" s="7"/>
    </row>
    <row r="358" ht="15.75" customHeight="1">
      <c r="T358" s="7"/>
      <c r="U358" s="7"/>
      <c r="V358" s="7"/>
      <c r="W358" s="7"/>
      <c r="X358" s="7"/>
      <c r="Y358" s="7"/>
    </row>
    <row r="359" ht="15.75" customHeight="1">
      <c r="T359" s="7"/>
      <c r="U359" s="7"/>
      <c r="V359" s="7"/>
      <c r="W359" s="7"/>
      <c r="X359" s="7"/>
      <c r="Y359" s="7"/>
    </row>
    <row r="360" ht="15.75" customHeight="1">
      <c r="T360" s="7"/>
      <c r="U360" s="7"/>
      <c r="V360" s="7"/>
      <c r="W360" s="7"/>
      <c r="X360" s="7"/>
      <c r="Y360" s="7"/>
    </row>
    <row r="361" ht="15.75" customHeight="1">
      <c r="T361" s="7"/>
      <c r="U361" s="7"/>
      <c r="V361" s="7"/>
      <c r="W361" s="7"/>
      <c r="X361" s="7"/>
      <c r="Y361" s="7"/>
    </row>
    <row r="362" ht="15.75" customHeight="1">
      <c r="T362" s="7"/>
      <c r="U362" s="7"/>
      <c r="V362" s="7"/>
      <c r="W362" s="7"/>
      <c r="X362" s="7"/>
      <c r="Y362" s="7"/>
    </row>
    <row r="363" ht="15.75" customHeight="1">
      <c r="T363" s="7"/>
      <c r="U363" s="7"/>
      <c r="V363" s="7"/>
      <c r="W363" s="7"/>
      <c r="X363" s="7"/>
      <c r="Y363" s="7"/>
    </row>
    <row r="364" ht="15.75" customHeight="1">
      <c r="T364" s="7"/>
      <c r="U364" s="7"/>
      <c r="V364" s="7"/>
      <c r="W364" s="7"/>
      <c r="X364" s="7"/>
      <c r="Y364" s="7"/>
    </row>
    <row r="365" ht="15.75" customHeight="1">
      <c r="T365" s="7"/>
      <c r="U365" s="7"/>
      <c r="V365" s="7"/>
      <c r="W365" s="7"/>
      <c r="X365" s="7"/>
      <c r="Y365" s="7"/>
    </row>
    <row r="366" ht="15.75" customHeight="1">
      <c r="T366" s="7"/>
      <c r="U366" s="7"/>
      <c r="V366" s="7"/>
      <c r="W366" s="7"/>
      <c r="X366" s="7"/>
      <c r="Y366" s="7"/>
    </row>
    <row r="367" ht="15.75" customHeight="1">
      <c r="T367" s="7"/>
      <c r="U367" s="7"/>
      <c r="V367" s="7"/>
      <c r="W367" s="7"/>
      <c r="X367" s="7"/>
      <c r="Y367" s="7"/>
    </row>
    <row r="368" ht="15.75" customHeight="1">
      <c r="T368" s="7"/>
      <c r="U368" s="7"/>
      <c r="V368" s="7"/>
      <c r="W368" s="7"/>
      <c r="X368" s="7"/>
      <c r="Y368" s="7"/>
    </row>
    <row r="369" ht="15.75" customHeight="1">
      <c r="T369" s="7"/>
      <c r="U369" s="7"/>
      <c r="V369" s="7"/>
      <c r="W369" s="7"/>
      <c r="X369" s="7"/>
      <c r="Y369" s="7"/>
    </row>
    <row r="370" ht="15.75" customHeight="1">
      <c r="T370" s="7"/>
      <c r="U370" s="7"/>
      <c r="V370" s="7"/>
      <c r="W370" s="7"/>
      <c r="X370" s="7"/>
      <c r="Y370" s="7"/>
    </row>
    <row r="371" ht="15.75" customHeight="1">
      <c r="T371" s="7"/>
      <c r="U371" s="7"/>
      <c r="V371" s="7"/>
      <c r="W371" s="7"/>
      <c r="X371" s="7"/>
      <c r="Y371" s="7"/>
    </row>
    <row r="372" ht="15.75" customHeight="1">
      <c r="T372" s="7"/>
      <c r="U372" s="7"/>
      <c r="V372" s="7"/>
      <c r="W372" s="7"/>
      <c r="X372" s="7"/>
      <c r="Y372" s="7"/>
    </row>
    <row r="373" ht="15.75" customHeight="1">
      <c r="T373" s="7"/>
      <c r="U373" s="7"/>
      <c r="V373" s="7"/>
      <c r="W373" s="7"/>
      <c r="X373" s="7"/>
      <c r="Y373" s="7"/>
    </row>
    <row r="374" ht="15.75" customHeight="1">
      <c r="T374" s="7"/>
      <c r="U374" s="7"/>
      <c r="V374" s="7"/>
      <c r="W374" s="7"/>
      <c r="X374" s="7"/>
      <c r="Y374" s="7"/>
    </row>
    <row r="375" ht="15.75" customHeight="1">
      <c r="T375" s="7"/>
      <c r="U375" s="7"/>
      <c r="V375" s="7"/>
      <c r="W375" s="7"/>
      <c r="X375" s="7"/>
      <c r="Y375" s="7"/>
    </row>
    <row r="376" ht="15.75" customHeight="1">
      <c r="T376" s="7"/>
      <c r="U376" s="7"/>
      <c r="V376" s="7"/>
      <c r="W376" s="7"/>
      <c r="X376" s="7"/>
      <c r="Y376" s="7"/>
    </row>
    <row r="377" ht="15.75" customHeight="1">
      <c r="T377" s="7"/>
      <c r="U377" s="7"/>
      <c r="V377" s="7"/>
      <c r="W377" s="7"/>
      <c r="X377" s="7"/>
      <c r="Y377" s="7"/>
    </row>
    <row r="378" ht="15.75" customHeight="1">
      <c r="T378" s="7"/>
      <c r="U378" s="7"/>
      <c r="V378" s="7"/>
      <c r="W378" s="7"/>
      <c r="X378" s="7"/>
      <c r="Y378" s="7"/>
    </row>
    <row r="379" ht="15.75" customHeight="1">
      <c r="T379" s="7"/>
      <c r="U379" s="7"/>
      <c r="V379" s="7"/>
      <c r="W379" s="7"/>
      <c r="X379" s="7"/>
      <c r="Y379" s="7"/>
    </row>
    <row r="380" ht="15.75" customHeight="1">
      <c r="T380" s="7"/>
      <c r="U380" s="7"/>
      <c r="V380" s="7"/>
      <c r="W380" s="7"/>
      <c r="X380" s="7"/>
      <c r="Y380" s="7"/>
    </row>
    <row r="381" ht="15.75" customHeight="1">
      <c r="T381" s="7"/>
      <c r="U381" s="7"/>
      <c r="V381" s="7"/>
      <c r="W381" s="7"/>
      <c r="X381" s="7"/>
      <c r="Y381" s="7"/>
    </row>
    <row r="382" ht="15.75" customHeight="1">
      <c r="T382" s="7"/>
      <c r="U382" s="7"/>
      <c r="V382" s="7"/>
      <c r="W382" s="7"/>
      <c r="X382" s="7"/>
      <c r="Y382" s="7"/>
    </row>
    <row r="383" ht="15.75" customHeight="1">
      <c r="T383" s="7"/>
      <c r="U383" s="7"/>
      <c r="V383" s="7"/>
      <c r="W383" s="7"/>
      <c r="X383" s="7"/>
      <c r="Y383" s="7"/>
    </row>
    <row r="384" ht="15.75" customHeight="1">
      <c r="T384" s="7"/>
      <c r="U384" s="7"/>
      <c r="V384" s="7"/>
      <c r="W384" s="7"/>
      <c r="X384" s="7"/>
      <c r="Y384" s="7"/>
    </row>
    <row r="385" ht="15.75" customHeight="1">
      <c r="T385" s="7"/>
      <c r="U385" s="7"/>
      <c r="V385" s="7"/>
      <c r="W385" s="7"/>
      <c r="X385" s="7"/>
      <c r="Y385" s="7"/>
    </row>
    <row r="386" ht="15.75" customHeight="1">
      <c r="T386" s="7"/>
      <c r="U386" s="7"/>
      <c r="V386" s="7"/>
      <c r="W386" s="7"/>
      <c r="X386" s="7"/>
      <c r="Y386" s="7"/>
    </row>
    <row r="387" ht="15.75" customHeight="1">
      <c r="T387" s="7"/>
      <c r="U387" s="7"/>
      <c r="V387" s="7"/>
      <c r="W387" s="7"/>
      <c r="X387" s="7"/>
      <c r="Y387" s="7"/>
    </row>
    <row r="388" ht="15.75" customHeight="1">
      <c r="T388" s="7"/>
      <c r="U388" s="7"/>
      <c r="V388" s="7"/>
      <c r="W388" s="7"/>
      <c r="X388" s="7"/>
      <c r="Y388" s="7"/>
    </row>
    <row r="389" ht="15.75" customHeight="1">
      <c r="T389" s="7"/>
      <c r="U389" s="7"/>
      <c r="V389" s="7"/>
      <c r="W389" s="7"/>
      <c r="X389" s="7"/>
      <c r="Y389" s="7"/>
    </row>
    <row r="390" ht="15.75" customHeight="1">
      <c r="T390" s="7"/>
      <c r="U390" s="7"/>
      <c r="V390" s="7"/>
      <c r="W390" s="7"/>
      <c r="X390" s="7"/>
      <c r="Y390" s="7"/>
    </row>
    <row r="391" ht="15.75" customHeight="1">
      <c r="T391" s="7"/>
      <c r="U391" s="7"/>
      <c r="V391" s="7"/>
      <c r="W391" s="7"/>
      <c r="X391" s="7"/>
      <c r="Y391" s="7"/>
    </row>
    <row r="392" ht="15.75" customHeight="1">
      <c r="T392" s="7"/>
      <c r="U392" s="7"/>
      <c r="V392" s="7"/>
      <c r="W392" s="7"/>
      <c r="X392" s="7"/>
      <c r="Y392" s="7"/>
    </row>
    <row r="393" ht="15.75" customHeight="1">
      <c r="T393" s="7"/>
      <c r="U393" s="7"/>
      <c r="V393" s="7"/>
      <c r="W393" s="7"/>
      <c r="X393" s="7"/>
      <c r="Y393" s="7"/>
    </row>
    <row r="394" ht="15.75" customHeight="1">
      <c r="T394" s="7"/>
      <c r="U394" s="7"/>
      <c r="V394" s="7"/>
      <c r="W394" s="7"/>
      <c r="X394" s="7"/>
      <c r="Y394" s="7"/>
    </row>
    <row r="395" ht="15.75" customHeight="1">
      <c r="T395" s="7"/>
      <c r="U395" s="7"/>
      <c r="V395" s="7"/>
      <c r="W395" s="7"/>
      <c r="X395" s="7"/>
      <c r="Y395" s="7"/>
    </row>
    <row r="396" ht="15.75" customHeight="1">
      <c r="T396" s="7"/>
      <c r="U396" s="7"/>
      <c r="V396" s="7"/>
      <c r="W396" s="7"/>
      <c r="X396" s="7"/>
      <c r="Y396" s="7"/>
    </row>
    <row r="397" ht="15.75" customHeight="1">
      <c r="T397" s="7"/>
      <c r="U397" s="7"/>
      <c r="V397" s="7"/>
      <c r="W397" s="7"/>
      <c r="X397" s="7"/>
      <c r="Y397" s="7"/>
    </row>
    <row r="398" ht="15.75" customHeight="1">
      <c r="T398" s="7"/>
      <c r="U398" s="7"/>
      <c r="V398" s="7"/>
      <c r="W398" s="7"/>
      <c r="X398" s="7"/>
      <c r="Y398" s="7"/>
    </row>
    <row r="399" ht="15.75" customHeight="1">
      <c r="T399" s="7"/>
      <c r="U399" s="7"/>
      <c r="V399" s="7"/>
      <c r="W399" s="7"/>
      <c r="X399" s="7"/>
      <c r="Y399" s="7"/>
    </row>
    <row r="400" ht="15.75" customHeight="1">
      <c r="T400" s="7"/>
      <c r="U400" s="7"/>
      <c r="V400" s="7"/>
      <c r="W400" s="7"/>
      <c r="X400" s="7"/>
      <c r="Y400" s="7"/>
    </row>
    <row r="401" ht="15.75" customHeight="1">
      <c r="T401" s="7"/>
      <c r="U401" s="7"/>
      <c r="V401" s="7"/>
      <c r="W401" s="7"/>
      <c r="X401" s="7"/>
      <c r="Y401" s="7"/>
    </row>
    <row r="402" ht="15.75" customHeight="1">
      <c r="T402" s="7"/>
      <c r="U402" s="7"/>
      <c r="V402" s="7"/>
      <c r="W402" s="7"/>
      <c r="X402" s="7"/>
      <c r="Y402" s="7"/>
    </row>
    <row r="403" ht="15.75" customHeight="1">
      <c r="T403" s="7"/>
      <c r="U403" s="7"/>
      <c r="V403" s="7"/>
      <c r="W403" s="7"/>
      <c r="X403" s="7"/>
      <c r="Y403" s="7"/>
    </row>
    <row r="404" ht="15.75" customHeight="1">
      <c r="T404" s="7"/>
      <c r="U404" s="7"/>
      <c r="V404" s="7"/>
      <c r="W404" s="7"/>
      <c r="X404" s="7"/>
      <c r="Y404" s="7"/>
    </row>
    <row r="405" ht="15.75" customHeight="1">
      <c r="T405" s="7"/>
      <c r="U405" s="7"/>
      <c r="V405" s="7"/>
      <c r="W405" s="7"/>
      <c r="X405" s="7"/>
      <c r="Y405" s="7"/>
    </row>
    <row r="406" ht="15.75" customHeight="1">
      <c r="T406" s="7"/>
      <c r="U406" s="7"/>
      <c r="V406" s="7"/>
      <c r="W406" s="7"/>
      <c r="X406" s="7"/>
      <c r="Y406" s="7"/>
    </row>
    <row r="407" ht="15.75" customHeight="1">
      <c r="T407" s="7"/>
      <c r="U407" s="7"/>
      <c r="V407" s="7"/>
      <c r="W407" s="7"/>
      <c r="X407" s="7"/>
      <c r="Y407" s="7"/>
    </row>
    <row r="408" ht="15.75" customHeight="1">
      <c r="T408" s="7"/>
      <c r="U408" s="7"/>
      <c r="V408" s="7"/>
      <c r="W408" s="7"/>
      <c r="X408" s="7"/>
      <c r="Y408" s="7"/>
    </row>
    <row r="409" ht="15.75" customHeight="1">
      <c r="T409" s="7"/>
      <c r="U409" s="7"/>
      <c r="V409" s="7"/>
      <c r="W409" s="7"/>
      <c r="X409" s="7"/>
      <c r="Y409" s="7"/>
    </row>
    <row r="410" ht="15.75" customHeight="1">
      <c r="T410" s="7"/>
      <c r="U410" s="7"/>
      <c r="V410" s="7"/>
      <c r="W410" s="7"/>
      <c r="X410" s="7"/>
      <c r="Y410" s="7"/>
    </row>
    <row r="411" ht="15.75" customHeight="1">
      <c r="T411" s="7"/>
      <c r="U411" s="7"/>
      <c r="V411" s="7"/>
      <c r="W411" s="7"/>
      <c r="X411" s="7"/>
      <c r="Y411" s="7"/>
    </row>
    <row r="412" ht="15.75" customHeight="1">
      <c r="T412" s="7"/>
      <c r="U412" s="7"/>
      <c r="V412" s="7"/>
      <c r="W412" s="7"/>
      <c r="X412" s="7"/>
      <c r="Y412" s="7"/>
    </row>
    <row r="413" ht="15.75" customHeight="1">
      <c r="T413" s="7"/>
      <c r="U413" s="7"/>
      <c r="V413" s="7"/>
      <c r="W413" s="7"/>
      <c r="X413" s="7"/>
      <c r="Y413" s="7"/>
    </row>
    <row r="414" ht="15.75" customHeight="1">
      <c r="T414" s="7"/>
      <c r="U414" s="7"/>
      <c r="V414" s="7"/>
      <c r="W414" s="7"/>
      <c r="X414" s="7"/>
      <c r="Y414" s="7"/>
    </row>
    <row r="415" ht="15.75" customHeight="1">
      <c r="T415" s="7"/>
      <c r="U415" s="7"/>
      <c r="V415" s="7"/>
      <c r="W415" s="7"/>
      <c r="X415" s="7"/>
      <c r="Y415" s="7"/>
    </row>
    <row r="416" ht="15.75" customHeight="1">
      <c r="T416" s="7"/>
      <c r="U416" s="7"/>
      <c r="V416" s="7"/>
      <c r="W416" s="7"/>
      <c r="X416" s="7"/>
      <c r="Y416" s="7"/>
    </row>
    <row r="417" ht="15.75" customHeight="1">
      <c r="T417" s="7"/>
      <c r="U417" s="7"/>
      <c r="V417" s="7"/>
      <c r="W417" s="7"/>
      <c r="X417" s="7"/>
      <c r="Y417" s="7"/>
    </row>
    <row r="418" ht="15.75" customHeight="1">
      <c r="T418" s="7"/>
      <c r="U418" s="7"/>
      <c r="V418" s="7"/>
      <c r="W418" s="7"/>
      <c r="X418" s="7"/>
      <c r="Y418" s="7"/>
    </row>
    <row r="419" ht="15.75" customHeight="1">
      <c r="T419" s="7"/>
      <c r="U419" s="7"/>
      <c r="V419" s="7"/>
      <c r="W419" s="7"/>
      <c r="X419" s="7"/>
      <c r="Y419" s="7"/>
    </row>
    <row r="420" ht="15.75" customHeight="1">
      <c r="T420" s="7"/>
      <c r="U420" s="7"/>
      <c r="V420" s="7"/>
      <c r="W420" s="7"/>
      <c r="X420" s="7"/>
      <c r="Y420" s="7"/>
    </row>
    <row r="421" ht="15.75" customHeight="1">
      <c r="T421" s="7"/>
      <c r="U421" s="7"/>
      <c r="V421" s="7"/>
      <c r="W421" s="7"/>
      <c r="X421" s="7"/>
      <c r="Y421" s="7"/>
    </row>
    <row r="422" ht="15.75" customHeight="1">
      <c r="T422" s="7"/>
      <c r="U422" s="7"/>
      <c r="V422" s="7"/>
      <c r="W422" s="7"/>
      <c r="X422" s="7"/>
      <c r="Y422" s="7"/>
    </row>
    <row r="423" ht="15.75" customHeight="1">
      <c r="T423" s="7"/>
      <c r="U423" s="7"/>
      <c r="V423" s="7"/>
      <c r="W423" s="7"/>
      <c r="X423" s="7"/>
      <c r="Y423" s="7"/>
    </row>
    <row r="424" ht="15.75" customHeight="1">
      <c r="T424" s="7"/>
      <c r="U424" s="7"/>
      <c r="V424" s="7"/>
      <c r="W424" s="7"/>
      <c r="X424" s="7"/>
      <c r="Y424" s="7"/>
    </row>
    <row r="425" ht="15.75" customHeight="1">
      <c r="T425" s="7"/>
      <c r="U425" s="7"/>
      <c r="V425" s="7"/>
      <c r="W425" s="7"/>
      <c r="X425" s="7"/>
      <c r="Y425" s="7"/>
    </row>
    <row r="426" ht="15.75" customHeight="1">
      <c r="T426" s="7"/>
      <c r="U426" s="7"/>
      <c r="V426" s="7"/>
      <c r="W426" s="7"/>
      <c r="X426" s="7"/>
      <c r="Y426" s="7"/>
    </row>
    <row r="427" ht="15.75" customHeight="1">
      <c r="T427" s="7"/>
      <c r="U427" s="7"/>
      <c r="V427" s="7"/>
      <c r="W427" s="7"/>
      <c r="X427" s="7"/>
      <c r="Y427" s="7"/>
    </row>
    <row r="428" ht="15.75" customHeight="1">
      <c r="T428" s="7"/>
      <c r="U428" s="7"/>
      <c r="V428" s="7"/>
      <c r="W428" s="7"/>
      <c r="X428" s="7"/>
      <c r="Y428" s="7"/>
    </row>
    <row r="429" ht="15.75" customHeight="1">
      <c r="T429" s="7"/>
      <c r="U429" s="7"/>
      <c r="V429" s="7"/>
      <c r="W429" s="7"/>
      <c r="X429" s="7"/>
      <c r="Y429" s="7"/>
    </row>
    <row r="430" ht="15.75" customHeight="1">
      <c r="T430" s="7"/>
      <c r="U430" s="7"/>
      <c r="V430" s="7"/>
      <c r="W430" s="7"/>
      <c r="X430" s="7"/>
      <c r="Y430" s="7"/>
    </row>
    <row r="431" ht="15.75" customHeight="1">
      <c r="T431" s="7"/>
      <c r="U431" s="7"/>
      <c r="V431" s="7"/>
      <c r="W431" s="7"/>
      <c r="X431" s="7"/>
      <c r="Y431" s="7"/>
    </row>
    <row r="432" ht="15.75" customHeight="1">
      <c r="T432" s="7"/>
      <c r="U432" s="7"/>
      <c r="V432" s="7"/>
      <c r="W432" s="7"/>
      <c r="X432" s="7"/>
      <c r="Y432" s="7"/>
    </row>
    <row r="433" ht="15.75" customHeight="1">
      <c r="T433" s="7"/>
      <c r="U433" s="7"/>
      <c r="V433" s="7"/>
      <c r="W433" s="7"/>
      <c r="X433" s="7"/>
      <c r="Y433" s="7"/>
    </row>
    <row r="434" ht="15.75" customHeight="1">
      <c r="T434" s="7"/>
      <c r="U434" s="7"/>
      <c r="V434" s="7"/>
      <c r="W434" s="7"/>
      <c r="X434" s="7"/>
      <c r="Y434" s="7"/>
    </row>
    <row r="435" ht="15.75" customHeight="1">
      <c r="T435" s="7"/>
      <c r="U435" s="7"/>
      <c r="V435" s="7"/>
      <c r="W435" s="7"/>
      <c r="X435" s="7"/>
      <c r="Y435" s="7"/>
    </row>
    <row r="436" ht="15.75" customHeight="1">
      <c r="T436" s="7"/>
      <c r="U436" s="7"/>
      <c r="V436" s="7"/>
      <c r="W436" s="7"/>
      <c r="X436" s="7"/>
      <c r="Y436" s="7"/>
    </row>
    <row r="437" ht="15.75" customHeight="1">
      <c r="T437" s="7"/>
      <c r="U437" s="7"/>
      <c r="V437" s="7"/>
      <c r="W437" s="7"/>
      <c r="X437" s="7"/>
      <c r="Y437" s="7"/>
    </row>
    <row r="438" ht="15.75" customHeight="1">
      <c r="T438" s="7"/>
      <c r="U438" s="7"/>
      <c r="V438" s="7"/>
      <c r="W438" s="7"/>
      <c r="X438" s="7"/>
      <c r="Y438" s="7"/>
    </row>
    <row r="439" ht="15.75" customHeight="1">
      <c r="T439" s="7"/>
      <c r="U439" s="7"/>
      <c r="V439" s="7"/>
      <c r="W439" s="7"/>
      <c r="X439" s="7"/>
      <c r="Y439" s="7"/>
    </row>
    <row r="440" ht="15.75" customHeight="1">
      <c r="T440" s="7"/>
      <c r="U440" s="7"/>
      <c r="V440" s="7"/>
      <c r="W440" s="7"/>
      <c r="X440" s="7"/>
      <c r="Y440" s="7"/>
    </row>
    <row r="441" ht="15.75" customHeight="1">
      <c r="T441" s="7"/>
      <c r="U441" s="7"/>
      <c r="V441" s="7"/>
      <c r="W441" s="7"/>
      <c r="X441" s="7"/>
      <c r="Y441" s="7"/>
    </row>
    <row r="442" ht="15.75" customHeight="1">
      <c r="T442" s="7"/>
      <c r="U442" s="7"/>
      <c r="V442" s="7"/>
      <c r="W442" s="7"/>
      <c r="X442" s="7"/>
      <c r="Y442" s="7"/>
    </row>
    <row r="443" ht="15.75" customHeight="1">
      <c r="T443" s="7"/>
      <c r="U443" s="7"/>
      <c r="V443" s="7"/>
      <c r="W443" s="7"/>
      <c r="X443" s="7"/>
      <c r="Y443" s="7"/>
    </row>
    <row r="444" ht="15.75" customHeight="1">
      <c r="T444" s="7"/>
      <c r="U444" s="7"/>
      <c r="V444" s="7"/>
      <c r="W444" s="7"/>
      <c r="X444" s="7"/>
      <c r="Y444" s="7"/>
    </row>
    <row r="445" ht="15.75" customHeight="1">
      <c r="T445" s="7"/>
      <c r="U445" s="7"/>
      <c r="V445" s="7"/>
      <c r="W445" s="7"/>
      <c r="X445" s="7"/>
      <c r="Y445" s="7"/>
    </row>
    <row r="446" ht="15.75" customHeight="1">
      <c r="T446" s="7"/>
      <c r="U446" s="7"/>
      <c r="V446" s="7"/>
      <c r="W446" s="7"/>
      <c r="X446" s="7"/>
      <c r="Y446" s="7"/>
    </row>
    <row r="447" ht="15.75" customHeight="1">
      <c r="T447" s="7"/>
      <c r="U447" s="7"/>
      <c r="V447" s="7"/>
      <c r="W447" s="7"/>
      <c r="X447" s="7"/>
      <c r="Y447" s="7"/>
    </row>
    <row r="448" ht="15.75" customHeight="1">
      <c r="T448" s="7"/>
      <c r="U448" s="7"/>
      <c r="V448" s="7"/>
      <c r="W448" s="7"/>
      <c r="X448" s="7"/>
      <c r="Y448" s="7"/>
    </row>
    <row r="449" ht="15.75" customHeight="1">
      <c r="T449" s="7"/>
      <c r="U449" s="7"/>
      <c r="V449" s="7"/>
      <c r="W449" s="7"/>
      <c r="X449" s="7"/>
      <c r="Y449" s="7"/>
    </row>
    <row r="450" ht="15.75" customHeight="1">
      <c r="T450" s="7"/>
      <c r="U450" s="7"/>
      <c r="V450" s="7"/>
      <c r="W450" s="7"/>
      <c r="X450" s="7"/>
      <c r="Y450" s="7"/>
    </row>
    <row r="451" ht="15.75" customHeight="1">
      <c r="T451" s="7"/>
      <c r="U451" s="7"/>
      <c r="V451" s="7"/>
      <c r="W451" s="7"/>
      <c r="X451" s="7"/>
      <c r="Y451" s="7"/>
    </row>
    <row r="452" ht="15.75" customHeight="1">
      <c r="T452" s="7"/>
      <c r="U452" s="7"/>
      <c r="V452" s="7"/>
      <c r="W452" s="7"/>
      <c r="X452" s="7"/>
      <c r="Y452" s="7"/>
    </row>
    <row r="453" ht="15.75" customHeight="1">
      <c r="T453" s="7"/>
      <c r="U453" s="7"/>
      <c r="V453" s="7"/>
      <c r="W453" s="7"/>
      <c r="X453" s="7"/>
      <c r="Y453" s="7"/>
    </row>
    <row r="454" ht="15.75" customHeight="1">
      <c r="T454" s="7"/>
      <c r="U454" s="7"/>
      <c r="V454" s="7"/>
      <c r="W454" s="7"/>
      <c r="X454" s="7"/>
      <c r="Y454" s="7"/>
    </row>
    <row r="455" ht="15.75" customHeight="1">
      <c r="T455" s="7"/>
      <c r="U455" s="7"/>
      <c r="V455" s="7"/>
      <c r="W455" s="7"/>
      <c r="X455" s="7"/>
      <c r="Y455" s="7"/>
    </row>
    <row r="456" ht="15.75" customHeight="1">
      <c r="T456" s="7"/>
      <c r="U456" s="7"/>
      <c r="V456" s="7"/>
      <c r="W456" s="7"/>
      <c r="X456" s="7"/>
      <c r="Y456" s="7"/>
    </row>
    <row r="457" ht="15.75" customHeight="1">
      <c r="T457" s="7"/>
      <c r="U457" s="7"/>
      <c r="V457" s="7"/>
      <c r="W457" s="7"/>
      <c r="X457" s="7"/>
      <c r="Y457" s="7"/>
    </row>
    <row r="458" ht="15.75" customHeight="1">
      <c r="T458" s="7"/>
      <c r="U458" s="7"/>
      <c r="V458" s="7"/>
      <c r="W458" s="7"/>
      <c r="X458" s="7"/>
      <c r="Y458" s="7"/>
    </row>
    <row r="459" ht="15.75" customHeight="1">
      <c r="T459" s="7"/>
      <c r="U459" s="7"/>
      <c r="V459" s="7"/>
      <c r="W459" s="7"/>
      <c r="X459" s="7"/>
      <c r="Y459" s="7"/>
    </row>
    <row r="460" ht="15.75" customHeight="1">
      <c r="T460" s="7"/>
      <c r="U460" s="7"/>
      <c r="V460" s="7"/>
      <c r="W460" s="7"/>
      <c r="X460" s="7"/>
      <c r="Y460" s="7"/>
    </row>
    <row r="461" ht="15.75" customHeight="1">
      <c r="T461" s="7"/>
      <c r="U461" s="7"/>
      <c r="V461" s="7"/>
      <c r="W461" s="7"/>
      <c r="X461" s="7"/>
      <c r="Y461" s="7"/>
    </row>
    <row r="462" ht="15.75" customHeight="1">
      <c r="T462" s="7"/>
      <c r="U462" s="7"/>
      <c r="V462" s="7"/>
      <c r="W462" s="7"/>
      <c r="X462" s="7"/>
      <c r="Y462" s="7"/>
    </row>
    <row r="463" ht="15.75" customHeight="1">
      <c r="T463" s="7"/>
      <c r="U463" s="7"/>
      <c r="V463" s="7"/>
      <c r="W463" s="7"/>
      <c r="X463" s="7"/>
      <c r="Y463" s="7"/>
    </row>
    <row r="464" ht="15.75" customHeight="1">
      <c r="T464" s="7"/>
      <c r="U464" s="7"/>
      <c r="V464" s="7"/>
      <c r="W464" s="7"/>
      <c r="X464" s="7"/>
      <c r="Y464" s="7"/>
    </row>
    <row r="465" ht="15.75" customHeight="1">
      <c r="T465" s="7"/>
      <c r="U465" s="7"/>
      <c r="V465" s="7"/>
      <c r="W465" s="7"/>
      <c r="X465" s="7"/>
      <c r="Y465" s="7"/>
    </row>
    <row r="466" ht="15.75" customHeight="1">
      <c r="T466" s="7"/>
      <c r="U466" s="7"/>
      <c r="V466" s="7"/>
      <c r="W466" s="7"/>
      <c r="X466" s="7"/>
      <c r="Y466" s="7"/>
    </row>
    <row r="467" ht="15.75" customHeight="1">
      <c r="T467" s="7"/>
      <c r="U467" s="7"/>
      <c r="V467" s="7"/>
      <c r="W467" s="7"/>
      <c r="X467" s="7"/>
      <c r="Y467" s="7"/>
    </row>
    <row r="468" ht="15.75" customHeight="1">
      <c r="T468" s="7"/>
      <c r="U468" s="7"/>
      <c r="V468" s="7"/>
      <c r="W468" s="7"/>
      <c r="X468" s="7"/>
      <c r="Y468" s="7"/>
    </row>
    <row r="469" ht="15.75" customHeight="1">
      <c r="T469" s="7"/>
      <c r="U469" s="7"/>
      <c r="V469" s="7"/>
      <c r="W469" s="7"/>
      <c r="X469" s="7"/>
      <c r="Y469" s="7"/>
    </row>
    <row r="470" ht="15.75" customHeight="1">
      <c r="T470" s="7"/>
      <c r="U470" s="7"/>
      <c r="V470" s="7"/>
      <c r="W470" s="7"/>
      <c r="X470" s="7"/>
      <c r="Y470" s="7"/>
    </row>
    <row r="471" ht="15.75" customHeight="1">
      <c r="T471" s="7"/>
      <c r="U471" s="7"/>
      <c r="V471" s="7"/>
      <c r="W471" s="7"/>
      <c r="X471" s="7"/>
      <c r="Y471" s="7"/>
    </row>
    <row r="472" ht="15.75" customHeight="1">
      <c r="T472" s="7"/>
      <c r="U472" s="7"/>
      <c r="V472" s="7"/>
      <c r="W472" s="7"/>
      <c r="X472" s="7"/>
      <c r="Y472" s="7"/>
    </row>
    <row r="473" ht="15.75" customHeight="1">
      <c r="T473" s="7"/>
      <c r="U473" s="7"/>
      <c r="V473" s="7"/>
      <c r="W473" s="7"/>
      <c r="X473" s="7"/>
      <c r="Y473" s="7"/>
    </row>
    <row r="474" ht="15.75" customHeight="1">
      <c r="T474" s="7"/>
      <c r="U474" s="7"/>
      <c r="V474" s="7"/>
      <c r="W474" s="7"/>
      <c r="X474" s="7"/>
      <c r="Y474" s="7"/>
    </row>
    <row r="475" ht="15.75" customHeight="1">
      <c r="T475" s="7"/>
      <c r="U475" s="7"/>
      <c r="V475" s="7"/>
      <c r="W475" s="7"/>
      <c r="X475" s="7"/>
      <c r="Y475" s="7"/>
    </row>
    <row r="476" ht="15.75" customHeight="1">
      <c r="T476" s="7"/>
      <c r="U476" s="7"/>
      <c r="V476" s="7"/>
      <c r="W476" s="7"/>
      <c r="X476" s="7"/>
      <c r="Y476" s="7"/>
    </row>
    <row r="477" ht="15.75" customHeight="1">
      <c r="T477" s="7"/>
      <c r="U477" s="7"/>
      <c r="V477" s="7"/>
      <c r="W477" s="7"/>
      <c r="X477" s="7"/>
      <c r="Y477" s="7"/>
    </row>
    <row r="478" ht="15.75" customHeight="1">
      <c r="T478" s="7"/>
      <c r="U478" s="7"/>
      <c r="V478" s="7"/>
      <c r="W478" s="7"/>
      <c r="X478" s="7"/>
      <c r="Y478" s="7"/>
    </row>
    <row r="479" ht="15.75" customHeight="1">
      <c r="T479" s="7"/>
      <c r="U479" s="7"/>
      <c r="V479" s="7"/>
      <c r="W479" s="7"/>
      <c r="X479" s="7"/>
      <c r="Y479" s="7"/>
    </row>
    <row r="480" ht="15.75" customHeight="1">
      <c r="T480" s="7"/>
      <c r="U480" s="7"/>
      <c r="V480" s="7"/>
      <c r="W480" s="7"/>
      <c r="X480" s="7"/>
      <c r="Y480" s="7"/>
    </row>
    <row r="481" ht="15.75" customHeight="1">
      <c r="T481" s="7"/>
      <c r="U481" s="7"/>
      <c r="V481" s="7"/>
      <c r="W481" s="7"/>
      <c r="X481" s="7"/>
      <c r="Y481" s="7"/>
    </row>
    <row r="482" ht="15.75" customHeight="1">
      <c r="T482" s="7"/>
      <c r="U482" s="7"/>
      <c r="V482" s="7"/>
      <c r="W482" s="7"/>
      <c r="X482" s="7"/>
      <c r="Y482" s="7"/>
    </row>
    <row r="483" ht="15.75" customHeight="1">
      <c r="T483" s="7"/>
      <c r="U483" s="7"/>
      <c r="V483" s="7"/>
      <c r="W483" s="7"/>
      <c r="X483" s="7"/>
      <c r="Y483" s="7"/>
    </row>
    <row r="484" ht="15.75" customHeight="1">
      <c r="T484" s="7"/>
      <c r="U484" s="7"/>
      <c r="V484" s="7"/>
      <c r="W484" s="7"/>
      <c r="X484" s="7"/>
      <c r="Y484" s="7"/>
    </row>
    <row r="485" ht="15.75" customHeight="1">
      <c r="T485" s="7"/>
      <c r="U485" s="7"/>
      <c r="V485" s="7"/>
      <c r="W485" s="7"/>
      <c r="X485" s="7"/>
      <c r="Y485" s="7"/>
    </row>
    <row r="486" ht="15.75" customHeight="1">
      <c r="T486" s="7"/>
      <c r="U486" s="7"/>
      <c r="V486" s="7"/>
      <c r="W486" s="7"/>
      <c r="X486" s="7"/>
      <c r="Y486" s="7"/>
    </row>
    <row r="487" ht="15.75" customHeight="1">
      <c r="T487" s="7"/>
      <c r="U487" s="7"/>
      <c r="V487" s="7"/>
      <c r="W487" s="7"/>
      <c r="X487" s="7"/>
      <c r="Y487" s="7"/>
    </row>
    <row r="488" ht="15.75" customHeight="1">
      <c r="T488" s="7"/>
      <c r="U488" s="7"/>
      <c r="V488" s="7"/>
      <c r="W488" s="7"/>
      <c r="X488" s="7"/>
      <c r="Y488" s="7"/>
    </row>
    <row r="489" ht="15.75" customHeight="1">
      <c r="T489" s="7"/>
      <c r="U489" s="7"/>
      <c r="V489" s="7"/>
      <c r="W489" s="7"/>
      <c r="X489" s="7"/>
      <c r="Y489" s="7"/>
    </row>
    <row r="490" ht="15.75" customHeight="1">
      <c r="T490" s="7"/>
      <c r="U490" s="7"/>
      <c r="V490" s="7"/>
      <c r="W490" s="7"/>
      <c r="X490" s="7"/>
      <c r="Y490" s="7"/>
    </row>
    <row r="491" ht="15.75" customHeight="1">
      <c r="T491" s="7"/>
      <c r="U491" s="7"/>
      <c r="V491" s="7"/>
      <c r="W491" s="7"/>
      <c r="X491" s="7"/>
      <c r="Y491" s="7"/>
    </row>
    <row r="492" ht="15.75" customHeight="1">
      <c r="T492" s="7"/>
      <c r="U492" s="7"/>
      <c r="V492" s="7"/>
      <c r="W492" s="7"/>
      <c r="X492" s="7"/>
      <c r="Y492" s="7"/>
    </row>
    <row r="493" ht="15.75" customHeight="1">
      <c r="T493" s="7"/>
      <c r="U493" s="7"/>
      <c r="V493" s="7"/>
      <c r="W493" s="7"/>
      <c r="X493" s="7"/>
      <c r="Y493" s="7"/>
    </row>
    <row r="494" ht="15.75" customHeight="1">
      <c r="T494" s="7"/>
      <c r="U494" s="7"/>
      <c r="V494" s="7"/>
      <c r="W494" s="7"/>
      <c r="X494" s="7"/>
      <c r="Y494" s="7"/>
    </row>
    <row r="495" ht="15.75" customHeight="1">
      <c r="T495" s="7"/>
      <c r="U495" s="7"/>
      <c r="V495" s="7"/>
      <c r="W495" s="7"/>
      <c r="X495" s="7"/>
      <c r="Y495" s="7"/>
    </row>
    <row r="496" ht="15.75" customHeight="1">
      <c r="T496" s="7"/>
      <c r="U496" s="7"/>
      <c r="V496" s="7"/>
      <c r="W496" s="7"/>
      <c r="X496" s="7"/>
      <c r="Y496" s="7"/>
    </row>
    <row r="497" ht="15.75" customHeight="1">
      <c r="T497" s="7"/>
      <c r="U497" s="7"/>
      <c r="V497" s="7"/>
      <c r="W497" s="7"/>
      <c r="X497" s="7"/>
      <c r="Y497" s="7"/>
    </row>
    <row r="498" ht="15.75" customHeight="1">
      <c r="T498" s="7"/>
      <c r="U498" s="7"/>
      <c r="V498" s="7"/>
      <c r="W498" s="7"/>
      <c r="X498" s="7"/>
      <c r="Y498" s="7"/>
    </row>
    <row r="499" ht="15.75" customHeight="1">
      <c r="T499" s="7"/>
      <c r="U499" s="7"/>
      <c r="V499" s="7"/>
      <c r="W499" s="7"/>
      <c r="X499" s="7"/>
      <c r="Y499" s="7"/>
    </row>
    <row r="500" ht="15.75" customHeight="1">
      <c r="T500" s="7"/>
      <c r="U500" s="7"/>
      <c r="V500" s="7"/>
      <c r="W500" s="7"/>
      <c r="X500" s="7"/>
      <c r="Y500" s="7"/>
    </row>
    <row r="501" ht="15.75" customHeight="1">
      <c r="T501" s="7"/>
      <c r="U501" s="7"/>
      <c r="V501" s="7"/>
      <c r="W501" s="7"/>
      <c r="X501" s="7"/>
      <c r="Y501" s="7"/>
    </row>
    <row r="502" ht="15.75" customHeight="1">
      <c r="T502" s="7"/>
      <c r="U502" s="7"/>
      <c r="V502" s="7"/>
      <c r="W502" s="7"/>
      <c r="X502" s="7"/>
      <c r="Y502" s="7"/>
    </row>
    <row r="503" ht="15.75" customHeight="1">
      <c r="T503" s="7"/>
      <c r="U503" s="7"/>
      <c r="V503" s="7"/>
      <c r="W503" s="7"/>
      <c r="X503" s="7"/>
      <c r="Y503" s="7"/>
    </row>
    <row r="504" ht="15.75" customHeight="1">
      <c r="T504" s="7"/>
      <c r="U504" s="7"/>
      <c r="V504" s="7"/>
      <c r="W504" s="7"/>
      <c r="X504" s="7"/>
      <c r="Y504" s="7"/>
    </row>
    <row r="505" ht="15.75" customHeight="1">
      <c r="T505" s="7"/>
      <c r="U505" s="7"/>
      <c r="V505" s="7"/>
      <c r="W505" s="7"/>
      <c r="X505" s="7"/>
      <c r="Y505" s="7"/>
    </row>
    <row r="506" ht="15.75" customHeight="1">
      <c r="T506" s="7"/>
      <c r="U506" s="7"/>
      <c r="V506" s="7"/>
      <c r="W506" s="7"/>
      <c r="X506" s="7"/>
      <c r="Y506" s="7"/>
    </row>
    <row r="507" ht="15.75" customHeight="1">
      <c r="T507" s="7"/>
      <c r="U507" s="7"/>
      <c r="V507" s="7"/>
      <c r="W507" s="7"/>
      <c r="X507" s="7"/>
      <c r="Y507" s="7"/>
    </row>
    <row r="508" ht="15.75" customHeight="1">
      <c r="T508" s="7"/>
      <c r="U508" s="7"/>
      <c r="V508" s="7"/>
      <c r="W508" s="7"/>
      <c r="X508" s="7"/>
      <c r="Y508" s="7"/>
    </row>
    <row r="509" ht="15.75" customHeight="1">
      <c r="T509" s="7"/>
      <c r="U509" s="7"/>
      <c r="V509" s="7"/>
      <c r="W509" s="7"/>
      <c r="X509" s="7"/>
      <c r="Y509" s="7"/>
    </row>
    <row r="510" ht="15.75" customHeight="1">
      <c r="T510" s="7"/>
      <c r="U510" s="7"/>
      <c r="V510" s="7"/>
      <c r="W510" s="7"/>
      <c r="X510" s="7"/>
      <c r="Y510" s="7"/>
    </row>
    <row r="511" ht="15.75" customHeight="1">
      <c r="T511" s="7"/>
      <c r="U511" s="7"/>
      <c r="V511" s="7"/>
      <c r="W511" s="7"/>
      <c r="X511" s="7"/>
      <c r="Y511" s="7"/>
    </row>
    <row r="512" ht="15.75" customHeight="1">
      <c r="T512" s="7"/>
      <c r="U512" s="7"/>
      <c r="V512" s="7"/>
      <c r="W512" s="7"/>
      <c r="X512" s="7"/>
      <c r="Y512" s="7"/>
    </row>
    <row r="513" ht="15.75" customHeight="1">
      <c r="T513" s="7"/>
      <c r="U513" s="7"/>
      <c r="V513" s="7"/>
      <c r="W513" s="7"/>
      <c r="X513" s="7"/>
      <c r="Y513" s="7"/>
    </row>
    <row r="514" ht="15.75" customHeight="1">
      <c r="T514" s="7"/>
      <c r="U514" s="7"/>
      <c r="V514" s="7"/>
      <c r="W514" s="7"/>
      <c r="X514" s="7"/>
      <c r="Y514" s="7"/>
    </row>
    <row r="515" ht="15.75" customHeight="1">
      <c r="T515" s="7"/>
      <c r="U515" s="7"/>
      <c r="V515" s="7"/>
      <c r="W515" s="7"/>
      <c r="X515" s="7"/>
      <c r="Y515" s="7"/>
    </row>
    <row r="516" ht="15.75" customHeight="1">
      <c r="T516" s="7"/>
      <c r="U516" s="7"/>
      <c r="V516" s="7"/>
      <c r="W516" s="7"/>
      <c r="X516" s="7"/>
      <c r="Y516" s="7"/>
    </row>
    <row r="517" ht="15.75" customHeight="1">
      <c r="T517" s="7"/>
      <c r="U517" s="7"/>
      <c r="V517" s="7"/>
      <c r="W517" s="7"/>
      <c r="X517" s="7"/>
      <c r="Y517" s="7"/>
    </row>
    <row r="518" ht="15.75" customHeight="1">
      <c r="T518" s="7"/>
      <c r="U518" s="7"/>
      <c r="V518" s="7"/>
      <c r="W518" s="7"/>
      <c r="X518" s="7"/>
      <c r="Y518" s="7"/>
    </row>
    <row r="519" ht="15.75" customHeight="1">
      <c r="T519" s="7"/>
      <c r="U519" s="7"/>
      <c r="V519" s="7"/>
      <c r="W519" s="7"/>
      <c r="X519" s="7"/>
      <c r="Y519" s="7"/>
    </row>
    <row r="520" ht="15.75" customHeight="1">
      <c r="T520" s="7"/>
      <c r="U520" s="7"/>
      <c r="V520" s="7"/>
      <c r="W520" s="7"/>
      <c r="X520" s="7"/>
      <c r="Y520" s="7"/>
    </row>
    <row r="521" ht="15.75" customHeight="1">
      <c r="T521" s="7"/>
      <c r="U521" s="7"/>
      <c r="V521" s="7"/>
      <c r="W521" s="7"/>
      <c r="X521" s="7"/>
      <c r="Y521" s="7"/>
    </row>
    <row r="522" ht="15.75" customHeight="1">
      <c r="T522" s="7"/>
      <c r="U522" s="7"/>
      <c r="V522" s="7"/>
      <c r="W522" s="7"/>
      <c r="X522" s="7"/>
      <c r="Y522" s="7"/>
    </row>
    <row r="523" ht="15.75" customHeight="1">
      <c r="T523" s="7"/>
      <c r="U523" s="7"/>
      <c r="V523" s="7"/>
      <c r="W523" s="7"/>
      <c r="X523" s="7"/>
      <c r="Y523" s="7"/>
    </row>
    <row r="524" ht="15.75" customHeight="1">
      <c r="T524" s="7"/>
      <c r="U524" s="7"/>
      <c r="V524" s="7"/>
      <c r="W524" s="7"/>
      <c r="X524" s="7"/>
      <c r="Y524" s="7"/>
    </row>
    <row r="525" ht="15.75" customHeight="1">
      <c r="T525" s="7"/>
      <c r="U525" s="7"/>
      <c r="V525" s="7"/>
      <c r="W525" s="7"/>
      <c r="X525" s="7"/>
      <c r="Y525" s="7"/>
    </row>
    <row r="526" ht="15.75" customHeight="1">
      <c r="T526" s="7"/>
      <c r="U526" s="7"/>
      <c r="V526" s="7"/>
      <c r="W526" s="7"/>
      <c r="X526" s="7"/>
      <c r="Y526" s="7"/>
    </row>
    <row r="527" ht="15.75" customHeight="1">
      <c r="T527" s="7"/>
      <c r="U527" s="7"/>
      <c r="V527" s="7"/>
      <c r="W527" s="7"/>
      <c r="X527" s="7"/>
      <c r="Y527" s="7"/>
    </row>
    <row r="528" ht="15.75" customHeight="1">
      <c r="T528" s="7"/>
      <c r="U528" s="7"/>
      <c r="V528" s="7"/>
      <c r="W528" s="7"/>
      <c r="X528" s="7"/>
      <c r="Y528" s="7"/>
    </row>
    <row r="529" ht="15.75" customHeight="1">
      <c r="T529" s="7"/>
      <c r="U529" s="7"/>
      <c r="V529" s="7"/>
      <c r="W529" s="7"/>
      <c r="X529" s="7"/>
      <c r="Y529" s="7"/>
    </row>
    <row r="530" ht="15.75" customHeight="1">
      <c r="T530" s="7"/>
      <c r="U530" s="7"/>
      <c r="V530" s="7"/>
      <c r="W530" s="7"/>
      <c r="X530" s="7"/>
      <c r="Y530" s="7"/>
    </row>
    <row r="531" ht="15.75" customHeight="1">
      <c r="T531" s="7"/>
      <c r="U531" s="7"/>
      <c r="V531" s="7"/>
      <c r="W531" s="7"/>
      <c r="X531" s="7"/>
      <c r="Y531" s="7"/>
    </row>
    <row r="532" ht="15.75" customHeight="1">
      <c r="T532" s="7"/>
      <c r="U532" s="7"/>
      <c r="V532" s="7"/>
      <c r="W532" s="7"/>
      <c r="X532" s="7"/>
      <c r="Y532" s="7"/>
    </row>
    <row r="533" ht="15.75" customHeight="1">
      <c r="T533" s="7"/>
      <c r="U533" s="7"/>
      <c r="V533" s="7"/>
      <c r="W533" s="7"/>
      <c r="X533" s="7"/>
      <c r="Y533" s="7"/>
    </row>
    <row r="534" ht="15.75" customHeight="1">
      <c r="T534" s="7"/>
      <c r="U534" s="7"/>
      <c r="V534" s="7"/>
      <c r="W534" s="7"/>
      <c r="X534" s="7"/>
      <c r="Y534" s="7"/>
    </row>
    <row r="535" ht="15.75" customHeight="1">
      <c r="T535" s="7"/>
      <c r="U535" s="7"/>
      <c r="V535" s="7"/>
      <c r="W535" s="7"/>
      <c r="X535" s="7"/>
      <c r="Y535" s="7"/>
    </row>
    <row r="536" ht="15.75" customHeight="1">
      <c r="T536" s="7"/>
      <c r="U536" s="7"/>
      <c r="V536" s="7"/>
      <c r="W536" s="7"/>
      <c r="X536" s="7"/>
      <c r="Y536" s="7"/>
    </row>
    <row r="537" ht="15.75" customHeight="1">
      <c r="T537" s="7"/>
      <c r="U537" s="7"/>
      <c r="V537" s="7"/>
      <c r="W537" s="7"/>
      <c r="X537" s="7"/>
      <c r="Y537" s="7"/>
    </row>
    <row r="538" ht="15.75" customHeight="1">
      <c r="T538" s="7"/>
      <c r="U538" s="7"/>
      <c r="V538" s="7"/>
      <c r="W538" s="7"/>
      <c r="X538" s="7"/>
      <c r="Y538" s="7"/>
    </row>
    <row r="539" ht="15.75" customHeight="1">
      <c r="T539" s="7"/>
      <c r="U539" s="7"/>
      <c r="V539" s="7"/>
      <c r="W539" s="7"/>
      <c r="X539" s="7"/>
      <c r="Y539" s="7"/>
    </row>
    <row r="540" ht="15.75" customHeight="1">
      <c r="T540" s="7"/>
      <c r="U540" s="7"/>
      <c r="V540" s="7"/>
      <c r="W540" s="7"/>
      <c r="X540" s="7"/>
      <c r="Y540" s="7"/>
    </row>
    <row r="541" ht="15.75" customHeight="1">
      <c r="T541" s="7"/>
      <c r="U541" s="7"/>
      <c r="V541" s="7"/>
      <c r="W541" s="7"/>
      <c r="X541" s="7"/>
      <c r="Y541" s="7"/>
    </row>
    <row r="542" ht="15.75" customHeight="1">
      <c r="T542" s="7"/>
      <c r="U542" s="7"/>
      <c r="V542" s="7"/>
      <c r="W542" s="7"/>
      <c r="X542" s="7"/>
      <c r="Y542" s="7"/>
    </row>
    <row r="543" ht="15.75" customHeight="1">
      <c r="T543" s="7"/>
      <c r="U543" s="7"/>
      <c r="V543" s="7"/>
      <c r="W543" s="7"/>
      <c r="X543" s="7"/>
      <c r="Y543" s="7"/>
    </row>
    <row r="544" ht="15.75" customHeight="1">
      <c r="T544" s="7"/>
      <c r="U544" s="7"/>
      <c r="V544" s="7"/>
      <c r="W544" s="7"/>
      <c r="X544" s="7"/>
      <c r="Y544" s="7"/>
    </row>
    <row r="545" ht="15.75" customHeight="1">
      <c r="T545" s="7"/>
      <c r="U545" s="7"/>
      <c r="V545" s="7"/>
      <c r="W545" s="7"/>
      <c r="X545" s="7"/>
      <c r="Y545" s="7"/>
    </row>
    <row r="546" ht="15.75" customHeight="1">
      <c r="T546" s="7"/>
      <c r="U546" s="7"/>
      <c r="V546" s="7"/>
      <c r="W546" s="7"/>
      <c r="X546" s="7"/>
      <c r="Y546" s="7"/>
    </row>
    <row r="547" ht="15.75" customHeight="1">
      <c r="T547" s="7"/>
      <c r="U547" s="7"/>
      <c r="V547" s="7"/>
      <c r="W547" s="7"/>
      <c r="X547" s="7"/>
      <c r="Y547" s="7"/>
    </row>
    <row r="548" ht="15.75" customHeight="1">
      <c r="T548" s="7"/>
      <c r="U548" s="7"/>
      <c r="V548" s="7"/>
      <c r="W548" s="7"/>
      <c r="X548" s="7"/>
      <c r="Y548" s="7"/>
    </row>
    <row r="549" ht="15.75" customHeight="1">
      <c r="T549" s="7"/>
      <c r="U549" s="7"/>
      <c r="V549" s="7"/>
      <c r="W549" s="7"/>
      <c r="X549" s="7"/>
      <c r="Y549" s="7"/>
    </row>
    <row r="550" ht="15.75" customHeight="1">
      <c r="T550" s="7"/>
      <c r="U550" s="7"/>
      <c r="V550" s="7"/>
      <c r="W550" s="7"/>
      <c r="X550" s="7"/>
      <c r="Y550" s="7"/>
    </row>
    <row r="551" ht="15.75" customHeight="1">
      <c r="T551" s="7"/>
      <c r="U551" s="7"/>
      <c r="V551" s="7"/>
      <c r="W551" s="7"/>
      <c r="X551" s="7"/>
      <c r="Y551" s="7"/>
    </row>
    <row r="552" ht="15.75" customHeight="1">
      <c r="T552" s="7"/>
      <c r="U552" s="7"/>
      <c r="V552" s="7"/>
      <c r="W552" s="7"/>
      <c r="X552" s="7"/>
      <c r="Y552" s="7"/>
    </row>
    <row r="553" ht="15.75" customHeight="1">
      <c r="T553" s="7"/>
      <c r="U553" s="7"/>
      <c r="V553" s="7"/>
      <c r="W553" s="7"/>
      <c r="X553" s="7"/>
      <c r="Y553" s="7"/>
    </row>
    <row r="554" ht="15.75" customHeight="1">
      <c r="T554" s="7"/>
      <c r="U554" s="7"/>
      <c r="V554" s="7"/>
      <c r="W554" s="7"/>
      <c r="X554" s="7"/>
      <c r="Y554" s="7"/>
    </row>
    <row r="555" ht="15.75" customHeight="1">
      <c r="T555" s="7"/>
      <c r="U555" s="7"/>
      <c r="V555" s="7"/>
      <c r="W555" s="7"/>
      <c r="X555" s="7"/>
      <c r="Y555" s="7"/>
    </row>
    <row r="556" ht="15.75" customHeight="1">
      <c r="T556" s="7"/>
      <c r="U556" s="7"/>
      <c r="V556" s="7"/>
      <c r="W556" s="7"/>
      <c r="X556" s="7"/>
      <c r="Y556" s="7"/>
    </row>
    <row r="557" ht="15.75" customHeight="1">
      <c r="T557" s="7"/>
      <c r="U557" s="7"/>
      <c r="V557" s="7"/>
      <c r="W557" s="7"/>
      <c r="X557" s="7"/>
      <c r="Y557" s="7"/>
    </row>
    <row r="558" ht="15.75" customHeight="1">
      <c r="T558" s="7"/>
      <c r="U558" s="7"/>
      <c r="V558" s="7"/>
      <c r="W558" s="7"/>
      <c r="X558" s="7"/>
      <c r="Y558" s="7"/>
    </row>
    <row r="559" ht="15.75" customHeight="1">
      <c r="T559" s="7"/>
      <c r="U559" s="7"/>
      <c r="V559" s="7"/>
      <c r="W559" s="7"/>
      <c r="X559" s="7"/>
      <c r="Y559" s="7"/>
    </row>
    <row r="560" ht="15.75" customHeight="1">
      <c r="T560" s="7"/>
      <c r="U560" s="7"/>
      <c r="V560" s="7"/>
      <c r="W560" s="7"/>
      <c r="X560" s="7"/>
      <c r="Y560" s="7"/>
    </row>
    <row r="561" ht="15.75" customHeight="1">
      <c r="T561" s="7"/>
      <c r="U561" s="7"/>
      <c r="V561" s="7"/>
      <c r="W561" s="7"/>
      <c r="X561" s="7"/>
      <c r="Y561" s="7"/>
    </row>
    <row r="562" ht="15.75" customHeight="1">
      <c r="T562" s="7"/>
      <c r="U562" s="7"/>
      <c r="V562" s="7"/>
      <c r="W562" s="7"/>
      <c r="X562" s="7"/>
      <c r="Y562" s="7"/>
    </row>
    <row r="563" ht="15.75" customHeight="1">
      <c r="T563" s="7"/>
      <c r="U563" s="7"/>
      <c r="V563" s="7"/>
      <c r="W563" s="7"/>
      <c r="X563" s="7"/>
      <c r="Y563" s="7"/>
    </row>
    <row r="564" ht="15.75" customHeight="1">
      <c r="T564" s="7"/>
      <c r="U564" s="7"/>
      <c r="V564" s="7"/>
      <c r="W564" s="7"/>
      <c r="X564" s="7"/>
      <c r="Y564" s="7"/>
    </row>
    <row r="565" ht="15.75" customHeight="1">
      <c r="T565" s="7"/>
      <c r="U565" s="7"/>
      <c r="V565" s="7"/>
      <c r="W565" s="7"/>
      <c r="X565" s="7"/>
      <c r="Y565" s="7"/>
    </row>
    <row r="566" ht="15.75" customHeight="1">
      <c r="T566" s="7"/>
      <c r="U566" s="7"/>
      <c r="V566" s="7"/>
      <c r="W566" s="7"/>
      <c r="X566" s="7"/>
      <c r="Y566" s="7"/>
    </row>
    <row r="567" ht="15.75" customHeight="1">
      <c r="T567" s="7"/>
      <c r="U567" s="7"/>
      <c r="V567" s="7"/>
      <c r="W567" s="7"/>
      <c r="X567" s="7"/>
      <c r="Y567" s="7"/>
    </row>
    <row r="568" ht="15.75" customHeight="1">
      <c r="T568" s="7"/>
      <c r="U568" s="7"/>
      <c r="V568" s="7"/>
      <c r="W568" s="7"/>
      <c r="X568" s="7"/>
      <c r="Y568" s="7"/>
    </row>
    <row r="569" ht="15.75" customHeight="1">
      <c r="T569" s="7"/>
      <c r="U569" s="7"/>
      <c r="V569" s="7"/>
      <c r="W569" s="7"/>
      <c r="X569" s="7"/>
      <c r="Y569" s="7"/>
    </row>
    <row r="570" ht="15.75" customHeight="1">
      <c r="T570" s="7"/>
      <c r="U570" s="7"/>
      <c r="V570" s="7"/>
      <c r="W570" s="7"/>
      <c r="X570" s="7"/>
      <c r="Y570" s="7"/>
    </row>
    <row r="571" ht="15.75" customHeight="1">
      <c r="T571" s="7"/>
      <c r="U571" s="7"/>
      <c r="V571" s="7"/>
      <c r="W571" s="7"/>
      <c r="X571" s="7"/>
      <c r="Y571" s="7"/>
    </row>
    <row r="572" ht="15.75" customHeight="1">
      <c r="T572" s="7"/>
      <c r="U572" s="7"/>
      <c r="V572" s="7"/>
      <c r="W572" s="7"/>
      <c r="X572" s="7"/>
      <c r="Y572" s="7"/>
    </row>
    <row r="573" ht="15.75" customHeight="1">
      <c r="T573" s="7"/>
      <c r="U573" s="7"/>
      <c r="V573" s="7"/>
      <c r="W573" s="7"/>
      <c r="X573" s="7"/>
      <c r="Y573" s="7"/>
    </row>
    <row r="574" ht="15.75" customHeight="1">
      <c r="T574" s="7"/>
      <c r="U574" s="7"/>
      <c r="V574" s="7"/>
      <c r="W574" s="7"/>
      <c r="X574" s="7"/>
      <c r="Y574" s="7"/>
    </row>
    <row r="575" ht="15.75" customHeight="1">
      <c r="T575" s="7"/>
      <c r="U575" s="7"/>
      <c r="V575" s="7"/>
      <c r="W575" s="7"/>
      <c r="X575" s="7"/>
      <c r="Y575" s="7"/>
    </row>
    <row r="576" ht="15.75" customHeight="1">
      <c r="T576" s="7"/>
      <c r="U576" s="7"/>
      <c r="V576" s="7"/>
      <c r="W576" s="7"/>
      <c r="X576" s="7"/>
      <c r="Y576" s="7"/>
    </row>
    <row r="577" ht="15.75" customHeight="1">
      <c r="T577" s="7"/>
      <c r="U577" s="7"/>
      <c r="V577" s="7"/>
      <c r="W577" s="7"/>
      <c r="X577" s="7"/>
      <c r="Y577" s="7"/>
    </row>
    <row r="578" ht="15.75" customHeight="1">
      <c r="T578" s="7"/>
      <c r="U578" s="7"/>
      <c r="V578" s="7"/>
      <c r="W578" s="7"/>
      <c r="X578" s="7"/>
      <c r="Y578" s="7"/>
    </row>
    <row r="579" ht="15.75" customHeight="1">
      <c r="T579" s="7"/>
      <c r="U579" s="7"/>
      <c r="V579" s="7"/>
      <c r="W579" s="7"/>
      <c r="X579" s="7"/>
      <c r="Y579" s="7"/>
    </row>
    <row r="580" ht="15.75" customHeight="1">
      <c r="T580" s="7"/>
      <c r="U580" s="7"/>
      <c r="V580" s="7"/>
      <c r="W580" s="7"/>
      <c r="X580" s="7"/>
      <c r="Y580" s="7"/>
    </row>
    <row r="581" ht="15.75" customHeight="1">
      <c r="T581" s="7"/>
      <c r="U581" s="7"/>
      <c r="V581" s="7"/>
      <c r="W581" s="7"/>
      <c r="X581" s="7"/>
      <c r="Y581" s="7"/>
    </row>
    <row r="582" ht="15.75" customHeight="1">
      <c r="T582" s="7"/>
      <c r="U582" s="7"/>
      <c r="V582" s="7"/>
      <c r="W582" s="7"/>
      <c r="X582" s="7"/>
      <c r="Y582" s="7"/>
    </row>
    <row r="583" ht="15.75" customHeight="1">
      <c r="T583" s="7"/>
      <c r="U583" s="7"/>
      <c r="V583" s="7"/>
      <c r="W583" s="7"/>
      <c r="X583" s="7"/>
      <c r="Y583" s="7"/>
    </row>
    <row r="584" ht="15.75" customHeight="1">
      <c r="T584" s="7"/>
      <c r="U584" s="7"/>
      <c r="V584" s="7"/>
      <c r="W584" s="7"/>
      <c r="X584" s="7"/>
      <c r="Y584" s="7"/>
    </row>
    <row r="585" ht="15.75" customHeight="1">
      <c r="T585" s="7"/>
      <c r="U585" s="7"/>
      <c r="V585" s="7"/>
      <c r="W585" s="7"/>
      <c r="X585" s="7"/>
      <c r="Y585" s="7"/>
    </row>
    <row r="586" ht="15.75" customHeight="1">
      <c r="T586" s="7"/>
      <c r="U586" s="7"/>
      <c r="V586" s="7"/>
      <c r="W586" s="7"/>
      <c r="X586" s="7"/>
      <c r="Y586" s="7"/>
    </row>
    <row r="587" ht="15.75" customHeight="1">
      <c r="T587" s="7"/>
      <c r="U587" s="7"/>
      <c r="V587" s="7"/>
      <c r="W587" s="7"/>
      <c r="X587" s="7"/>
      <c r="Y587" s="7"/>
    </row>
    <row r="588" ht="15.75" customHeight="1">
      <c r="T588" s="7"/>
      <c r="U588" s="7"/>
      <c r="V588" s="7"/>
      <c r="W588" s="7"/>
      <c r="X588" s="7"/>
      <c r="Y588" s="7"/>
    </row>
    <row r="589" ht="15.75" customHeight="1">
      <c r="T589" s="7"/>
      <c r="U589" s="7"/>
      <c r="V589" s="7"/>
      <c r="W589" s="7"/>
      <c r="X589" s="7"/>
      <c r="Y589" s="7"/>
    </row>
    <row r="590" ht="15.75" customHeight="1">
      <c r="T590" s="7"/>
      <c r="U590" s="7"/>
      <c r="V590" s="7"/>
      <c r="W590" s="7"/>
      <c r="X590" s="7"/>
      <c r="Y590" s="7"/>
    </row>
    <row r="591" ht="15.75" customHeight="1">
      <c r="T591" s="7"/>
      <c r="U591" s="7"/>
      <c r="V591" s="7"/>
      <c r="W591" s="7"/>
      <c r="X591" s="7"/>
      <c r="Y591" s="7"/>
    </row>
    <row r="592" ht="15.75" customHeight="1">
      <c r="T592" s="7"/>
      <c r="U592" s="7"/>
      <c r="V592" s="7"/>
      <c r="W592" s="7"/>
      <c r="X592" s="7"/>
      <c r="Y592" s="7"/>
    </row>
    <row r="593" ht="15.75" customHeight="1">
      <c r="T593" s="7"/>
      <c r="U593" s="7"/>
      <c r="V593" s="7"/>
      <c r="W593" s="7"/>
      <c r="X593" s="7"/>
      <c r="Y593" s="7"/>
    </row>
    <row r="594" ht="15.75" customHeight="1">
      <c r="T594" s="7"/>
      <c r="U594" s="7"/>
      <c r="V594" s="7"/>
      <c r="W594" s="7"/>
      <c r="X594" s="7"/>
      <c r="Y594" s="7"/>
    </row>
    <row r="595" ht="15.75" customHeight="1">
      <c r="T595" s="7"/>
      <c r="U595" s="7"/>
      <c r="V595" s="7"/>
      <c r="W595" s="7"/>
      <c r="X595" s="7"/>
      <c r="Y595" s="7"/>
    </row>
    <row r="596" ht="15.75" customHeight="1">
      <c r="T596" s="7"/>
      <c r="U596" s="7"/>
      <c r="V596" s="7"/>
      <c r="W596" s="7"/>
      <c r="X596" s="7"/>
      <c r="Y596" s="7"/>
    </row>
    <row r="597" ht="15.75" customHeight="1">
      <c r="T597" s="7"/>
      <c r="U597" s="7"/>
      <c r="V597" s="7"/>
      <c r="W597" s="7"/>
      <c r="X597" s="7"/>
      <c r="Y597" s="7"/>
    </row>
    <row r="598" ht="15.75" customHeight="1">
      <c r="T598" s="7"/>
      <c r="U598" s="7"/>
      <c r="V598" s="7"/>
      <c r="W598" s="7"/>
      <c r="X598" s="7"/>
      <c r="Y598" s="7"/>
    </row>
    <row r="599" ht="15.75" customHeight="1">
      <c r="T599" s="7"/>
      <c r="U599" s="7"/>
      <c r="V599" s="7"/>
      <c r="W599" s="7"/>
      <c r="X599" s="7"/>
      <c r="Y599" s="7"/>
    </row>
    <row r="600" ht="15.75" customHeight="1">
      <c r="T600" s="7"/>
      <c r="U600" s="7"/>
      <c r="V600" s="7"/>
      <c r="W600" s="7"/>
      <c r="X600" s="7"/>
      <c r="Y600" s="7"/>
    </row>
    <row r="601" ht="15.75" customHeight="1">
      <c r="T601" s="7"/>
      <c r="U601" s="7"/>
      <c r="V601" s="7"/>
      <c r="W601" s="7"/>
      <c r="X601" s="7"/>
      <c r="Y601" s="7"/>
    </row>
    <row r="602" ht="15.75" customHeight="1">
      <c r="T602" s="7"/>
      <c r="U602" s="7"/>
      <c r="V602" s="7"/>
      <c r="W602" s="7"/>
      <c r="X602" s="7"/>
      <c r="Y602" s="7"/>
    </row>
    <row r="603" ht="15.75" customHeight="1">
      <c r="T603" s="7"/>
      <c r="U603" s="7"/>
      <c r="V603" s="7"/>
      <c r="W603" s="7"/>
      <c r="X603" s="7"/>
      <c r="Y603" s="7"/>
    </row>
    <row r="604" ht="15.75" customHeight="1">
      <c r="T604" s="7"/>
      <c r="U604" s="7"/>
      <c r="V604" s="7"/>
      <c r="W604" s="7"/>
      <c r="X604" s="7"/>
      <c r="Y604" s="7"/>
    </row>
    <row r="605" ht="15.75" customHeight="1">
      <c r="T605" s="7"/>
      <c r="U605" s="7"/>
      <c r="V605" s="7"/>
      <c r="W605" s="7"/>
      <c r="X605" s="7"/>
      <c r="Y605" s="7"/>
    </row>
    <row r="606" ht="15.75" customHeight="1">
      <c r="T606" s="7"/>
      <c r="U606" s="7"/>
      <c r="V606" s="7"/>
      <c r="W606" s="7"/>
      <c r="X606" s="7"/>
      <c r="Y606" s="7"/>
    </row>
    <row r="607" ht="15.75" customHeight="1">
      <c r="T607" s="7"/>
      <c r="U607" s="7"/>
      <c r="V607" s="7"/>
      <c r="W607" s="7"/>
      <c r="X607" s="7"/>
      <c r="Y607" s="7"/>
    </row>
    <row r="608" ht="15.75" customHeight="1">
      <c r="T608" s="7"/>
      <c r="U608" s="7"/>
      <c r="V608" s="7"/>
      <c r="W608" s="7"/>
      <c r="X608" s="7"/>
      <c r="Y608" s="7"/>
    </row>
    <row r="609" ht="15.75" customHeight="1">
      <c r="T609" s="7"/>
      <c r="U609" s="7"/>
      <c r="V609" s="7"/>
      <c r="W609" s="7"/>
      <c r="X609" s="7"/>
      <c r="Y609" s="7"/>
    </row>
    <row r="610" ht="15.75" customHeight="1">
      <c r="T610" s="7"/>
      <c r="U610" s="7"/>
      <c r="V610" s="7"/>
      <c r="W610" s="7"/>
      <c r="X610" s="7"/>
      <c r="Y610" s="7"/>
    </row>
    <row r="611" ht="15.75" customHeight="1">
      <c r="T611" s="7"/>
      <c r="U611" s="7"/>
      <c r="V611" s="7"/>
      <c r="W611" s="7"/>
      <c r="X611" s="7"/>
      <c r="Y611" s="7"/>
    </row>
    <row r="612" ht="15.75" customHeight="1">
      <c r="T612" s="7"/>
      <c r="U612" s="7"/>
      <c r="V612" s="7"/>
      <c r="W612" s="7"/>
      <c r="X612" s="7"/>
      <c r="Y612" s="7"/>
    </row>
    <row r="613" ht="15.75" customHeight="1">
      <c r="T613" s="7"/>
      <c r="U613" s="7"/>
      <c r="V613" s="7"/>
      <c r="W613" s="7"/>
      <c r="X613" s="7"/>
      <c r="Y613" s="7"/>
    </row>
    <row r="614" ht="15.75" customHeight="1">
      <c r="T614" s="7"/>
      <c r="U614" s="7"/>
      <c r="V614" s="7"/>
      <c r="W614" s="7"/>
      <c r="X614" s="7"/>
      <c r="Y614" s="7"/>
    </row>
    <row r="615" ht="15.75" customHeight="1">
      <c r="T615" s="7"/>
      <c r="U615" s="7"/>
      <c r="V615" s="7"/>
      <c r="W615" s="7"/>
      <c r="X615" s="7"/>
      <c r="Y615" s="7"/>
    </row>
    <row r="616" ht="15.75" customHeight="1">
      <c r="T616" s="7"/>
      <c r="U616" s="7"/>
      <c r="V616" s="7"/>
      <c r="W616" s="7"/>
      <c r="X616" s="7"/>
      <c r="Y616" s="7"/>
    </row>
    <row r="617" ht="15.75" customHeight="1">
      <c r="T617" s="7"/>
      <c r="U617" s="7"/>
      <c r="V617" s="7"/>
      <c r="W617" s="7"/>
      <c r="X617" s="7"/>
      <c r="Y617" s="7"/>
    </row>
    <row r="618" ht="15.75" customHeight="1">
      <c r="T618" s="7"/>
      <c r="U618" s="7"/>
      <c r="V618" s="7"/>
      <c r="W618" s="7"/>
      <c r="X618" s="7"/>
      <c r="Y618" s="7"/>
    </row>
    <row r="619" ht="15.75" customHeight="1">
      <c r="T619" s="7"/>
      <c r="U619" s="7"/>
      <c r="V619" s="7"/>
      <c r="W619" s="7"/>
      <c r="X619" s="7"/>
      <c r="Y619" s="7"/>
    </row>
    <row r="620" ht="15.75" customHeight="1">
      <c r="T620" s="7"/>
      <c r="U620" s="7"/>
      <c r="V620" s="7"/>
      <c r="W620" s="7"/>
      <c r="X620" s="7"/>
      <c r="Y620" s="7"/>
    </row>
    <row r="621" ht="15.75" customHeight="1">
      <c r="T621" s="7"/>
      <c r="U621" s="7"/>
      <c r="V621" s="7"/>
      <c r="W621" s="7"/>
      <c r="X621" s="7"/>
      <c r="Y621" s="7"/>
    </row>
    <row r="622" ht="15.75" customHeight="1">
      <c r="T622" s="7"/>
      <c r="U622" s="7"/>
      <c r="V622" s="7"/>
      <c r="W622" s="7"/>
      <c r="X622" s="7"/>
      <c r="Y622" s="7"/>
    </row>
    <row r="623" ht="15.75" customHeight="1">
      <c r="T623" s="7"/>
      <c r="U623" s="7"/>
      <c r="V623" s="7"/>
      <c r="W623" s="7"/>
      <c r="X623" s="7"/>
      <c r="Y623" s="7"/>
    </row>
    <row r="624" ht="15.75" customHeight="1">
      <c r="T624" s="7"/>
      <c r="U624" s="7"/>
      <c r="V624" s="7"/>
      <c r="W624" s="7"/>
      <c r="X624" s="7"/>
      <c r="Y624" s="7"/>
    </row>
    <row r="625" ht="15.75" customHeight="1">
      <c r="T625" s="7"/>
      <c r="U625" s="7"/>
      <c r="V625" s="7"/>
      <c r="W625" s="7"/>
      <c r="X625" s="7"/>
      <c r="Y625" s="7"/>
    </row>
    <row r="626" ht="15.75" customHeight="1">
      <c r="T626" s="7"/>
      <c r="U626" s="7"/>
      <c r="V626" s="7"/>
      <c r="W626" s="7"/>
      <c r="X626" s="7"/>
      <c r="Y626" s="7"/>
    </row>
    <row r="627" ht="15.75" customHeight="1">
      <c r="T627" s="7"/>
      <c r="U627" s="7"/>
      <c r="V627" s="7"/>
      <c r="W627" s="7"/>
      <c r="X627" s="7"/>
      <c r="Y627" s="7"/>
    </row>
    <row r="628" ht="15.75" customHeight="1">
      <c r="T628" s="7"/>
      <c r="U628" s="7"/>
      <c r="V628" s="7"/>
      <c r="W628" s="7"/>
      <c r="X628" s="7"/>
      <c r="Y628" s="7"/>
    </row>
    <row r="629" ht="15.75" customHeight="1">
      <c r="T629" s="7"/>
      <c r="U629" s="7"/>
      <c r="V629" s="7"/>
      <c r="W629" s="7"/>
      <c r="X629" s="7"/>
      <c r="Y629" s="7"/>
    </row>
    <row r="630" ht="15.75" customHeight="1">
      <c r="T630" s="7"/>
      <c r="U630" s="7"/>
      <c r="V630" s="7"/>
      <c r="W630" s="7"/>
      <c r="X630" s="7"/>
      <c r="Y630" s="7"/>
    </row>
    <row r="631" ht="15.75" customHeight="1">
      <c r="T631" s="7"/>
      <c r="U631" s="7"/>
      <c r="V631" s="7"/>
      <c r="W631" s="7"/>
      <c r="X631" s="7"/>
      <c r="Y631" s="7"/>
    </row>
    <row r="632" ht="15.75" customHeight="1">
      <c r="T632" s="7"/>
      <c r="U632" s="7"/>
      <c r="V632" s="7"/>
      <c r="W632" s="7"/>
      <c r="X632" s="7"/>
      <c r="Y632" s="7"/>
    </row>
    <row r="633" ht="15.75" customHeight="1">
      <c r="T633" s="7"/>
      <c r="U633" s="7"/>
      <c r="V633" s="7"/>
      <c r="W633" s="7"/>
      <c r="X633" s="7"/>
      <c r="Y633" s="7"/>
    </row>
    <row r="634" ht="15.75" customHeight="1">
      <c r="T634" s="7"/>
      <c r="U634" s="7"/>
      <c r="V634" s="7"/>
      <c r="W634" s="7"/>
      <c r="X634" s="7"/>
      <c r="Y634" s="7"/>
    </row>
    <row r="635" ht="15.75" customHeight="1">
      <c r="T635" s="7"/>
      <c r="U635" s="7"/>
      <c r="V635" s="7"/>
      <c r="W635" s="7"/>
      <c r="X635" s="7"/>
      <c r="Y635" s="7"/>
    </row>
    <row r="636" ht="15.75" customHeight="1">
      <c r="T636" s="7"/>
      <c r="U636" s="7"/>
      <c r="V636" s="7"/>
      <c r="W636" s="7"/>
      <c r="X636" s="7"/>
      <c r="Y636" s="7"/>
    </row>
    <row r="637" ht="15.75" customHeight="1">
      <c r="T637" s="7"/>
      <c r="U637" s="7"/>
      <c r="V637" s="7"/>
      <c r="W637" s="7"/>
      <c r="X637" s="7"/>
      <c r="Y637" s="7"/>
    </row>
    <row r="638" ht="15.75" customHeight="1">
      <c r="T638" s="7"/>
      <c r="U638" s="7"/>
      <c r="V638" s="7"/>
      <c r="W638" s="7"/>
      <c r="X638" s="7"/>
      <c r="Y638" s="7"/>
    </row>
    <row r="639" ht="15.75" customHeight="1">
      <c r="T639" s="7"/>
      <c r="U639" s="7"/>
      <c r="V639" s="7"/>
      <c r="W639" s="7"/>
      <c r="X639" s="7"/>
      <c r="Y639" s="7"/>
    </row>
    <row r="640" ht="15.75" customHeight="1">
      <c r="T640" s="7"/>
      <c r="U640" s="7"/>
      <c r="V640" s="7"/>
      <c r="W640" s="7"/>
      <c r="X640" s="7"/>
      <c r="Y640" s="7"/>
    </row>
    <row r="641" ht="15.75" customHeight="1">
      <c r="T641" s="7"/>
      <c r="U641" s="7"/>
      <c r="V641" s="7"/>
      <c r="W641" s="7"/>
      <c r="X641" s="7"/>
      <c r="Y641" s="7"/>
    </row>
    <row r="642" ht="15.75" customHeight="1">
      <c r="T642" s="7"/>
      <c r="U642" s="7"/>
      <c r="V642" s="7"/>
      <c r="W642" s="7"/>
      <c r="X642" s="7"/>
      <c r="Y642" s="7"/>
    </row>
    <row r="643" ht="15.75" customHeight="1">
      <c r="T643" s="7"/>
      <c r="U643" s="7"/>
      <c r="V643" s="7"/>
      <c r="W643" s="7"/>
      <c r="X643" s="7"/>
      <c r="Y643" s="7"/>
    </row>
    <row r="644" ht="15.75" customHeight="1">
      <c r="T644" s="7"/>
      <c r="U644" s="7"/>
      <c r="V644" s="7"/>
      <c r="W644" s="7"/>
      <c r="X644" s="7"/>
      <c r="Y644" s="7"/>
    </row>
    <row r="645" ht="15.75" customHeight="1">
      <c r="T645" s="7"/>
      <c r="U645" s="7"/>
      <c r="V645" s="7"/>
      <c r="W645" s="7"/>
      <c r="X645" s="7"/>
      <c r="Y645" s="7"/>
    </row>
    <row r="646" ht="15.75" customHeight="1">
      <c r="T646" s="7"/>
      <c r="U646" s="7"/>
      <c r="V646" s="7"/>
      <c r="W646" s="7"/>
      <c r="X646" s="7"/>
      <c r="Y646" s="7"/>
    </row>
    <row r="647" ht="15.75" customHeight="1">
      <c r="T647" s="7"/>
      <c r="U647" s="7"/>
      <c r="V647" s="7"/>
      <c r="W647" s="7"/>
      <c r="X647" s="7"/>
      <c r="Y647" s="7"/>
    </row>
    <row r="648" ht="15.75" customHeight="1">
      <c r="T648" s="7"/>
      <c r="U648" s="7"/>
      <c r="V648" s="7"/>
      <c r="W648" s="7"/>
      <c r="X648" s="7"/>
      <c r="Y648" s="7"/>
    </row>
    <row r="649" ht="15.75" customHeight="1">
      <c r="T649" s="7"/>
      <c r="U649" s="7"/>
      <c r="V649" s="7"/>
      <c r="W649" s="7"/>
      <c r="X649" s="7"/>
      <c r="Y649" s="7"/>
    </row>
    <row r="650" ht="15.75" customHeight="1">
      <c r="T650" s="7"/>
      <c r="U650" s="7"/>
      <c r="V650" s="7"/>
      <c r="W650" s="7"/>
      <c r="X650" s="7"/>
      <c r="Y650" s="7"/>
    </row>
    <row r="651" ht="15.75" customHeight="1">
      <c r="T651" s="7"/>
      <c r="U651" s="7"/>
      <c r="V651" s="7"/>
      <c r="W651" s="7"/>
      <c r="X651" s="7"/>
      <c r="Y651" s="7"/>
    </row>
    <row r="652" ht="15.75" customHeight="1">
      <c r="T652" s="7"/>
      <c r="U652" s="7"/>
      <c r="V652" s="7"/>
      <c r="W652" s="7"/>
      <c r="X652" s="7"/>
      <c r="Y652" s="7"/>
    </row>
    <row r="653" ht="15.75" customHeight="1">
      <c r="T653" s="7"/>
      <c r="U653" s="7"/>
      <c r="V653" s="7"/>
      <c r="W653" s="7"/>
      <c r="X653" s="7"/>
      <c r="Y653" s="7"/>
    </row>
    <row r="654" ht="15.75" customHeight="1">
      <c r="T654" s="7"/>
      <c r="U654" s="7"/>
      <c r="V654" s="7"/>
      <c r="W654" s="7"/>
      <c r="X654" s="7"/>
      <c r="Y654" s="7"/>
    </row>
    <row r="655" ht="15.75" customHeight="1">
      <c r="T655" s="7"/>
      <c r="U655" s="7"/>
      <c r="V655" s="7"/>
      <c r="W655" s="7"/>
      <c r="X655" s="7"/>
      <c r="Y655" s="7"/>
    </row>
    <row r="656" ht="15.75" customHeight="1">
      <c r="T656" s="7"/>
      <c r="U656" s="7"/>
      <c r="V656" s="7"/>
      <c r="W656" s="7"/>
      <c r="X656" s="7"/>
      <c r="Y656" s="7"/>
    </row>
    <row r="657" ht="15.75" customHeight="1">
      <c r="T657" s="7"/>
      <c r="U657" s="7"/>
      <c r="V657" s="7"/>
      <c r="W657" s="7"/>
      <c r="X657" s="7"/>
      <c r="Y657" s="7"/>
    </row>
    <row r="658" ht="15.75" customHeight="1">
      <c r="T658" s="7"/>
      <c r="U658" s="7"/>
      <c r="V658" s="7"/>
      <c r="W658" s="7"/>
      <c r="X658" s="7"/>
      <c r="Y658" s="7"/>
    </row>
    <row r="659" ht="15.75" customHeight="1">
      <c r="T659" s="7"/>
      <c r="U659" s="7"/>
      <c r="V659" s="7"/>
      <c r="W659" s="7"/>
      <c r="X659" s="7"/>
      <c r="Y659" s="7"/>
    </row>
    <row r="660" ht="15.75" customHeight="1">
      <c r="T660" s="7"/>
      <c r="U660" s="7"/>
      <c r="V660" s="7"/>
      <c r="W660" s="7"/>
      <c r="X660" s="7"/>
      <c r="Y660" s="7"/>
    </row>
    <row r="661" ht="15.75" customHeight="1">
      <c r="T661" s="7"/>
      <c r="U661" s="7"/>
      <c r="V661" s="7"/>
      <c r="W661" s="7"/>
      <c r="X661" s="7"/>
      <c r="Y661" s="7"/>
    </row>
    <row r="662" ht="15.75" customHeight="1">
      <c r="T662" s="7"/>
      <c r="U662" s="7"/>
      <c r="V662" s="7"/>
      <c r="W662" s="7"/>
      <c r="X662" s="7"/>
      <c r="Y662" s="7"/>
    </row>
    <row r="663" ht="15.75" customHeight="1">
      <c r="T663" s="7"/>
      <c r="U663" s="7"/>
      <c r="V663" s="7"/>
      <c r="W663" s="7"/>
      <c r="X663" s="7"/>
      <c r="Y663" s="7"/>
    </row>
    <row r="664" ht="15.75" customHeight="1">
      <c r="T664" s="7"/>
      <c r="U664" s="7"/>
      <c r="V664" s="7"/>
      <c r="W664" s="7"/>
      <c r="X664" s="7"/>
      <c r="Y664" s="7"/>
    </row>
    <row r="665" ht="15.75" customHeight="1">
      <c r="T665" s="7"/>
      <c r="U665" s="7"/>
      <c r="V665" s="7"/>
      <c r="W665" s="7"/>
      <c r="X665" s="7"/>
      <c r="Y665" s="7"/>
    </row>
    <row r="666" ht="15.75" customHeight="1">
      <c r="T666" s="7"/>
      <c r="U666" s="7"/>
      <c r="V666" s="7"/>
      <c r="W666" s="7"/>
      <c r="X666" s="7"/>
      <c r="Y666" s="7"/>
    </row>
    <row r="667" ht="15.75" customHeight="1">
      <c r="T667" s="7"/>
      <c r="U667" s="7"/>
      <c r="V667" s="7"/>
      <c r="W667" s="7"/>
      <c r="X667" s="7"/>
      <c r="Y667" s="7"/>
    </row>
    <row r="668" ht="15.75" customHeight="1">
      <c r="T668" s="7"/>
      <c r="U668" s="7"/>
      <c r="V668" s="7"/>
      <c r="W668" s="7"/>
      <c r="X668" s="7"/>
      <c r="Y668" s="7"/>
    </row>
    <row r="669" ht="15.75" customHeight="1">
      <c r="T669" s="7"/>
      <c r="U669" s="7"/>
      <c r="V669" s="7"/>
      <c r="W669" s="7"/>
      <c r="X669" s="7"/>
      <c r="Y669" s="7"/>
    </row>
    <row r="670" ht="15.75" customHeight="1">
      <c r="T670" s="7"/>
      <c r="U670" s="7"/>
      <c r="V670" s="7"/>
      <c r="W670" s="7"/>
      <c r="X670" s="7"/>
      <c r="Y670" s="7"/>
    </row>
    <row r="671" ht="15.75" customHeight="1">
      <c r="T671" s="7"/>
      <c r="U671" s="7"/>
      <c r="V671" s="7"/>
      <c r="W671" s="7"/>
      <c r="X671" s="7"/>
      <c r="Y671" s="7"/>
    </row>
    <row r="672" ht="15.75" customHeight="1">
      <c r="T672" s="7"/>
      <c r="U672" s="7"/>
      <c r="V672" s="7"/>
      <c r="W672" s="7"/>
      <c r="X672" s="7"/>
      <c r="Y672" s="7"/>
    </row>
    <row r="673" ht="15.75" customHeight="1">
      <c r="T673" s="7"/>
      <c r="U673" s="7"/>
      <c r="V673" s="7"/>
      <c r="W673" s="7"/>
      <c r="X673" s="7"/>
      <c r="Y673" s="7"/>
    </row>
    <row r="674" ht="15.75" customHeight="1">
      <c r="T674" s="7"/>
      <c r="U674" s="7"/>
      <c r="V674" s="7"/>
      <c r="W674" s="7"/>
      <c r="X674" s="7"/>
      <c r="Y674" s="7"/>
    </row>
    <row r="675" ht="15.75" customHeight="1">
      <c r="T675" s="7"/>
      <c r="U675" s="7"/>
      <c r="V675" s="7"/>
      <c r="W675" s="7"/>
      <c r="X675" s="7"/>
      <c r="Y675" s="7"/>
    </row>
    <row r="676" ht="15.75" customHeight="1">
      <c r="T676" s="7"/>
      <c r="U676" s="7"/>
      <c r="V676" s="7"/>
      <c r="W676" s="7"/>
      <c r="X676" s="7"/>
      <c r="Y676" s="7"/>
    </row>
    <row r="677" ht="15.75" customHeight="1">
      <c r="T677" s="7"/>
      <c r="U677" s="7"/>
      <c r="V677" s="7"/>
      <c r="W677" s="7"/>
      <c r="X677" s="7"/>
      <c r="Y677" s="7"/>
    </row>
    <row r="678" ht="15.75" customHeight="1">
      <c r="T678" s="7"/>
      <c r="U678" s="7"/>
      <c r="V678" s="7"/>
      <c r="W678" s="7"/>
      <c r="X678" s="7"/>
      <c r="Y678" s="7"/>
    </row>
    <row r="679" ht="15.75" customHeight="1">
      <c r="T679" s="7"/>
      <c r="U679" s="7"/>
      <c r="V679" s="7"/>
      <c r="W679" s="7"/>
      <c r="X679" s="7"/>
      <c r="Y679" s="7"/>
    </row>
    <row r="680" ht="15.75" customHeight="1">
      <c r="T680" s="7"/>
      <c r="U680" s="7"/>
      <c r="V680" s="7"/>
      <c r="W680" s="7"/>
      <c r="X680" s="7"/>
      <c r="Y680" s="7"/>
    </row>
    <row r="681" ht="15.75" customHeight="1">
      <c r="T681" s="7"/>
      <c r="U681" s="7"/>
      <c r="V681" s="7"/>
      <c r="W681" s="7"/>
      <c r="X681" s="7"/>
      <c r="Y681" s="7"/>
    </row>
    <row r="682" ht="15.75" customHeight="1">
      <c r="T682" s="7"/>
      <c r="U682" s="7"/>
      <c r="V682" s="7"/>
      <c r="W682" s="7"/>
      <c r="X682" s="7"/>
      <c r="Y682" s="7"/>
    </row>
    <row r="683" ht="15.75" customHeight="1">
      <c r="T683" s="7"/>
      <c r="U683" s="7"/>
      <c r="V683" s="7"/>
      <c r="W683" s="7"/>
      <c r="X683" s="7"/>
      <c r="Y683" s="7"/>
    </row>
    <row r="684" ht="15.75" customHeight="1">
      <c r="T684" s="7"/>
      <c r="U684" s="7"/>
      <c r="V684" s="7"/>
      <c r="W684" s="7"/>
      <c r="X684" s="7"/>
      <c r="Y684" s="7"/>
    </row>
    <row r="685" ht="15.75" customHeight="1">
      <c r="T685" s="7"/>
      <c r="U685" s="7"/>
      <c r="V685" s="7"/>
      <c r="W685" s="7"/>
      <c r="X685" s="7"/>
      <c r="Y685" s="7"/>
    </row>
    <row r="686" ht="15.75" customHeight="1">
      <c r="T686" s="7"/>
      <c r="U686" s="7"/>
      <c r="V686" s="7"/>
      <c r="W686" s="7"/>
      <c r="X686" s="7"/>
      <c r="Y686" s="7"/>
    </row>
    <row r="687" ht="15.75" customHeight="1">
      <c r="T687" s="7"/>
      <c r="U687" s="7"/>
      <c r="V687" s="7"/>
      <c r="W687" s="7"/>
      <c r="X687" s="7"/>
      <c r="Y687" s="7"/>
    </row>
    <row r="688" ht="15.75" customHeight="1">
      <c r="T688" s="7"/>
      <c r="U688" s="7"/>
      <c r="V688" s="7"/>
      <c r="W688" s="7"/>
      <c r="X688" s="7"/>
      <c r="Y688" s="7"/>
    </row>
    <row r="689" ht="15.75" customHeight="1">
      <c r="T689" s="7"/>
      <c r="U689" s="7"/>
      <c r="V689" s="7"/>
      <c r="W689" s="7"/>
      <c r="X689" s="7"/>
      <c r="Y689" s="7"/>
    </row>
    <row r="690" ht="15.75" customHeight="1">
      <c r="T690" s="7"/>
      <c r="U690" s="7"/>
      <c r="V690" s="7"/>
      <c r="W690" s="7"/>
      <c r="X690" s="7"/>
      <c r="Y690" s="7"/>
    </row>
    <row r="691" ht="15.75" customHeight="1">
      <c r="T691" s="7"/>
      <c r="U691" s="7"/>
      <c r="V691" s="7"/>
      <c r="W691" s="7"/>
      <c r="X691" s="7"/>
      <c r="Y691" s="7"/>
    </row>
    <row r="692" ht="15.75" customHeight="1">
      <c r="T692" s="7"/>
      <c r="U692" s="7"/>
      <c r="V692" s="7"/>
      <c r="W692" s="7"/>
      <c r="X692" s="7"/>
      <c r="Y692" s="7"/>
    </row>
    <row r="693" ht="15.75" customHeight="1">
      <c r="T693" s="7"/>
      <c r="U693" s="7"/>
      <c r="V693" s="7"/>
      <c r="W693" s="7"/>
      <c r="X693" s="7"/>
      <c r="Y693" s="7"/>
    </row>
    <row r="694" ht="15.75" customHeight="1">
      <c r="T694" s="7"/>
      <c r="U694" s="7"/>
      <c r="V694" s="7"/>
      <c r="W694" s="7"/>
      <c r="X694" s="7"/>
      <c r="Y694" s="7"/>
    </row>
    <row r="695" ht="15.75" customHeight="1">
      <c r="T695" s="7"/>
      <c r="U695" s="7"/>
      <c r="V695" s="7"/>
      <c r="W695" s="7"/>
      <c r="X695" s="7"/>
      <c r="Y695" s="7"/>
    </row>
    <row r="696" ht="15.75" customHeight="1">
      <c r="T696" s="7"/>
      <c r="U696" s="7"/>
      <c r="V696" s="7"/>
      <c r="W696" s="7"/>
      <c r="X696" s="7"/>
      <c r="Y696" s="7"/>
    </row>
    <row r="697" ht="15.75" customHeight="1">
      <c r="T697" s="7"/>
      <c r="U697" s="7"/>
      <c r="V697" s="7"/>
      <c r="W697" s="7"/>
      <c r="X697" s="7"/>
      <c r="Y697" s="7"/>
    </row>
    <row r="698" ht="15.75" customHeight="1">
      <c r="T698" s="7"/>
      <c r="U698" s="7"/>
      <c r="V698" s="7"/>
      <c r="W698" s="7"/>
      <c r="X698" s="7"/>
      <c r="Y698" s="7"/>
    </row>
    <row r="699" ht="15.75" customHeight="1">
      <c r="T699" s="7"/>
      <c r="U699" s="7"/>
      <c r="V699" s="7"/>
      <c r="W699" s="7"/>
      <c r="X699" s="7"/>
      <c r="Y699" s="7"/>
    </row>
    <row r="700" ht="15.75" customHeight="1">
      <c r="T700" s="7"/>
      <c r="U700" s="7"/>
      <c r="V700" s="7"/>
      <c r="W700" s="7"/>
      <c r="X700" s="7"/>
      <c r="Y700" s="7"/>
    </row>
    <row r="701" ht="15.75" customHeight="1">
      <c r="T701" s="7"/>
      <c r="U701" s="7"/>
      <c r="V701" s="7"/>
      <c r="W701" s="7"/>
      <c r="X701" s="7"/>
      <c r="Y701" s="7"/>
    </row>
    <row r="702" ht="15.75" customHeight="1">
      <c r="T702" s="7"/>
      <c r="U702" s="7"/>
      <c r="V702" s="7"/>
      <c r="W702" s="7"/>
      <c r="X702" s="7"/>
      <c r="Y702" s="7"/>
    </row>
    <row r="703" ht="15.75" customHeight="1">
      <c r="T703" s="7"/>
      <c r="U703" s="7"/>
      <c r="V703" s="7"/>
      <c r="W703" s="7"/>
      <c r="X703" s="7"/>
      <c r="Y703" s="7"/>
    </row>
    <row r="704" ht="15.75" customHeight="1">
      <c r="T704" s="7"/>
      <c r="U704" s="7"/>
      <c r="V704" s="7"/>
      <c r="W704" s="7"/>
      <c r="X704" s="7"/>
      <c r="Y704" s="7"/>
    </row>
    <row r="705" ht="15.75" customHeight="1">
      <c r="T705" s="7"/>
      <c r="U705" s="7"/>
      <c r="V705" s="7"/>
      <c r="W705" s="7"/>
      <c r="X705" s="7"/>
      <c r="Y705" s="7"/>
    </row>
    <row r="706" ht="15.75" customHeight="1">
      <c r="T706" s="7"/>
      <c r="U706" s="7"/>
      <c r="V706" s="7"/>
      <c r="W706" s="7"/>
      <c r="X706" s="7"/>
      <c r="Y706" s="7"/>
    </row>
    <row r="707" ht="15.75" customHeight="1">
      <c r="T707" s="7"/>
      <c r="U707" s="7"/>
      <c r="V707" s="7"/>
      <c r="W707" s="7"/>
      <c r="X707" s="7"/>
      <c r="Y707" s="7"/>
    </row>
    <row r="708" ht="15.75" customHeight="1">
      <c r="T708" s="7"/>
      <c r="U708" s="7"/>
      <c r="V708" s="7"/>
      <c r="W708" s="7"/>
      <c r="X708" s="7"/>
      <c r="Y708" s="7"/>
    </row>
    <row r="709" ht="15.75" customHeight="1">
      <c r="T709" s="7"/>
      <c r="U709" s="7"/>
      <c r="V709" s="7"/>
      <c r="W709" s="7"/>
      <c r="X709" s="7"/>
      <c r="Y709" s="7"/>
    </row>
    <row r="710" ht="15.75" customHeight="1">
      <c r="T710" s="7"/>
      <c r="U710" s="7"/>
      <c r="V710" s="7"/>
      <c r="W710" s="7"/>
      <c r="X710" s="7"/>
      <c r="Y710" s="7"/>
    </row>
    <row r="711" ht="15.75" customHeight="1">
      <c r="T711" s="7"/>
      <c r="U711" s="7"/>
      <c r="V711" s="7"/>
      <c r="W711" s="7"/>
      <c r="X711" s="7"/>
      <c r="Y711" s="7"/>
    </row>
    <row r="712" ht="15.75" customHeight="1">
      <c r="T712" s="7"/>
      <c r="U712" s="7"/>
      <c r="V712" s="7"/>
      <c r="W712" s="7"/>
      <c r="X712" s="7"/>
      <c r="Y712" s="7"/>
    </row>
    <row r="713" ht="15.75" customHeight="1">
      <c r="T713" s="7"/>
      <c r="U713" s="7"/>
      <c r="V713" s="7"/>
      <c r="W713" s="7"/>
      <c r="X713" s="7"/>
      <c r="Y713" s="7"/>
    </row>
    <row r="714" ht="15.75" customHeight="1">
      <c r="T714" s="7"/>
      <c r="U714" s="7"/>
      <c r="V714" s="7"/>
      <c r="W714" s="7"/>
      <c r="X714" s="7"/>
      <c r="Y714" s="7"/>
    </row>
    <row r="715" ht="15.75" customHeight="1">
      <c r="T715" s="7"/>
      <c r="U715" s="7"/>
      <c r="V715" s="7"/>
      <c r="W715" s="7"/>
      <c r="X715" s="7"/>
      <c r="Y715" s="7"/>
    </row>
    <row r="716" ht="15.75" customHeight="1">
      <c r="T716" s="7"/>
      <c r="U716" s="7"/>
      <c r="V716" s="7"/>
      <c r="W716" s="7"/>
      <c r="X716" s="7"/>
      <c r="Y716" s="7"/>
    </row>
    <row r="717" ht="15.75" customHeight="1">
      <c r="T717" s="7"/>
      <c r="U717" s="7"/>
      <c r="V717" s="7"/>
      <c r="W717" s="7"/>
      <c r="X717" s="7"/>
      <c r="Y717" s="7"/>
    </row>
    <row r="718" ht="15.75" customHeight="1">
      <c r="T718" s="7"/>
      <c r="U718" s="7"/>
      <c r="V718" s="7"/>
      <c r="W718" s="7"/>
      <c r="X718" s="7"/>
      <c r="Y718" s="7"/>
    </row>
    <row r="719" ht="15.75" customHeight="1">
      <c r="T719" s="7"/>
      <c r="U719" s="7"/>
      <c r="V719" s="7"/>
      <c r="W719" s="7"/>
      <c r="X719" s="7"/>
      <c r="Y719" s="7"/>
    </row>
    <row r="720" ht="15.75" customHeight="1">
      <c r="T720" s="7"/>
      <c r="U720" s="7"/>
      <c r="V720" s="7"/>
      <c r="W720" s="7"/>
      <c r="X720" s="7"/>
      <c r="Y720" s="7"/>
    </row>
    <row r="721" ht="15.75" customHeight="1">
      <c r="T721" s="7"/>
      <c r="U721" s="7"/>
      <c r="V721" s="7"/>
      <c r="W721" s="7"/>
      <c r="X721" s="7"/>
      <c r="Y721" s="7"/>
    </row>
    <row r="722" ht="15.75" customHeight="1">
      <c r="T722" s="7"/>
      <c r="U722" s="7"/>
      <c r="V722" s="7"/>
      <c r="W722" s="7"/>
      <c r="X722" s="7"/>
      <c r="Y722" s="7"/>
    </row>
    <row r="723" ht="15.75" customHeight="1">
      <c r="T723" s="7"/>
      <c r="U723" s="7"/>
      <c r="V723" s="7"/>
      <c r="W723" s="7"/>
      <c r="X723" s="7"/>
      <c r="Y723" s="7"/>
    </row>
    <row r="724" ht="15.75" customHeight="1">
      <c r="T724" s="7"/>
      <c r="U724" s="7"/>
      <c r="V724" s="7"/>
      <c r="W724" s="7"/>
      <c r="X724" s="7"/>
      <c r="Y724" s="7"/>
    </row>
    <row r="725" ht="15.75" customHeight="1">
      <c r="T725" s="7"/>
      <c r="U725" s="7"/>
      <c r="V725" s="7"/>
      <c r="W725" s="7"/>
      <c r="X725" s="7"/>
      <c r="Y725" s="7"/>
    </row>
    <row r="726" ht="15.75" customHeight="1">
      <c r="T726" s="7"/>
      <c r="U726" s="7"/>
      <c r="V726" s="7"/>
      <c r="W726" s="7"/>
      <c r="X726" s="7"/>
      <c r="Y726" s="7"/>
    </row>
    <row r="727" ht="15.75" customHeight="1">
      <c r="T727" s="7"/>
      <c r="U727" s="7"/>
      <c r="V727" s="7"/>
      <c r="W727" s="7"/>
      <c r="X727" s="7"/>
      <c r="Y727" s="7"/>
    </row>
    <row r="728" ht="15.75" customHeight="1">
      <c r="T728" s="7"/>
      <c r="U728" s="7"/>
      <c r="V728" s="7"/>
      <c r="W728" s="7"/>
      <c r="X728" s="7"/>
      <c r="Y728" s="7"/>
    </row>
    <row r="729" ht="15.75" customHeight="1">
      <c r="T729" s="7"/>
      <c r="U729" s="7"/>
      <c r="V729" s="7"/>
      <c r="W729" s="7"/>
      <c r="X729" s="7"/>
      <c r="Y729" s="7"/>
    </row>
    <row r="730" ht="15.75" customHeight="1">
      <c r="T730" s="7"/>
      <c r="U730" s="7"/>
      <c r="V730" s="7"/>
      <c r="W730" s="7"/>
      <c r="X730" s="7"/>
      <c r="Y730" s="7"/>
    </row>
    <row r="731" ht="15.75" customHeight="1">
      <c r="T731" s="7"/>
      <c r="U731" s="7"/>
      <c r="V731" s="7"/>
      <c r="W731" s="7"/>
      <c r="X731" s="7"/>
      <c r="Y731" s="7"/>
    </row>
    <row r="732" ht="15.75" customHeight="1">
      <c r="T732" s="7"/>
      <c r="U732" s="7"/>
      <c r="V732" s="7"/>
      <c r="W732" s="7"/>
      <c r="X732" s="7"/>
      <c r="Y732" s="7"/>
    </row>
    <row r="733" ht="15.75" customHeight="1">
      <c r="T733" s="7"/>
      <c r="U733" s="7"/>
      <c r="V733" s="7"/>
      <c r="W733" s="7"/>
      <c r="X733" s="7"/>
      <c r="Y733" s="7"/>
    </row>
    <row r="734" ht="15.75" customHeight="1">
      <c r="T734" s="7"/>
      <c r="U734" s="7"/>
      <c r="V734" s="7"/>
      <c r="W734" s="7"/>
      <c r="X734" s="7"/>
      <c r="Y734" s="7"/>
    </row>
    <row r="735" ht="15.75" customHeight="1">
      <c r="T735" s="7"/>
      <c r="U735" s="7"/>
      <c r="V735" s="7"/>
      <c r="W735" s="7"/>
      <c r="X735" s="7"/>
      <c r="Y735" s="7"/>
    </row>
    <row r="736" ht="15.75" customHeight="1">
      <c r="T736" s="7"/>
      <c r="U736" s="7"/>
      <c r="V736" s="7"/>
      <c r="W736" s="7"/>
      <c r="X736" s="7"/>
      <c r="Y736" s="7"/>
    </row>
    <row r="737" ht="15.75" customHeight="1">
      <c r="T737" s="7"/>
      <c r="U737" s="7"/>
      <c r="V737" s="7"/>
      <c r="W737" s="7"/>
      <c r="X737" s="7"/>
      <c r="Y737" s="7"/>
    </row>
    <row r="738" ht="15.75" customHeight="1">
      <c r="T738" s="7"/>
      <c r="U738" s="7"/>
      <c r="V738" s="7"/>
      <c r="W738" s="7"/>
      <c r="X738" s="7"/>
      <c r="Y738" s="7"/>
    </row>
    <row r="739" ht="15.75" customHeight="1">
      <c r="T739" s="7"/>
      <c r="U739" s="7"/>
      <c r="V739" s="7"/>
      <c r="W739" s="7"/>
      <c r="X739" s="7"/>
      <c r="Y739" s="7"/>
    </row>
    <row r="740" ht="15.75" customHeight="1">
      <c r="T740" s="7"/>
      <c r="U740" s="7"/>
      <c r="V740" s="7"/>
      <c r="W740" s="7"/>
      <c r="X740" s="7"/>
      <c r="Y740" s="7"/>
    </row>
    <row r="741" ht="15.75" customHeight="1">
      <c r="T741" s="7"/>
      <c r="U741" s="7"/>
      <c r="V741" s="7"/>
      <c r="W741" s="7"/>
      <c r="X741" s="7"/>
      <c r="Y741" s="7"/>
    </row>
    <row r="742" ht="15.75" customHeight="1">
      <c r="T742" s="7"/>
      <c r="U742" s="7"/>
      <c r="V742" s="7"/>
      <c r="W742" s="7"/>
      <c r="X742" s="7"/>
      <c r="Y742" s="7"/>
    </row>
    <row r="743" ht="15.75" customHeight="1">
      <c r="T743" s="7"/>
      <c r="U743" s="7"/>
      <c r="V743" s="7"/>
      <c r="W743" s="7"/>
      <c r="X743" s="7"/>
      <c r="Y743" s="7"/>
    </row>
    <row r="744" ht="15.75" customHeight="1">
      <c r="T744" s="7"/>
      <c r="U744" s="7"/>
      <c r="V744" s="7"/>
      <c r="W744" s="7"/>
      <c r="X744" s="7"/>
      <c r="Y744" s="7"/>
    </row>
    <row r="745" ht="15.75" customHeight="1">
      <c r="T745" s="7"/>
      <c r="U745" s="7"/>
      <c r="V745" s="7"/>
      <c r="W745" s="7"/>
      <c r="X745" s="7"/>
      <c r="Y745" s="7"/>
    </row>
    <row r="746" ht="15.75" customHeight="1">
      <c r="T746" s="7"/>
      <c r="U746" s="7"/>
      <c r="V746" s="7"/>
      <c r="W746" s="7"/>
      <c r="X746" s="7"/>
      <c r="Y746" s="7"/>
    </row>
    <row r="747" ht="15.75" customHeight="1">
      <c r="T747" s="7"/>
      <c r="U747" s="7"/>
      <c r="V747" s="7"/>
      <c r="W747" s="7"/>
      <c r="X747" s="7"/>
      <c r="Y747" s="7"/>
    </row>
    <row r="748" ht="15.75" customHeight="1">
      <c r="T748" s="7"/>
      <c r="U748" s="7"/>
      <c r="V748" s="7"/>
      <c r="W748" s="7"/>
      <c r="X748" s="7"/>
      <c r="Y748" s="7"/>
    </row>
    <row r="749" ht="15.75" customHeight="1">
      <c r="T749" s="7"/>
      <c r="U749" s="7"/>
      <c r="V749" s="7"/>
      <c r="W749" s="7"/>
      <c r="X749" s="7"/>
      <c r="Y749" s="7"/>
    </row>
    <row r="750" ht="15.75" customHeight="1">
      <c r="T750" s="7"/>
      <c r="U750" s="7"/>
      <c r="V750" s="7"/>
      <c r="W750" s="7"/>
      <c r="X750" s="7"/>
      <c r="Y750" s="7"/>
    </row>
    <row r="751" ht="15.75" customHeight="1">
      <c r="T751" s="7"/>
      <c r="U751" s="7"/>
      <c r="V751" s="7"/>
      <c r="W751" s="7"/>
      <c r="X751" s="7"/>
      <c r="Y751" s="7"/>
    </row>
    <row r="752" ht="15.75" customHeight="1">
      <c r="T752" s="7"/>
      <c r="U752" s="7"/>
      <c r="V752" s="7"/>
      <c r="W752" s="7"/>
      <c r="X752" s="7"/>
      <c r="Y752" s="7"/>
    </row>
    <row r="753" ht="15.75" customHeight="1">
      <c r="T753" s="7"/>
      <c r="U753" s="7"/>
      <c r="V753" s="7"/>
      <c r="W753" s="7"/>
      <c r="X753" s="7"/>
      <c r="Y753" s="7"/>
    </row>
    <row r="754" ht="15.75" customHeight="1">
      <c r="T754" s="7"/>
      <c r="U754" s="7"/>
      <c r="V754" s="7"/>
      <c r="W754" s="7"/>
      <c r="X754" s="7"/>
      <c r="Y754" s="7"/>
    </row>
    <row r="755" ht="15.75" customHeight="1">
      <c r="T755" s="7"/>
      <c r="U755" s="7"/>
      <c r="V755" s="7"/>
      <c r="W755" s="7"/>
      <c r="X755" s="7"/>
      <c r="Y755" s="7"/>
    </row>
    <row r="756" ht="15.75" customHeight="1">
      <c r="T756" s="7"/>
      <c r="U756" s="7"/>
      <c r="V756" s="7"/>
      <c r="W756" s="7"/>
      <c r="X756" s="7"/>
      <c r="Y756" s="7"/>
    </row>
    <row r="757" ht="15.75" customHeight="1">
      <c r="T757" s="7"/>
      <c r="U757" s="7"/>
      <c r="V757" s="7"/>
      <c r="W757" s="7"/>
      <c r="X757" s="7"/>
      <c r="Y757" s="7"/>
    </row>
    <row r="758" ht="15.75" customHeight="1">
      <c r="T758" s="7"/>
      <c r="U758" s="7"/>
      <c r="V758" s="7"/>
      <c r="W758" s="7"/>
      <c r="X758" s="7"/>
      <c r="Y758" s="7"/>
    </row>
    <row r="759" ht="15.75" customHeight="1">
      <c r="T759" s="7"/>
      <c r="U759" s="7"/>
      <c r="V759" s="7"/>
      <c r="W759" s="7"/>
      <c r="X759" s="7"/>
      <c r="Y759" s="7"/>
    </row>
    <row r="760" ht="15.75" customHeight="1">
      <c r="T760" s="7"/>
      <c r="U760" s="7"/>
      <c r="V760" s="7"/>
      <c r="W760" s="7"/>
      <c r="X760" s="7"/>
      <c r="Y760" s="7"/>
    </row>
    <row r="761" ht="15.75" customHeight="1">
      <c r="T761" s="7"/>
      <c r="U761" s="7"/>
      <c r="V761" s="7"/>
      <c r="W761" s="7"/>
      <c r="X761" s="7"/>
      <c r="Y761" s="7"/>
    </row>
    <row r="762" ht="15.75" customHeight="1">
      <c r="T762" s="7"/>
      <c r="U762" s="7"/>
      <c r="V762" s="7"/>
      <c r="W762" s="7"/>
      <c r="X762" s="7"/>
      <c r="Y762" s="7"/>
    </row>
    <row r="763" ht="15.75" customHeight="1">
      <c r="T763" s="7"/>
      <c r="U763" s="7"/>
      <c r="V763" s="7"/>
      <c r="W763" s="7"/>
      <c r="X763" s="7"/>
      <c r="Y763" s="7"/>
    </row>
    <row r="764" ht="15.75" customHeight="1">
      <c r="T764" s="7"/>
      <c r="U764" s="7"/>
      <c r="V764" s="7"/>
      <c r="W764" s="7"/>
      <c r="X764" s="7"/>
      <c r="Y764" s="7"/>
    </row>
    <row r="765" ht="15.75" customHeight="1">
      <c r="T765" s="7"/>
      <c r="U765" s="7"/>
      <c r="V765" s="7"/>
      <c r="W765" s="7"/>
      <c r="X765" s="7"/>
      <c r="Y765" s="7"/>
    </row>
    <row r="766" ht="15.75" customHeight="1">
      <c r="T766" s="7"/>
      <c r="U766" s="7"/>
      <c r="V766" s="7"/>
      <c r="W766" s="7"/>
      <c r="X766" s="7"/>
      <c r="Y766" s="7"/>
    </row>
    <row r="767" ht="15.75" customHeight="1">
      <c r="T767" s="7"/>
      <c r="U767" s="7"/>
      <c r="V767" s="7"/>
      <c r="W767" s="7"/>
      <c r="X767" s="7"/>
      <c r="Y767" s="7"/>
    </row>
    <row r="768" ht="15.75" customHeight="1">
      <c r="T768" s="7"/>
      <c r="U768" s="7"/>
      <c r="V768" s="7"/>
      <c r="W768" s="7"/>
      <c r="X768" s="7"/>
      <c r="Y768" s="7"/>
    </row>
    <row r="769" ht="15.75" customHeight="1">
      <c r="T769" s="7"/>
      <c r="U769" s="7"/>
      <c r="V769" s="7"/>
      <c r="W769" s="7"/>
      <c r="X769" s="7"/>
      <c r="Y769" s="7"/>
    </row>
    <row r="770" ht="15.75" customHeight="1">
      <c r="T770" s="7"/>
      <c r="U770" s="7"/>
      <c r="V770" s="7"/>
      <c r="W770" s="7"/>
      <c r="X770" s="7"/>
      <c r="Y770" s="7"/>
    </row>
    <row r="771" ht="15.75" customHeight="1">
      <c r="T771" s="7"/>
      <c r="U771" s="7"/>
      <c r="V771" s="7"/>
      <c r="W771" s="7"/>
      <c r="X771" s="7"/>
      <c r="Y771" s="7"/>
    </row>
    <row r="772" ht="15.75" customHeight="1">
      <c r="T772" s="7"/>
      <c r="U772" s="7"/>
      <c r="V772" s="7"/>
      <c r="W772" s="7"/>
      <c r="X772" s="7"/>
      <c r="Y772" s="7"/>
    </row>
    <row r="773" ht="15.75" customHeight="1">
      <c r="T773" s="7"/>
      <c r="U773" s="7"/>
      <c r="V773" s="7"/>
      <c r="W773" s="7"/>
      <c r="X773" s="7"/>
      <c r="Y773" s="7"/>
    </row>
    <row r="774" ht="15.75" customHeight="1">
      <c r="T774" s="7"/>
      <c r="U774" s="7"/>
      <c r="V774" s="7"/>
      <c r="W774" s="7"/>
      <c r="X774" s="7"/>
      <c r="Y774" s="7"/>
    </row>
    <row r="775" ht="15.75" customHeight="1">
      <c r="T775" s="7"/>
      <c r="U775" s="7"/>
      <c r="V775" s="7"/>
      <c r="W775" s="7"/>
      <c r="X775" s="7"/>
      <c r="Y775" s="7"/>
    </row>
    <row r="776" ht="15.75" customHeight="1">
      <c r="T776" s="7"/>
      <c r="U776" s="7"/>
      <c r="V776" s="7"/>
      <c r="W776" s="7"/>
      <c r="X776" s="7"/>
      <c r="Y776" s="7"/>
    </row>
    <row r="777" ht="15.75" customHeight="1">
      <c r="T777" s="7"/>
      <c r="U777" s="7"/>
      <c r="V777" s="7"/>
      <c r="W777" s="7"/>
      <c r="X777" s="7"/>
      <c r="Y777" s="7"/>
    </row>
    <row r="778" ht="15.75" customHeight="1">
      <c r="T778" s="7"/>
      <c r="U778" s="7"/>
      <c r="V778" s="7"/>
      <c r="W778" s="7"/>
      <c r="X778" s="7"/>
      <c r="Y778" s="7"/>
    </row>
    <row r="779" ht="15.75" customHeight="1">
      <c r="T779" s="7"/>
      <c r="U779" s="7"/>
      <c r="V779" s="7"/>
      <c r="W779" s="7"/>
      <c r="X779" s="7"/>
      <c r="Y779" s="7"/>
    </row>
    <row r="780" ht="15.75" customHeight="1">
      <c r="T780" s="7"/>
      <c r="U780" s="7"/>
      <c r="V780" s="7"/>
      <c r="W780" s="7"/>
      <c r="X780" s="7"/>
      <c r="Y780" s="7"/>
    </row>
    <row r="781" ht="15.75" customHeight="1">
      <c r="T781" s="7"/>
      <c r="U781" s="7"/>
      <c r="V781" s="7"/>
      <c r="W781" s="7"/>
      <c r="X781" s="7"/>
      <c r="Y781" s="7"/>
    </row>
    <row r="782" ht="15.75" customHeight="1">
      <c r="T782" s="7"/>
      <c r="U782" s="7"/>
      <c r="V782" s="7"/>
      <c r="W782" s="7"/>
      <c r="X782" s="7"/>
      <c r="Y782" s="7"/>
    </row>
    <row r="783" ht="15.75" customHeight="1">
      <c r="T783" s="7"/>
      <c r="U783" s="7"/>
      <c r="V783" s="7"/>
      <c r="W783" s="7"/>
      <c r="X783" s="7"/>
      <c r="Y783" s="7"/>
    </row>
    <row r="784" ht="15.75" customHeight="1">
      <c r="T784" s="7"/>
      <c r="U784" s="7"/>
      <c r="V784" s="7"/>
      <c r="W784" s="7"/>
      <c r="X784" s="7"/>
      <c r="Y784" s="7"/>
    </row>
    <row r="785" ht="15.75" customHeight="1">
      <c r="T785" s="7"/>
      <c r="U785" s="7"/>
      <c r="V785" s="7"/>
      <c r="W785" s="7"/>
      <c r="X785" s="7"/>
      <c r="Y785" s="7"/>
    </row>
    <row r="786" ht="15.75" customHeight="1">
      <c r="T786" s="7"/>
      <c r="U786" s="7"/>
      <c r="V786" s="7"/>
      <c r="W786" s="7"/>
      <c r="X786" s="7"/>
      <c r="Y786" s="7"/>
    </row>
    <row r="787" ht="15.75" customHeight="1">
      <c r="T787" s="7"/>
      <c r="U787" s="7"/>
      <c r="V787" s="7"/>
      <c r="W787" s="7"/>
      <c r="X787" s="7"/>
      <c r="Y787" s="7"/>
    </row>
    <row r="788" ht="15.75" customHeight="1">
      <c r="T788" s="7"/>
      <c r="U788" s="7"/>
      <c r="V788" s="7"/>
      <c r="W788" s="7"/>
      <c r="X788" s="7"/>
      <c r="Y788" s="7"/>
    </row>
    <row r="789" ht="15.75" customHeight="1">
      <c r="T789" s="7"/>
      <c r="U789" s="7"/>
      <c r="V789" s="7"/>
      <c r="W789" s="7"/>
      <c r="X789" s="7"/>
      <c r="Y789" s="7"/>
    </row>
    <row r="790" ht="15.75" customHeight="1">
      <c r="T790" s="7"/>
      <c r="U790" s="7"/>
      <c r="V790" s="7"/>
      <c r="W790" s="7"/>
      <c r="X790" s="7"/>
      <c r="Y790" s="7"/>
    </row>
    <row r="791" ht="15.75" customHeight="1">
      <c r="T791" s="7"/>
      <c r="U791" s="7"/>
      <c r="V791" s="7"/>
      <c r="W791" s="7"/>
      <c r="X791" s="7"/>
      <c r="Y791" s="7"/>
    </row>
    <row r="792" ht="15.75" customHeight="1">
      <c r="T792" s="7"/>
      <c r="U792" s="7"/>
      <c r="V792" s="7"/>
      <c r="W792" s="7"/>
      <c r="X792" s="7"/>
      <c r="Y792" s="7"/>
    </row>
    <row r="793" ht="15.75" customHeight="1">
      <c r="T793" s="7"/>
      <c r="U793" s="7"/>
      <c r="V793" s="7"/>
      <c r="W793" s="7"/>
      <c r="X793" s="7"/>
      <c r="Y793" s="7"/>
    </row>
    <row r="794" ht="15.75" customHeight="1">
      <c r="T794" s="7"/>
      <c r="U794" s="7"/>
      <c r="V794" s="7"/>
      <c r="W794" s="7"/>
      <c r="X794" s="7"/>
      <c r="Y794" s="7"/>
    </row>
    <row r="795" ht="15.75" customHeight="1">
      <c r="T795" s="7"/>
      <c r="U795" s="7"/>
      <c r="V795" s="7"/>
      <c r="W795" s="7"/>
      <c r="X795" s="7"/>
      <c r="Y795" s="7"/>
    </row>
    <row r="796" ht="15.75" customHeight="1">
      <c r="T796" s="7"/>
      <c r="U796" s="7"/>
      <c r="V796" s="7"/>
      <c r="W796" s="7"/>
      <c r="X796" s="7"/>
      <c r="Y796" s="7"/>
    </row>
    <row r="797" ht="15.75" customHeight="1">
      <c r="T797" s="7"/>
      <c r="U797" s="7"/>
      <c r="V797" s="7"/>
      <c r="W797" s="7"/>
      <c r="X797" s="7"/>
      <c r="Y797" s="7"/>
    </row>
    <row r="798" ht="15.75" customHeight="1">
      <c r="T798" s="7"/>
      <c r="U798" s="7"/>
      <c r="V798" s="7"/>
      <c r="W798" s="7"/>
      <c r="X798" s="7"/>
      <c r="Y798" s="7"/>
    </row>
    <row r="799" ht="15.75" customHeight="1">
      <c r="T799" s="7"/>
      <c r="U799" s="7"/>
      <c r="V799" s="7"/>
      <c r="W799" s="7"/>
      <c r="X799" s="7"/>
      <c r="Y799" s="7"/>
    </row>
    <row r="800" ht="15.75" customHeight="1">
      <c r="T800" s="7"/>
      <c r="U800" s="7"/>
      <c r="V800" s="7"/>
      <c r="W800" s="7"/>
      <c r="X800" s="7"/>
      <c r="Y800" s="7"/>
    </row>
    <row r="801" ht="15.75" customHeight="1">
      <c r="T801" s="7"/>
      <c r="U801" s="7"/>
      <c r="V801" s="7"/>
      <c r="W801" s="7"/>
      <c r="X801" s="7"/>
      <c r="Y801" s="7"/>
    </row>
    <row r="802" ht="15.75" customHeight="1">
      <c r="T802" s="7"/>
      <c r="U802" s="7"/>
      <c r="V802" s="7"/>
      <c r="W802" s="7"/>
      <c r="X802" s="7"/>
      <c r="Y802" s="7"/>
    </row>
    <row r="803" ht="15.75" customHeight="1">
      <c r="T803" s="7"/>
      <c r="U803" s="7"/>
      <c r="V803" s="7"/>
      <c r="W803" s="7"/>
      <c r="X803" s="7"/>
      <c r="Y803" s="7"/>
    </row>
    <row r="804" ht="15.75" customHeight="1">
      <c r="T804" s="7"/>
      <c r="U804" s="7"/>
      <c r="V804" s="7"/>
      <c r="W804" s="7"/>
      <c r="X804" s="7"/>
      <c r="Y804" s="7"/>
    </row>
    <row r="805" ht="15.75" customHeight="1">
      <c r="T805" s="7"/>
      <c r="U805" s="7"/>
      <c r="V805" s="7"/>
      <c r="W805" s="7"/>
      <c r="X805" s="7"/>
      <c r="Y805" s="7"/>
    </row>
    <row r="806" ht="15.75" customHeight="1">
      <c r="T806" s="7"/>
      <c r="U806" s="7"/>
      <c r="V806" s="7"/>
      <c r="W806" s="7"/>
      <c r="X806" s="7"/>
      <c r="Y806" s="7"/>
    </row>
    <row r="807" ht="15.75" customHeight="1">
      <c r="T807" s="7"/>
      <c r="U807" s="7"/>
      <c r="V807" s="7"/>
      <c r="W807" s="7"/>
      <c r="X807" s="7"/>
      <c r="Y807" s="7"/>
    </row>
    <row r="808" ht="15.75" customHeight="1">
      <c r="T808" s="7"/>
      <c r="U808" s="7"/>
      <c r="V808" s="7"/>
      <c r="W808" s="7"/>
      <c r="X808" s="7"/>
      <c r="Y808" s="7"/>
    </row>
    <row r="809" ht="15.75" customHeight="1">
      <c r="T809" s="7"/>
      <c r="U809" s="7"/>
      <c r="V809" s="7"/>
      <c r="W809" s="7"/>
      <c r="X809" s="7"/>
      <c r="Y809" s="7"/>
    </row>
    <row r="810" ht="15.75" customHeight="1">
      <c r="T810" s="7"/>
      <c r="U810" s="7"/>
      <c r="V810" s="7"/>
      <c r="W810" s="7"/>
      <c r="X810" s="7"/>
      <c r="Y810" s="7"/>
    </row>
    <row r="811" ht="15.75" customHeight="1">
      <c r="T811" s="7"/>
      <c r="U811" s="7"/>
      <c r="V811" s="7"/>
      <c r="W811" s="7"/>
      <c r="X811" s="7"/>
      <c r="Y811" s="7"/>
    </row>
    <row r="812" ht="15.75" customHeight="1">
      <c r="T812" s="7"/>
      <c r="U812" s="7"/>
      <c r="V812" s="7"/>
      <c r="W812" s="7"/>
      <c r="X812" s="7"/>
      <c r="Y812" s="7"/>
    </row>
    <row r="813" ht="15.75" customHeight="1">
      <c r="T813" s="7"/>
      <c r="U813" s="7"/>
      <c r="V813" s="7"/>
      <c r="W813" s="7"/>
      <c r="X813" s="7"/>
      <c r="Y813" s="7"/>
    </row>
    <row r="814" ht="15.75" customHeight="1">
      <c r="T814" s="7"/>
      <c r="U814" s="7"/>
      <c r="V814" s="7"/>
      <c r="W814" s="7"/>
      <c r="X814" s="7"/>
      <c r="Y814" s="7"/>
    </row>
    <row r="815" ht="15.75" customHeight="1">
      <c r="T815" s="7"/>
      <c r="U815" s="7"/>
      <c r="V815" s="7"/>
      <c r="W815" s="7"/>
      <c r="X815" s="7"/>
      <c r="Y815" s="7"/>
    </row>
    <row r="816" ht="15.75" customHeight="1">
      <c r="T816" s="7"/>
      <c r="U816" s="7"/>
      <c r="V816" s="7"/>
      <c r="W816" s="7"/>
      <c r="X816" s="7"/>
      <c r="Y816" s="7"/>
    </row>
    <row r="817" ht="15.75" customHeight="1">
      <c r="T817" s="7"/>
      <c r="U817" s="7"/>
      <c r="V817" s="7"/>
      <c r="W817" s="7"/>
      <c r="X817" s="7"/>
      <c r="Y817" s="7"/>
    </row>
    <row r="818" ht="15.75" customHeight="1">
      <c r="T818" s="7"/>
      <c r="U818" s="7"/>
      <c r="V818" s="7"/>
      <c r="W818" s="7"/>
      <c r="X818" s="7"/>
      <c r="Y818" s="7"/>
    </row>
    <row r="819" ht="15.75" customHeight="1">
      <c r="T819" s="7"/>
      <c r="U819" s="7"/>
      <c r="V819" s="7"/>
      <c r="W819" s="7"/>
      <c r="X819" s="7"/>
      <c r="Y819" s="7"/>
    </row>
    <row r="820" ht="15.75" customHeight="1">
      <c r="T820" s="7"/>
      <c r="U820" s="7"/>
      <c r="V820" s="7"/>
      <c r="W820" s="7"/>
      <c r="X820" s="7"/>
      <c r="Y820" s="7"/>
    </row>
    <row r="821" ht="15.75" customHeight="1">
      <c r="T821" s="7"/>
      <c r="U821" s="7"/>
      <c r="V821" s="7"/>
      <c r="W821" s="7"/>
      <c r="X821" s="7"/>
      <c r="Y821" s="7"/>
    </row>
    <row r="822" ht="15.75" customHeight="1">
      <c r="T822" s="7"/>
      <c r="U822" s="7"/>
      <c r="V822" s="7"/>
      <c r="W822" s="7"/>
      <c r="X822" s="7"/>
      <c r="Y822" s="7"/>
    </row>
    <row r="823" ht="15.75" customHeight="1">
      <c r="T823" s="7"/>
      <c r="U823" s="7"/>
      <c r="V823" s="7"/>
      <c r="W823" s="7"/>
      <c r="X823" s="7"/>
      <c r="Y823" s="7"/>
    </row>
    <row r="824" ht="15.75" customHeight="1">
      <c r="T824" s="7"/>
      <c r="U824" s="7"/>
      <c r="V824" s="7"/>
      <c r="W824" s="7"/>
      <c r="X824" s="7"/>
      <c r="Y824" s="7"/>
    </row>
    <row r="825" ht="15.75" customHeight="1">
      <c r="T825" s="7"/>
      <c r="U825" s="7"/>
      <c r="V825" s="7"/>
      <c r="W825" s="7"/>
      <c r="X825" s="7"/>
      <c r="Y825" s="7"/>
    </row>
    <row r="826" ht="15.75" customHeight="1">
      <c r="T826" s="7"/>
      <c r="U826" s="7"/>
      <c r="V826" s="7"/>
      <c r="W826" s="7"/>
      <c r="X826" s="7"/>
      <c r="Y826" s="7"/>
    </row>
    <row r="827" ht="15.75" customHeight="1">
      <c r="T827" s="7"/>
      <c r="U827" s="7"/>
      <c r="V827" s="7"/>
      <c r="W827" s="7"/>
      <c r="X827" s="7"/>
      <c r="Y827" s="7"/>
    </row>
    <row r="828" ht="15.75" customHeight="1">
      <c r="T828" s="7"/>
      <c r="U828" s="7"/>
      <c r="V828" s="7"/>
      <c r="W828" s="7"/>
      <c r="X828" s="7"/>
      <c r="Y828" s="7"/>
    </row>
    <row r="829" ht="15.75" customHeight="1">
      <c r="T829" s="7"/>
      <c r="U829" s="7"/>
      <c r="V829" s="7"/>
      <c r="W829" s="7"/>
      <c r="X829" s="7"/>
      <c r="Y829" s="7"/>
    </row>
    <row r="830" ht="15.75" customHeight="1">
      <c r="T830" s="7"/>
      <c r="U830" s="7"/>
      <c r="V830" s="7"/>
      <c r="W830" s="7"/>
      <c r="X830" s="7"/>
      <c r="Y830" s="7"/>
    </row>
    <row r="831" ht="15.75" customHeight="1">
      <c r="T831" s="7"/>
      <c r="U831" s="7"/>
      <c r="V831" s="7"/>
      <c r="W831" s="7"/>
      <c r="X831" s="7"/>
      <c r="Y831" s="7"/>
    </row>
    <row r="832" ht="15.75" customHeight="1">
      <c r="T832" s="7"/>
      <c r="U832" s="7"/>
      <c r="V832" s="7"/>
      <c r="W832" s="7"/>
      <c r="X832" s="7"/>
      <c r="Y832" s="7"/>
    </row>
    <row r="833" ht="15.75" customHeight="1">
      <c r="T833" s="7"/>
      <c r="U833" s="7"/>
      <c r="V833" s="7"/>
      <c r="W833" s="7"/>
      <c r="X833" s="7"/>
      <c r="Y833" s="7"/>
    </row>
    <row r="834" ht="15.75" customHeight="1">
      <c r="T834" s="7"/>
      <c r="U834" s="7"/>
      <c r="V834" s="7"/>
      <c r="W834" s="7"/>
      <c r="X834" s="7"/>
      <c r="Y834" s="7"/>
    </row>
    <row r="835" ht="15.75" customHeight="1">
      <c r="T835" s="7"/>
      <c r="U835" s="7"/>
      <c r="V835" s="7"/>
      <c r="W835" s="7"/>
      <c r="X835" s="7"/>
      <c r="Y835" s="7"/>
    </row>
    <row r="836" ht="15.75" customHeight="1">
      <c r="T836" s="7"/>
      <c r="U836" s="7"/>
      <c r="V836" s="7"/>
      <c r="W836" s="7"/>
      <c r="X836" s="7"/>
      <c r="Y836" s="7"/>
    </row>
    <row r="837" ht="15.75" customHeight="1">
      <c r="T837" s="7"/>
      <c r="U837" s="7"/>
      <c r="V837" s="7"/>
      <c r="W837" s="7"/>
      <c r="X837" s="7"/>
      <c r="Y837" s="7"/>
    </row>
    <row r="838" ht="15.75" customHeight="1">
      <c r="T838" s="7"/>
      <c r="U838" s="7"/>
      <c r="V838" s="7"/>
      <c r="W838" s="7"/>
      <c r="X838" s="7"/>
      <c r="Y838" s="7"/>
    </row>
    <row r="839" ht="15.75" customHeight="1">
      <c r="T839" s="7"/>
      <c r="U839" s="7"/>
      <c r="V839" s="7"/>
      <c r="W839" s="7"/>
      <c r="X839" s="7"/>
      <c r="Y839" s="7"/>
    </row>
    <row r="840" ht="15.75" customHeight="1">
      <c r="T840" s="7"/>
      <c r="U840" s="7"/>
      <c r="V840" s="7"/>
      <c r="W840" s="7"/>
      <c r="X840" s="7"/>
      <c r="Y840" s="7"/>
    </row>
    <row r="841" ht="15.75" customHeight="1">
      <c r="T841" s="7"/>
      <c r="U841" s="7"/>
      <c r="V841" s="7"/>
      <c r="W841" s="7"/>
      <c r="X841" s="7"/>
      <c r="Y841" s="7"/>
    </row>
    <row r="842" ht="15.75" customHeight="1">
      <c r="T842" s="7"/>
      <c r="U842" s="7"/>
      <c r="V842" s="7"/>
      <c r="W842" s="7"/>
      <c r="X842" s="7"/>
      <c r="Y842" s="7"/>
    </row>
    <row r="843" ht="15.75" customHeight="1">
      <c r="T843" s="7"/>
      <c r="U843" s="7"/>
      <c r="V843" s="7"/>
      <c r="W843" s="7"/>
      <c r="X843" s="7"/>
      <c r="Y843" s="7"/>
    </row>
    <row r="844" ht="15.75" customHeight="1">
      <c r="T844" s="7"/>
      <c r="U844" s="7"/>
      <c r="V844" s="7"/>
      <c r="W844" s="7"/>
      <c r="X844" s="7"/>
      <c r="Y844" s="7"/>
    </row>
    <row r="845" ht="15.75" customHeight="1">
      <c r="T845" s="7"/>
      <c r="U845" s="7"/>
      <c r="V845" s="7"/>
      <c r="W845" s="7"/>
      <c r="X845" s="7"/>
      <c r="Y845" s="7"/>
    </row>
    <row r="846" ht="15.75" customHeight="1">
      <c r="T846" s="7"/>
      <c r="U846" s="7"/>
      <c r="V846" s="7"/>
      <c r="W846" s="7"/>
      <c r="X846" s="7"/>
      <c r="Y846" s="7"/>
    </row>
    <row r="847" ht="15.75" customHeight="1">
      <c r="T847" s="7"/>
      <c r="U847" s="7"/>
      <c r="V847" s="7"/>
      <c r="W847" s="7"/>
      <c r="X847" s="7"/>
      <c r="Y847" s="7"/>
    </row>
    <row r="848" ht="15.75" customHeight="1">
      <c r="T848" s="7"/>
      <c r="U848" s="7"/>
      <c r="V848" s="7"/>
      <c r="W848" s="7"/>
      <c r="X848" s="7"/>
      <c r="Y848" s="7"/>
    </row>
    <row r="849" ht="15.75" customHeight="1">
      <c r="T849" s="7"/>
      <c r="U849" s="7"/>
      <c r="V849" s="7"/>
      <c r="W849" s="7"/>
      <c r="X849" s="7"/>
      <c r="Y849" s="7"/>
    </row>
    <row r="850" ht="15.75" customHeight="1">
      <c r="T850" s="7"/>
      <c r="U850" s="7"/>
      <c r="V850" s="7"/>
      <c r="W850" s="7"/>
      <c r="X850" s="7"/>
      <c r="Y850" s="7"/>
    </row>
    <row r="851" ht="15.75" customHeight="1">
      <c r="T851" s="7"/>
      <c r="U851" s="7"/>
      <c r="V851" s="7"/>
      <c r="W851" s="7"/>
      <c r="X851" s="7"/>
      <c r="Y851" s="7"/>
    </row>
    <row r="852" ht="15.75" customHeight="1">
      <c r="T852" s="7"/>
      <c r="U852" s="7"/>
      <c r="V852" s="7"/>
      <c r="W852" s="7"/>
      <c r="X852" s="7"/>
      <c r="Y852" s="7"/>
    </row>
    <row r="853" ht="15.75" customHeight="1">
      <c r="T853" s="7"/>
      <c r="U853" s="7"/>
      <c r="V853" s="7"/>
      <c r="W853" s="7"/>
      <c r="X853" s="7"/>
      <c r="Y853" s="7"/>
    </row>
    <row r="854" ht="15.75" customHeight="1">
      <c r="T854" s="7"/>
      <c r="U854" s="7"/>
      <c r="V854" s="7"/>
      <c r="W854" s="7"/>
      <c r="X854" s="7"/>
      <c r="Y854" s="7"/>
    </row>
    <row r="855" ht="15.75" customHeight="1">
      <c r="T855" s="7"/>
      <c r="U855" s="7"/>
      <c r="V855" s="7"/>
      <c r="W855" s="7"/>
      <c r="X855" s="7"/>
      <c r="Y855" s="7"/>
    </row>
    <row r="856" ht="15.75" customHeight="1">
      <c r="T856" s="7"/>
      <c r="U856" s="7"/>
      <c r="V856" s="7"/>
      <c r="W856" s="7"/>
      <c r="X856" s="7"/>
      <c r="Y856" s="7"/>
    </row>
    <row r="857" ht="15.75" customHeight="1">
      <c r="T857" s="7"/>
      <c r="U857" s="7"/>
      <c r="V857" s="7"/>
      <c r="W857" s="7"/>
      <c r="X857" s="7"/>
      <c r="Y857" s="7"/>
    </row>
    <row r="858" ht="15.75" customHeight="1">
      <c r="T858" s="7"/>
      <c r="U858" s="7"/>
      <c r="V858" s="7"/>
      <c r="W858" s="7"/>
      <c r="X858" s="7"/>
      <c r="Y858" s="7"/>
    </row>
    <row r="859" ht="15.75" customHeight="1">
      <c r="T859" s="7"/>
      <c r="U859" s="7"/>
      <c r="V859" s="7"/>
      <c r="W859" s="7"/>
      <c r="X859" s="7"/>
      <c r="Y859" s="7"/>
    </row>
    <row r="860" ht="15.75" customHeight="1">
      <c r="T860" s="7"/>
      <c r="U860" s="7"/>
      <c r="V860" s="7"/>
      <c r="W860" s="7"/>
      <c r="X860" s="7"/>
      <c r="Y860" s="7"/>
    </row>
    <row r="861" ht="15.75" customHeight="1">
      <c r="T861" s="7"/>
      <c r="U861" s="7"/>
      <c r="V861" s="7"/>
      <c r="W861" s="7"/>
      <c r="X861" s="7"/>
      <c r="Y861" s="7"/>
    </row>
    <row r="862" ht="15.75" customHeight="1">
      <c r="T862" s="7"/>
      <c r="U862" s="7"/>
      <c r="V862" s="7"/>
      <c r="W862" s="7"/>
      <c r="X862" s="7"/>
      <c r="Y862" s="7"/>
    </row>
    <row r="863" ht="15.75" customHeight="1">
      <c r="T863" s="7"/>
      <c r="U863" s="7"/>
      <c r="V863" s="7"/>
      <c r="W863" s="7"/>
      <c r="X863" s="7"/>
      <c r="Y863" s="7"/>
    </row>
    <row r="864" ht="15.75" customHeight="1">
      <c r="T864" s="7"/>
      <c r="U864" s="7"/>
      <c r="V864" s="7"/>
      <c r="W864" s="7"/>
      <c r="X864" s="7"/>
      <c r="Y864" s="7"/>
    </row>
    <row r="865" ht="15.75" customHeight="1">
      <c r="T865" s="7"/>
      <c r="U865" s="7"/>
      <c r="V865" s="7"/>
      <c r="W865" s="7"/>
      <c r="X865" s="7"/>
      <c r="Y865" s="7"/>
    </row>
    <row r="866" ht="15.75" customHeight="1">
      <c r="T866" s="7"/>
      <c r="U866" s="7"/>
      <c r="V866" s="7"/>
      <c r="W866" s="7"/>
      <c r="X866" s="7"/>
      <c r="Y866" s="7"/>
    </row>
    <row r="867" ht="15.75" customHeight="1">
      <c r="T867" s="7"/>
      <c r="U867" s="7"/>
      <c r="V867" s="7"/>
      <c r="W867" s="7"/>
      <c r="X867" s="7"/>
      <c r="Y867" s="7"/>
    </row>
    <row r="868" ht="15.75" customHeight="1">
      <c r="T868" s="7"/>
      <c r="U868" s="7"/>
      <c r="V868" s="7"/>
      <c r="W868" s="7"/>
      <c r="X868" s="7"/>
      <c r="Y868" s="7"/>
    </row>
    <row r="869" ht="15.75" customHeight="1">
      <c r="T869" s="7"/>
      <c r="U869" s="7"/>
      <c r="V869" s="7"/>
      <c r="W869" s="7"/>
      <c r="X869" s="7"/>
      <c r="Y869" s="7"/>
    </row>
    <row r="870" ht="15.75" customHeight="1">
      <c r="T870" s="7"/>
      <c r="U870" s="7"/>
      <c r="V870" s="7"/>
      <c r="W870" s="7"/>
      <c r="X870" s="7"/>
      <c r="Y870" s="7"/>
    </row>
    <row r="871" ht="15.75" customHeight="1">
      <c r="T871" s="7"/>
      <c r="U871" s="7"/>
      <c r="V871" s="7"/>
      <c r="W871" s="7"/>
      <c r="X871" s="7"/>
      <c r="Y871" s="7"/>
    </row>
    <row r="872" ht="15.75" customHeight="1">
      <c r="T872" s="7"/>
      <c r="U872" s="7"/>
      <c r="V872" s="7"/>
      <c r="W872" s="7"/>
      <c r="X872" s="7"/>
      <c r="Y872" s="7"/>
    </row>
    <row r="873" ht="15.75" customHeight="1">
      <c r="T873" s="7"/>
      <c r="U873" s="7"/>
      <c r="V873" s="7"/>
      <c r="W873" s="7"/>
      <c r="X873" s="7"/>
      <c r="Y873" s="7"/>
    </row>
    <row r="874" ht="15.75" customHeight="1">
      <c r="T874" s="7"/>
      <c r="U874" s="7"/>
      <c r="V874" s="7"/>
      <c r="W874" s="7"/>
      <c r="X874" s="7"/>
      <c r="Y874" s="7"/>
    </row>
    <row r="875" ht="15.75" customHeight="1">
      <c r="T875" s="7"/>
      <c r="U875" s="7"/>
      <c r="V875" s="7"/>
      <c r="W875" s="7"/>
      <c r="X875" s="7"/>
      <c r="Y875" s="7"/>
    </row>
    <row r="876" ht="15.75" customHeight="1">
      <c r="T876" s="7"/>
      <c r="U876" s="7"/>
      <c r="V876" s="7"/>
      <c r="W876" s="7"/>
      <c r="X876" s="7"/>
      <c r="Y876" s="7"/>
    </row>
    <row r="877" ht="15.75" customHeight="1">
      <c r="T877" s="7"/>
      <c r="U877" s="7"/>
      <c r="V877" s="7"/>
      <c r="W877" s="7"/>
      <c r="X877" s="7"/>
      <c r="Y877" s="7"/>
    </row>
    <row r="878" ht="15.75" customHeight="1">
      <c r="T878" s="7"/>
      <c r="U878" s="7"/>
      <c r="V878" s="7"/>
      <c r="W878" s="7"/>
      <c r="X878" s="7"/>
      <c r="Y878" s="7"/>
    </row>
    <row r="879" ht="15.75" customHeight="1">
      <c r="T879" s="7"/>
      <c r="U879" s="7"/>
      <c r="V879" s="7"/>
      <c r="W879" s="7"/>
      <c r="X879" s="7"/>
      <c r="Y879" s="7"/>
    </row>
    <row r="880" ht="15.75" customHeight="1">
      <c r="T880" s="7"/>
      <c r="U880" s="7"/>
      <c r="V880" s="7"/>
      <c r="W880" s="7"/>
      <c r="X880" s="7"/>
      <c r="Y880" s="7"/>
    </row>
    <row r="881" ht="15.75" customHeight="1">
      <c r="T881" s="7"/>
      <c r="U881" s="7"/>
      <c r="V881" s="7"/>
      <c r="W881" s="7"/>
      <c r="X881" s="7"/>
      <c r="Y881" s="7"/>
    </row>
    <row r="882" ht="15.75" customHeight="1">
      <c r="T882" s="7"/>
      <c r="U882" s="7"/>
      <c r="V882" s="7"/>
      <c r="W882" s="7"/>
      <c r="X882" s="7"/>
      <c r="Y882" s="7"/>
    </row>
    <row r="883" ht="15.75" customHeight="1">
      <c r="T883" s="7"/>
      <c r="U883" s="7"/>
      <c r="V883" s="7"/>
      <c r="W883" s="7"/>
      <c r="X883" s="7"/>
      <c r="Y883" s="7"/>
    </row>
    <row r="884" ht="15.75" customHeight="1">
      <c r="T884" s="7"/>
      <c r="U884" s="7"/>
      <c r="V884" s="7"/>
      <c r="W884" s="7"/>
      <c r="X884" s="7"/>
      <c r="Y884" s="7"/>
    </row>
    <row r="885" ht="15.75" customHeight="1">
      <c r="T885" s="7"/>
      <c r="U885" s="7"/>
      <c r="V885" s="7"/>
      <c r="W885" s="7"/>
      <c r="X885" s="7"/>
      <c r="Y885" s="7"/>
    </row>
    <row r="886" ht="15.75" customHeight="1">
      <c r="T886" s="7"/>
      <c r="U886" s="7"/>
      <c r="V886" s="7"/>
      <c r="W886" s="7"/>
      <c r="X886" s="7"/>
      <c r="Y886" s="7"/>
    </row>
    <row r="887" ht="15.75" customHeight="1">
      <c r="T887" s="7"/>
      <c r="U887" s="7"/>
      <c r="V887" s="7"/>
      <c r="W887" s="7"/>
      <c r="X887" s="7"/>
      <c r="Y887" s="7"/>
    </row>
    <row r="888" ht="15.75" customHeight="1">
      <c r="T888" s="7"/>
      <c r="U888" s="7"/>
      <c r="V888" s="7"/>
      <c r="W888" s="7"/>
      <c r="X888" s="7"/>
      <c r="Y888" s="7"/>
    </row>
    <row r="889" ht="15.75" customHeight="1">
      <c r="T889" s="7"/>
      <c r="U889" s="7"/>
      <c r="V889" s="7"/>
      <c r="W889" s="7"/>
      <c r="X889" s="7"/>
      <c r="Y889" s="7"/>
    </row>
    <row r="890" ht="15.75" customHeight="1">
      <c r="T890" s="7"/>
      <c r="U890" s="7"/>
      <c r="V890" s="7"/>
      <c r="W890" s="7"/>
      <c r="X890" s="7"/>
      <c r="Y890" s="7"/>
    </row>
    <row r="891" ht="15.75" customHeight="1">
      <c r="T891" s="7"/>
      <c r="U891" s="7"/>
      <c r="V891" s="7"/>
      <c r="W891" s="7"/>
      <c r="X891" s="7"/>
      <c r="Y891" s="7"/>
    </row>
    <row r="892" ht="15.75" customHeight="1">
      <c r="T892" s="7"/>
      <c r="U892" s="7"/>
      <c r="V892" s="7"/>
      <c r="W892" s="7"/>
      <c r="X892" s="7"/>
      <c r="Y892" s="7"/>
    </row>
    <row r="893" ht="15.75" customHeight="1">
      <c r="T893" s="7"/>
      <c r="U893" s="7"/>
      <c r="V893" s="7"/>
      <c r="W893" s="7"/>
      <c r="X893" s="7"/>
      <c r="Y893" s="7"/>
    </row>
    <row r="894" ht="15.75" customHeight="1">
      <c r="T894" s="7"/>
      <c r="U894" s="7"/>
      <c r="V894" s="7"/>
      <c r="W894" s="7"/>
      <c r="X894" s="7"/>
      <c r="Y894" s="7"/>
    </row>
    <row r="895" ht="15.75" customHeight="1">
      <c r="T895" s="7"/>
      <c r="U895" s="7"/>
      <c r="V895" s="7"/>
      <c r="W895" s="7"/>
      <c r="X895" s="7"/>
      <c r="Y895" s="7"/>
    </row>
    <row r="896" ht="15.75" customHeight="1">
      <c r="T896" s="7"/>
      <c r="U896" s="7"/>
      <c r="V896" s="7"/>
      <c r="W896" s="7"/>
      <c r="X896" s="7"/>
      <c r="Y896" s="7"/>
    </row>
    <row r="897" ht="15.75" customHeight="1">
      <c r="T897" s="7"/>
      <c r="U897" s="7"/>
      <c r="V897" s="7"/>
      <c r="W897" s="7"/>
      <c r="X897" s="7"/>
      <c r="Y897" s="7"/>
    </row>
    <row r="898" ht="15.75" customHeight="1">
      <c r="T898" s="7"/>
      <c r="U898" s="7"/>
      <c r="V898" s="7"/>
      <c r="W898" s="7"/>
      <c r="X898" s="7"/>
      <c r="Y898" s="7"/>
    </row>
    <row r="899" ht="15.75" customHeight="1">
      <c r="T899" s="7"/>
      <c r="U899" s="7"/>
      <c r="V899" s="7"/>
      <c r="W899" s="7"/>
      <c r="X899" s="7"/>
      <c r="Y899" s="7"/>
    </row>
    <row r="900" ht="15.75" customHeight="1">
      <c r="T900" s="7"/>
      <c r="U900" s="7"/>
      <c r="V900" s="7"/>
      <c r="W900" s="7"/>
      <c r="X900" s="7"/>
      <c r="Y900" s="7"/>
    </row>
    <row r="901" ht="15.75" customHeight="1">
      <c r="T901" s="7"/>
      <c r="U901" s="7"/>
      <c r="V901" s="7"/>
      <c r="W901" s="7"/>
      <c r="X901" s="7"/>
      <c r="Y901" s="7"/>
    </row>
    <row r="902" ht="15.75" customHeight="1">
      <c r="T902" s="7"/>
      <c r="U902" s="7"/>
      <c r="V902" s="7"/>
      <c r="W902" s="7"/>
      <c r="X902" s="7"/>
      <c r="Y902" s="7"/>
    </row>
    <row r="903" ht="15.75" customHeight="1">
      <c r="T903" s="7"/>
      <c r="U903" s="7"/>
      <c r="V903" s="7"/>
      <c r="W903" s="7"/>
      <c r="X903" s="7"/>
      <c r="Y903" s="7"/>
    </row>
    <row r="904" ht="15.75" customHeight="1">
      <c r="T904" s="7"/>
      <c r="U904" s="7"/>
      <c r="V904" s="7"/>
      <c r="W904" s="7"/>
      <c r="X904" s="7"/>
      <c r="Y904" s="7"/>
    </row>
    <row r="905" ht="15.75" customHeight="1">
      <c r="T905" s="7"/>
      <c r="U905" s="7"/>
      <c r="V905" s="7"/>
      <c r="W905" s="7"/>
      <c r="X905" s="7"/>
      <c r="Y905" s="7"/>
    </row>
    <row r="906" ht="15.75" customHeight="1">
      <c r="T906" s="7"/>
      <c r="U906" s="7"/>
      <c r="V906" s="7"/>
      <c r="W906" s="7"/>
      <c r="X906" s="7"/>
      <c r="Y906" s="7"/>
    </row>
    <row r="907" ht="15.75" customHeight="1">
      <c r="T907" s="7"/>
      <c r="U907" s="7"/>
      <c r="V907" s="7"/>
      <c r="W907" s="7"/>
      <c r="X907" s="7"/>
      <c r="Y907" s="7"/>
    </row>
    <row r="908" ht="15.75" customHeight="1">
      <c r="T908" s="7"/>
      <c r="U908" s="7"/>
      <c r="V908" s="7"/>
      <c r="W908" s="7"/>
      <c r="X908" s="7"/>
      <c r="Y908" s="7"/>
    </row>
    <row r="909" ht="15.75" customHeight="1">
      <c r="T909" s="7"/>
      <c r="U909" s="7"/>
      <c r="V909" s="7"/>
      <c r="W909" s="7"/>
      <c r="X909" s="7"/>
      <c r="Y909" s="7"/>
    </row>
    <row r="910" ht="15.75" customHeight="1">
      <c r="T910" s="7"/>
      <c r="U910" s="7"/>
      <c r="V910" s="7"/>
      <c r="W910" s="7"/>
      <c r="X910" s="7"/>
      <c r="Y910" s="7"/>
    </row>
    <row r="911" ht="15.75" customHeight="1">
      <c r="T911" s="7"/>
      <c r="U911" s="7"/>
      <c r="V911" s="7"/>
      <c r="W911" s="7"/>
      <c r="X911" s="7"/>
      <c r="Y911" s="7"/>
    </row>
    <row r="912" ht="15.75" customHeight="1">
      <c r="T912" s="7"/>
      <c r="U912" s="7"/>
      <c r="V912" s="7"/>
      <c r="W912" s="7"/>
      <c r="X912" s="7"/>
      <c r="Y912" s="7"/>
    </row>
    <row r="913" ht="15.75" customHeight="1">
      <c r="T913" s="7"/>
      <c r="U913" s="7"/>
      <c r="V913" s="7"/>
      <c r="W913" s="7"/>
      <c r="X913" s="7"/>
      <c r="Y913" s="7"/>
    </row>
    <row r="914" ht="15.75" customHeight="1">
      <c r="T914" s="7"/>
      <c r="U914" s="7"/>
      <c r="V914" s="7"/>
      <c r="W914" s="7"/>
      <c r="X914" s="7"/>
      <c r="Y914" s="7"/>
    </row>
    <row r="915" ht="15.75" customHeight="1">
      <c r="T915" s="7"/>
      <c r="U915" s="7"/>
      <c r="V915" s="7"/>
      <c r="W915" s="7"/>
      <c r="X915" s="7"/>
      <c r="Y915" s="7"/>
    </row>
    <row r="916" ht="15.75" customHeight="1">
      <c r="T916" s="7"/>
      <c r="U916" s="7"/>
      <c r="V916" s="7"/>
      <c r="W916" s="7"/>
      <c r="X916" s="7"/>
      <c r="Y916" s="7"/>
    </row>
    <row r="917" ht="15.75" customHeight="1">
      <c r="T917" s="7"/>
      <c r="U917" s="7"/>
      <c r="V917" s="7"/>
      <c r="W917" s="7"/>
      <c r="X917" s="7"/>
      <c r="Y917" s="7"/>
    </row>
    <row r="918" ht="15.75" customHeight="1">
      <c r="T918" s="7"/>
      <c r="U918" s="7"/>
      <c r="V918" s="7"/>
      <c r="W918" s="7"/>
      <c r="X918" s="7"/>
      <c r="Y918" s="7"/>
    </row>
    <row r="919" ht="15.75" customHeight="1">
      <c r="T919" s="7"/>
      <c r="U919" s="7"/>
      <c r="V919" s="7"/>
      <c r="W919" s="7"/>
      <c r="X919" s="7"/>
      <c r="Y919" s="7"/>
    </row>
    <row r="920" ht="15.75" customHeight="1">
      <c r="T920" s="7"/>
      <c r="U920" s="7"/>
      <c r="V920" s="7"/>
      <c r="W920" s="7"/>
      <c r="X920" s="7"/>
      <c r="Y920" s="7"/>
    </row>
    <row r="921" ht="15.75" customHeight="1">
      <c r="T921" s="7"/>
      <c r="U921" s="7"/>
      <c r="V921" s="7"/>
      <c r="W921" s="7"/>
      <c r="X921" s="7"/>
      <c r="Y921" s="7"/>
    </row>
    <row r="922" ht="15.75" customHeight="1">
      <c r="T922" s="7"/>
      <c r="U922" s="7"/>
      <c r="V922" s="7"/>
      <c r="W922" s="7"/>
      <c r="X922" s="7"/>
      <c r="Y922" s="7"/>
    </row>
    <row r="923" ht="15.75" customHeight="1">
      <c r="T923" s="7"/>
      <c r="U923" s="7"/>
      <c r="V923" s="7"/>
      <c r="W923" s="7"/>
      <c r="X923" s="7"/>
      <c r="Y923" s="7"/>
    </row>
    <row r="924" ht="15.75" customHeight="1">
      <c r="T924" s="7"/>
      <c r="U924" s="7"/>
      <c r="V924" s="7"/>
      <c r="W924" s="7"/>
      <c r="X924" s="7"/>
      <c r="Y924" s="7"/>
    </row>
    <row r="925" ht="15.75" customHeight="1">
      <c r="T925" s="7"/>
      <c r="U925" s="7"/>
      <c r="V925" s="7"/>
      <c r="W925" s="7"/>
      <c r="X925" s="7"/>
      <c r="Y925" s="7"/>
    </row>
    <row r="926" ht="15.75" customHeight="1">
      <c r="T926" s="7"/>
      <c r="U926" s="7"/>
      <c r="V926" s="7"/>
      <c r="W926" s="7"/>
      <c r="X926" s="7"/>
      <c r="Y926" s="7"/>
    </row>
    <row r="927" ht="15.75" customHeight="1">
      <c r="T927" s="7"/>
      <c r="U927" s="7"/>
      <c r="V927" s="7"/>
      <c r="W927" s="7"/>
      <c r="X927" s="7"/>
      <c r="Y927" s="7"/>
    </row>
    <row r="928" ht="15.75" customHeight="1">
      <c r="T928" s="7"/>
      <c r="U928" s="7"/>
      <c r="V928" s="7"/>
      <c r="W928" s="7"/>
      <c r="X928" s="7"/>
      <c r="Y928" s="7"/>
    </row>
    <row r="929" ht="15.75" customHeight="1">
      <c r="T929" s="7"/>
      <c r="U929" s="7"/>
      <c r="V929" s="7"/>
      <c r="W929" s="7"/>
      <c r="X929" s="7"/>
      <c r="Y929" s="7"/>
    </row>
    <row r="930" ht="15.75" customHeight="1">
      <c r="T930" s="7"/>
      <c r="U930" s="7"/>
      <c r="V930" s="7"/>
      <c r="W930" s="7"/>
      <c r="X930" s="7"/>
      <c r="Y930" s="7"/>
    </row>
    <row r="931" ht="15.75" customHeight="1">
      <c r="T931" s="7"/>
      <c r="U931" s="7"/>
      <c r="V931" s="7"/>
      <c r="W931" s="7"/>
      <c r="X931" s="7"/>
      <c r="Y931" s="7"/>
    </row>
    <row r="932" ht="15.75" customHeight="1">
      <c r="T932" s="7"/>
      <c r="U932" s="7"/>
      <c r="V932" s="7"/>
      <c r="W932" s="7"/>
      <c r="X932" s="7"/>
      <c r="Y932" s="7"/>
    </row>
    <row r="933" ht="15.75" customHeight="1">
      <c r="T933" s="7"/>
      <c r="U933" s="7"/>
      <c r="V933" s="7"/>
      <c r="W933" s="7"/>
      <c r="X933" s="7"/>
      <c r="Y933" s="7"/>
    </row>
    <row r="934" ht="15.75" customHeight="1">
      <c r="T934" s="7"/>
      <c r="U934" s="7"/>
      <c r="V934" s="7"/>
      <c r="W934" s="7"/>
      <c r="X934" s="7"/>
      <c r="Y934" s="7"/>
    </row>
    <row r="935" ht="15.75" customHeight="1">
      <c r="T935" s="7"/>
      <c r="U935" s="7"/>
      <c r="V935" s="7"/>
      <c r="W935" s="7"/>
      <c r="X935" s="7"/>
      <c r="Y935" s="7"/>
    </row>
    <row r="936" ht="15.75" customHeight="1">
      <c r="T936" s="7"/>
      <c r="U936" s="7"/>
      <c r="V936" s="7"/>
      <c r="W936" s="7"/>
      <c r="X936" s="7"/>
      <c r="Y936" s="7"/>
    </row>
    <row r="937" ht="15.75" customHeight="1">
      <c r="T937" s="7"/>
      <c r="U937" s="7"/>
      <c r="V937" s="7"/>
      <c r="W937" s="7"/>
      <c r="X937" s="7"/>
      <c r="Y937" s="7"/>
    </row>
    <row r="938" ht="15.75" customHeight="1">
      <c r="T938" s="7"/>
      <c r="U938" s="7"/>
      <c r="V938" s="7"/>
      <c r="W938" s="7"/>
      <c r="X938" s="7"/>
      <c r="Y938" s="7"/>
    </row>
    <row r="939" ht="15.75" customHeight="1">
      <c r="T939" s="7"/>
      <c r="U939" s="7"/>
      <c r="V939" s="7"/>
      <c r="W939" s="7"/>
      <c r="X939" s="7"/>
      <c r="Y939" s="7"/>
    </row>
    <row r="940" ht="15.75" customHeight="1">
      <c r="T940" s="7"/>
      <c r="U940" s="7"/>
      <c r="V940" s="7"/>
      <c r="W940" s="7"/>
      <c r="X940" s="7"/>
      <c r="Y940" s="7"/>
    </row>
    <row r="941" ht="15.75" customHeight="1">
      <c r="T941" s="7"/>
      <c r="U941" s="7"/>
      <c r="V941" s="7"/>
      <c r="W941" s="7"/>
      <c r="X941" s="7"/>
      <c r="Y941" s="7"/>
    </row>
    <row r="942" ht="15.75" customHeight="1">
      <c r="T942" s="7"/>
      <c r="U942" s="7"/>
      <c r="V942" s="7"/>
      <c r="W942" s="7"/>
      <c r="X942" s="7"/>
      <c r="Y942" s="7"/>
    </row>
    <row r="943" ht="15.75" customHeight="1">
      <c r="T943" s="7"/>
      <c r="U943" s="7"/>
      <c r="V943" s="7"/>
      <c r="W943" s="7"/>
      <c r="X943" s="7"/>
      <c r="Y943" s="7"/>
    </row>
    <row r="944" ht="15.75" customHeight="1">
      <c r="T944" s="7"/>
      <c r="U944" s="7"/>
      <c r="V944" s="7"/>
      <c r="W944" s="7"/>
      <c r="X944" s="7"/>
      <c r="Y944" s="7"/>
    </row>
    <row r="945" ht="15.75" customHeight="1">
      <c r="T945" s="7"/>
      <c r="U945" s="7"/>
      <c r="V945" s="7"/>
      <c r="W945" s="7"/>
      <c r="X945" s="7"/>
      <c r="Y945" s="7"/>
    </row>
    <row r="946" ht="15.75" customHeight="1">
      <c r="T946" s="7"/>
      <c r="U946" s="7"/>
      <c r="V946" s="7"/>
      <c r="W946" s="7"/>
      <c r="X946" s="7"/>
      <c r="Y946" s="7"/>
    </row>
    <row r="947" ht="15.75" customHeight="1">
      <c r="T947" s="7"/>
      <c r="U947" s="7"/>
      <c r="V947" s="7"/>
      <c r="W947" s="7"/>
      <c r="X947" s="7"/>
      <c r="Y947" s="7"/>
    </row>
    <row r="948" ht="15.75" customHeight="1">
      <c r="T948" s="7"/>
      <c r="U948" s="7"/>
      <c r="V948" s="7"/>
      <c r="W948" s="7"/>
      <c r="X948" s="7"/>
      <c r="Y948" s="7"/>
    </row>
    <row r="949" ht="15.75" customHeight="1">
      <c r="T949" s="7"/>
      <c r="U949" s="7"/>
      <c r="V949" s="7"/>
      <c r="W949" s="7"/>
      <c r="X949" s="7"/>
      <c r="Y949" s="7"/>
    </row>
    <row r="950" ht="15.75" customHeight="1">
      <c r="T950" s="7"/>
      <c r="U950" s="7"/>
      <c r="V950" s="7"/>
      <c r="W950" s="7"/>
      <c r="X950" s="7"/>
      <c r="Y950" s="7"/>
    </row>
    <row r="951" ht="15.75" customHeight="1">
      <c r="T951" s="7"/>
      <c r="U951" s="7"/>
      <c r="V951" s="7"/>
      <c r="W951" s="7"/>
      <c r="X951" s="7"/>
      <c r="Y951" s="7"/>
    </row>
    <row r="952" ht="15.75" customHeight="1">
      <c r="T952" s="7"/>
      <c r="U952" s="7"/>
      <c r="V952" s="7"/>
      <c r="W952" s="7"/>
      <c r="X952" s="7"/>
      <c r="Y952" s="7"/>
    </row>
    <row r="953" ht="15.75" customHeight="1">
      <c r="T953" s="7"/>
      <c r="U953" s="7"/>
      <c r="V953" s="7"/>
      <c r="W953" s="7"/>
      <c r="X953" s="7"/>
      <c r="Y953" s="7"/>
    </row>
    <row r="954" ht="15.75" customHeight="1">
      <c r="T954" s="7"/>
      <c r="U954" s="7"/>
      <c r="V954" s="7"/>
      <c r="W954" s="7"/>
      <c r="X954" s="7"/>
      <c r="Y954" s="7"/>
    </row>
    <row r="955" ht="15.75" customHeight="1">
      <c r="T955" s="7"/>
      <c r="U955" s="7"/>
      <c r="V955" s="7"/>
      <c r="W955" s="7"/>
      <c r="X955" s="7"/>
      <c r="Y955" s="7"/>
    </row>
    <row r="956" ht="15.75" customHeight="1">
      <c r="T956" s="7"/>
      <c r="U956" s="7"/>
      <c r="V956" s="7"/>
      <c r="W956" s="7"/>
      <c r="X956" s="7"/>
      <c r="Y956" s="7"/>
    </row>
    <row r="957" ht="15.75" customHeight="1">
      <c r="T957" s="7"/>
      <c r="U957" s="7"/>
      <c r="V957" s="7"/>
      <c r="W957" s="7"/>
      <c r="X957" s="7"/>
      <c r="Y957" s="7"/>
    </row>
    <row r="958" ht="15.75" customHeight="1">
      <c r="T958" s="7"/>
      <c r="U958" s="7"/>
      <c r="V958" s="7"/>
      <c r="W958" s="7"/>
      <c r="X958" s="7"/>
      <c r="Y958" s="7"/>
    </row>
    <row r="959" ht="15.75" customHeight="1">
      <c r="T959" s="7"/>
      <c r="U959" s="7"/>
      <c r="V959" s="7"/>
      <c r="W959" s="7"/>
      <c r="X959" s="7"/>
      <c r="Y959" s="7"/>
    </row>
    <row r="960" ht="15.75" customHeight="1">
      <c r="T960" s="7"/>
      <c r="U960" s="7"/>
      <c r="V960" s="7"/>
      <c r="W960" s="7"/>
      <c r="X960" s="7"/>
      <c r="Y960" s="7"/>
    </row>
    <row r="961" ht="15.75" customHeight="1">
      <c r="T961" s="7"/>
      <c r="U961" s="7"/>
      <c r="V961" s="7"/>
      <c r="W961" s="7"/>
      <c r="X961" s="7"/>
      <c r="Y961" s="7"/>
    </row>
    <row r="962" ht="15.75" customHeight="1">
      <c r="T962" s="7"/>
      <c r="U962" s="7"/>
      <c r="V962" s="7"/>
      <c r="W962" s="7"/>
      <c r="X962" s="7"/>
      <c r="Y962" s="7"/>
    </row>
    <row r="963" ht="15.75" customHeight="1">
      <c r="T963" s="7"/>
      <c r="U963" s="7"/>
      <c r="V963" s="7"/>
      <c r="W963" s="7"/>
      <c r="X963" s="7"/>
      <c r="Y963" s="7"/>
    </row>
    <row r="964" ht="15.75" customHeight="1">
      <c r="T964" s="7"/>
      <c r="U964" s="7"/>
      <c r="V964" s="7"/>
      <c r="W964" s="7"/>
      <c r="X964" s="7"/>
      <c r="Y964" s="7"/>
    </row>
    <row r="965" ht="15.75" customHeight="1">
      <c r="T965" s="7"/>
      <c r="U965" s="7"/>
      <c r="V965" s="7"/>
      <c r="W965" s="7"/>
      <c r="X965" s="7"/>
      <c r="Y965" s="7"/>
    </row>
    <row r="966" ht="15.75" customHeight="1">
      <c r="T966" s="7"/>
      <c r="U966" s="7"/>
      <c r="V966" s="7"/>
      <c r="W966" s="7"/>
      <c r="X966" s="7"/>
      <c r="Y966" s="7"/>
    </row>
    <row r="967" ht="15.75" customHeight="1">
      <c r="T967" s="7"/>
      <c r="U967" s="7"/>
      <c r="V967" s="7"/>
      <c r="W967" s="7"/>
      <c r="X967" s="7"/>
      <c r="Y967" s="7"/>
    </row>
    <row r="968" ht="15.75" customHeight="1">
      <c r="T968" s="7"/>
      <c r="U968" s="7"/>
      <c r="V968" s="7"/>
      <c r="W968" s="7"/>
      <c r="X968" s="7"/>
      <c r="Y968" s="7"/>
    </row>
    <row r="969" ht="15.75" customHeight="1">
      <c r="T969" s="7"/>
      <c r="U969" s="7"/>
      <c r="V969" s="7"/>
      <c r="W969" s="7"/>
      <c r="X969" s="7"/>
      <c r="Y969" s="7"/>
    </row>
    <row r="970" ht="15.75" customHeight="1">
      <c r="T970" s="7"/>
      <c r="U970" s="7"/>
      <c r="V970" s="7"/>
      <c r="W970" s="7"/>
      <c r="X970" s="7"/>
      <c r="Y970" s="7"/>
    </row>
    <row r="971" ht="15.75" customHeight="1">
      <c r="T971" s="7"/>
      <c r="U971" s="7"/>
      <c r="V971" s="7"/>
      <c r="W971" s="7"/>
      <c r="X971" s="7"/>
      <c r="Y971" s="7"/>
    </row>
    <row r="972" ht="15.75" customHeight="1">
      <c r="T972" s="7"/>
      <c r="U972" s="7"/>
      <c r="V972" s="7"/>
      <c r="W972" s="7"/>
      <c r="X972" s="7"/>
      <c r="Y972" s="7"/>
    </row>
    <row r="973" ht="15.75" customHeight="1">
      <c r="T973" s="7"/>
      <c r="U973" s="7"/>
      <c r="V973" s="7"/>
      <c r="W973" s="7"/>
      <c r="X973" s="7"/>
      <c r="Y973" s="7"/>
    </row>
    <row r="974" ht="15.75" customHeight="1">
      <c r="T974" s="7"/>
      <c r="U974" s="7"/>
      <c r="V974" s="7"/>
      <c r="W974" s="7"/>
      <c r="X974" s="7"/>
      <c r="Y974" s="7"/>
    </row>
    <row r="975" ht="15.75" customHeight="1">
      <c r="T975" s="7"/>
      <c r="U975" s="7"/>
      <c r="V975" s="7"/>
      <c r="W975" s="7"/>
      <c r="X975" s="7"/>
      <c r="Y975" s="7"/>
    </row>
    <row r="976" ht="15.75" customHeight="1">
      <c r="T976" s="7"/>
      <c r="U976" s="7"/>
      <c r="V976" s="7"/>
      <c r="W976" s="7"/>
      <c r="X976" s="7"/>
      <c r="Y976" s="7"/>
    </row>
    <row r="977" ht="15.75" customHeight="1">
      <c r="T977" s="7"/>
      <c r="U977" s="7"/>
      <c r="V977" s="7"/>
      <c r="W977" s="7"/>
      <c r="X977" s="7"/>
      <c r="Y977" s="7"/>
    </row>
    <row r="978" ht="15.75" customHeight="1">
      <c r="T978" s="7"/>
      <c r="U978" s="7"/>
      <c r="V978" s="7"/>
      <c r="W978" s="7"/>
      <c r="X978" s="7"/>
      <c r="Y978" s="7"/>
    </row>
    <row r="979" ht="15.75" customHeight="1">
      <c r="T979" s="7"/>
      <c r="U979" s="7"/>
      <c r="V979" s="7"/>
      <c r="W979" s="7"/>
      <c r="X979" s="7"/>
      <c r="Y979" s="7"/>
    </row>
    <row r="980" ht="15.75" customHeight="1">
      <c r="T980" s="7"/>
      <c r="U980" s="7"/>
      <c r="V980" s="7"/>
      <c r="W980" s="7"/>
      <c r="X980" s="7"/>
      <c r="Y980" s="7"/>
    </row>
    <row r="981" ht="15.75" customHeight="1">
      <c r="T981" s="7"/>
      <c r="U981" s="7"/>
      <c r="V981" s="7"/>
      <c r="W981" s="7"/>
      <c r="X981" s="7"/>
      <c r="Y981" s="7"/>
    </row>
    <row r="982" ht="15.75" customHeight="1">
      <c r="T982" s="7"/>
      <c r="U982" s="7"/>
      <c r="V982" s="7"/>
      <c r="W982" s="7"/>
      <c r="X982" s="7"/>
      <c r="Y982" s="7"/>
    </row>
    <row r="983" ht="15.75" customHeight="1">
      <c r="T983" s="7"/>
      <c r="U983" s="7"/>
      <c r="V983" s="7"/>
      <c r="W983" s="7"/>
      <c r="X983" s="7"/>
      <c r="Y983" s="7"/>
    </row>
    <row r="984" ht="15.75" customHeight="1">
      <c r="T984" s="7"/>
      <c r="U984" s="7"/>
      <c r="V984" s="7"/>
      <c r="W984" s="7"/>
      <c r="X984" s="7"/>
      <c r="Y984" s="7"/>
    </row>
    <row r="985" ht="15.75" customHeight="1">
      <c r="T985" s="7"/>
      <c r="U985" s="7"/>
      <c r="V985" s="7"/>
      <c r="W985" s="7"/>
      <c r="X985" s="7"/>
      <c r="Y985" s="7"/>
    </row>
    <row r="986" ht="15.75" customHeight="1">
      <c r="T986" s="7"/>
      <c r="U986" s="7"/>
      <c r="V986" s="7"/>
      <c r="W986" s="7"/>
      <c r="X986" s="7"/>
      <c r="Y986" s="7"/>
    </row>
    <row r="987" ht="15.75" customHeight="1">
      <c r="T987" s="7"/>
      <c r="U987" s="7"/>
      <c r="V987" s="7"/>
      <c r="W987" s="7"/>
      <c r="X987" s="7"/>
      <c r="Y987" s="7"/>
    </row>
    <row r="988" ht="15.75" customHeight="1">
      <c r="T988" s="7"/>
      <c r="U988" s="7"/>
      <c r="V988" s="7"/>
      <c r="W988" s="7"/>
      <c r="X988" s="7"/>
      <c r="Y988" s="7"/>
    </row>
    <row r="989" ht="15.75" customHeight="1">
      <c r="T989" s="7"/>
      <c r="U989" s="7"/>
      <c r="V989" s="7"/>
      <c r="W989" s="7"/>
      <c r="X989" s="7"/>
      <c r="Y989" s="7"/>
    </row>
    <row r="990" ht="15.75" customHeight="1">
      <c r="T990" s="7"/>
      <c r="U990" s="7"/>
      <c r="V990" s="7"/>
      <c r="W990" s="7"/>
      <c r="X990" s="7"/>
      <c r="Y990" s="7"/>
    </row>
    <row r="991" ht="15.75" customHeight="1">
      <c r="T991" s="7"/>
      <c r="U991" s="7"/>
      <c r="V991" s="7"/>
      <c r="W991" s="7"/>
      <c r="X991" s="7"/>
      <c r="Y991" s="7"/>
    </row>
    <row r="992" ht="15.75" customHeight="1">
      <c r="T992" s="7"/>
      <c r="U992" s="7"/>
      <c r="V992" s="7"/>
      <c r="W992" s="7"/>
      <c r="X992" s="7"/>
      <c r="Y992" s="7"/>
    </row>
    <row r="993" ht="15.75" customHeight="1">
      <c r="T993" s="7"/>
      <c r="U993" s="7"/>
      <c r="V993" s="7"/>
      <c r="W993" s="7"/>
      <c r="X993" s="7"/>
      <c r="Y993" s="7"/>
    </row>
    <row r="994" ht="15.75" customHeight="1">
      <c r="T994" s="7"/>
      <c r="U994" s="7"/>
      <c r="V994" s="7"/>
      <c r="W994" s="7"/>
      <c r="X994" s="7"/>
      <c r="Y994" s="7"/>
    </row>
    <row r="995" ht="15.75" customHeight="1">
      <c r="T995" s="7"/>
      <c r="U995" s="7"/>
      <c r="V995" s="7"/>
      <c r="W995" s="7"/>
      <c r="X995" s="7"/>
      <c r="Y995" s="7"/>
    </row>
    <row r="996" ht="15.75" customHeight="1">
      <c r="T996" s="7"/>
      <c r="U996" s="7"/>
      <c r="V996" s="7"/>
      <c r="W996" s="7"/>
      <c r="X996" s="7"/>
      <c r="Y996" s="7"/>
    </row>
    <row r="997" ht="15.75" customHeight="1">
      <c r="T997" s="7"/>
      <c r="U997" s="7"/>
      <c r="V997" s="7"/>
      <c r="W997" s="7"/>
      <c r="X997" s="7"/>
      <c r="Y997" s="7"/>
    </row>
    <row r="998" ht="15.75" customHeight="1">
      <c r="T998" s="7"/>
      <c r="U998" s="7"/>
      <c r="V998" s="7"/>
      <c r="W998" s="7"/>
      <c r="X998" s="7"/>
      <c r="Y998" s="7"/>
    </row>
    <row r="999" ht="15.75" customHeight="1">
      <c r="T999" s="7"/>
      <c r="U999" s="7"/>
      <c r="V999" s="7"/>
      <c r="W999" s="7"/>
      <c r="X999" s="7"/>
      <c r="Y999" s="7"/>
    </row>
    <row r="1000" ht="15.75" customHeight="1">
      <c r="T1000" s="7"/>
      <c r="U1000" s="7"/>
      <c r="V1000" s="7"/>
      <c r="W1000" s="7"/>
      <c r="X1000" s="7"/>
      <c r="Y1000" s="7"/>
    </row>
  </sheetData>
  <mergeCells count="20">
    <mergeCell ref="BB2:BC2"/>
    <mergeCell ref="BH2:BI2"/>
    <mergeCell ref="CJ2:CK2"/>
    <mergeCell ref="B2:D2"/>
    <mergeCell ref="E2:F2"/>
    <mergeCell ref="AH2:AI2"/>
    <mergeCell ref="AJ2:AK2"/>
    <mergeCell ref="AR2:AS2"/>
    <mergeCell ref="AT2:AU2"/>
    <mergeCell ref="AV2:AW2"/>
    <mergeCell ref="CH3:CM3"/>
    <mergeCell ref="CN3:CS3"/>
    <mergeCell ref="CT3:CW3"/>
    <mergeCell ref="B3:C3"/>
    <mergeCell ref="D3:G3"/>
    <mergeCell ref="H3:Y3"/>
    <mergeCell ref="Z3:AM3"/>
    <mergeCell ref="AN3:BM3"/>
    <mergeCell ref="BN3:BW3"/>
    <mergeCell ref="BX3:CG3"/>
  </mergeCells>
  <dataValidations>
    <dataValidation type="list" allowBlank="1" showErrorMessage="1" sqref="CO6:CO60">
      <formula1>'M&amp;E_ESP_RSPTAs'!$CO$6:$CO$7</formula1>
    </dataValidation>
    <dataValidation type="list" allowBlank="1" showErrorMessage="1" sqref="CA6:CA60">
      <formula1>'M&amp;E_ESP_RSPTAs'!$CA$6:$CA$10</formula1>
    </dataValidation>
    <dataValidation type="list" allowBlank="1" showErrorMessage="1" sqref="AX6:AX60">
      <formula1>'M&amp;E_ESP_RSPTAs'!$AX$6:$AX$7</formula1>
    </dataValidation>
    <dataValidation type="list" allowBlank="1" showErrorMessage="1" sqref="CW6:CW60">
      <formula1>'M&amp;E_ESP_RSPTAs'!$CW$6:$CW$9</formula1>
    </dataValidation>
    <dataValidation type="list" allowBlank="1" showErrorMessage="1" sqref="BL6:BL60">
      <formula1>'M&amp;E_ESP_RSPTAs'!$BL$6:$BL$10</formula1>
    </dataValidation>
    <dataValidation type="list" allowBlank="1" showErrorMessage="1" sqref="CS6:CS60">
      <formula1>'M&amp;E_ESP_RSPTAs'!$CS$6:$CS$9</formula1>
    </dataValidation>
    <dataValidation type="list" allowBlank="1" showErrorMessage="1" sqref="CH6:CH60">
      <formula1>'M&amp;E_ESP_RSPTAs'!$CH$6:$CH$10</formula1>
    </dataValidation>
    <dataValidation type="list" allowBlank="1" showErrorMessage="1" sqref="AO6:AO60">
      <formula1>'M&amp;E_ESP_RSPTAs'!$AO$6:$AO$7</formula1>
    </dataValidation>
    <dataValidation type="list" allowBlank="1" showErrorMessage="1" sqref="BB6:BB60">
      <formula1>'M&amp;E_ESP_RSPTAs'!$BB$6:$BB$9</formula1>
    </dataValidation>
    <dataValidation type="list" allowBlank="1" showErrorMessage="1" sqref="BR6:BR60">
      <formula1>'M&amp;E_ESP_RSPTAs'!$BR$6:$BR$7</formula1>
    </dataValidation>
    <dataValidation type="list" allowBlank="1" showErrorMessage="1" sqref="M6:M60">
      <formula1>'CIIU 1'!$B$4:$B$24</formula1>
    </dataValidation>
    <dataValidation type="list" allowBlank="1" showErrorMessage="1" sqref="U6:U60">
      <formula1>'M&amp;E_ESP_RSPTAs'!$U$6:$U$7</formula1>
    </dataValidation>
    <dataValidation type="list" allowBlank="1" showErrorMessage="1" sqref="Q6:Q60">
      <formula1>'M&amp;E_ESP_RSPTAs'!$Q$6:$Q$7</formula1>
    </dataValidation>
    <dataValidation type="list" allowBlank="1" showErrorMessage="1" sqref="O6:O60">
      <formula1>'CIIU 3'!$B$4:$B$241</formula1>
    </dataValidation>
    <dataValidation type="list" allowBlank="1" showErrorMessage="1" sqref="CK6:CK60">
      <formula1>'M&amp;E_ESP_RSPTAs'!$CK$6:$CK$10</formula1>
    </dataValidation>
    <dataValidation type="list" allowBlank="1" showErrorMessage="1" sqref="CV6:CV60">
      <formula1>'M&amp;E_ESP_RSPTAs'!$CV$6:$CV$9</formula1>
    </dataValidation>
    <dataValidation type="list" allowBlank="1" showErrorMessage="1" sqref="BH6:BH60">
      <formula1>'M&amp;E_ESP_RSPTAs'!$BH$6:$BH$10</formula1>
    </dataValidation>
    <dataValidation type="list" allowBlank="1" showErrorMessage="1" sqref="BT6:BU60">
      <formula1>'M&amp;E_ESP_RSPTAs'!$BU$6:$BU$8</formula1>
    </dataValidation>
    <dataValidation type="list" allowBlank="1" showErrorMessage="1" sqref="F6:F60">
      <formula1>'M&amp;E_ESP_RSPTAs'!$F$6:$F$11</formula1>
    </dataValidation>
    <dataValidation type="list" allowBlank="1" showErrorMessage="1" sqref="CN6:CN60">
      <formula1>'M&amp;E_ESP_RSPTAs'!$CN$6:$CN$7</formula1>
    </dataValidation>
    <dataValidation type="list" allowBlank="1" showErrorMessage="1" sqref="BJ6:BJ60">
      <formula1>'M&amp;E_ESP_RSPTAs'!$BJ$6:$BJ$9</formula1>
    </dataValidation>
    <dataValidation type="list" allowBlank="1" showErrorMessage="1" sqref="W6:W60">
      <formula1>'M&amp;E_ESP_RSPTAs'!$W$6:$W$10</formula1>
    </dataValidation>
    <dataValidation type="list" allowBlank="1" showErrorMessage="1" sqref="BZ6:BZ60">
      <formula1>'M&amp;E_ESP_RSPTAs'!$BZ$6:$BZ$10</formula1>
    </dataValidation>
    <dataValidation type="list" allowBlank="1" showErrorMessage="1" sqref="CG6:CG60">
      <formula1>'M&amp;E_ESP_RSPTAs'!$CG$6:$CG$10</formula1>
    </dataValidation>
    <dataValidation type="list" allowBlank="1" showErrorMessage="1" sqref="BA6:BA60">
      <formula1>'M&amp;E_ESP_RSPTAs'!$BA$6:$BA$9</formula1>
    </dataValidation>
    <dataValidation type="list" allowBlank="1" showErrorMessage="1" sqref="D6:D60">
      <formula1>'M&amp;E_ESP_RSPTAs'!$D$6:$D$9</formula1>
    </dataValidation>
    <dataValidation type="list" allowBlank="1" showErrorMessage="1" sqref="CD6:CD60">
      <formula1>'M&amp;E_ESP_RSPTAs'!$CD$6:$CD$9</formula1>
    </dataValidation>
    <dataValidation type="list" allowBlank="1" showErrorMessage="1" sqref="CU6:CU60">
      <formula1>'M&amp;E_ESP_RSPTAs'!$CU$6:$CU$9</formula1>
    </dataValidation>
    <dataValidation type="list" allowBlank="1" showErrorMessage="1" sqref="AN6:AN60">
      <formula1>'M&amp;E_ESP_RSPTAs'!$AN$6:$AN$7</formula1>
    </dataValidation>
    <dataValidation type="list" allowBlank="1" showErrorMessage="1" sqref="CC6:CC60">
      <formula1>'M&amp;E_ESP_RSPTAs'!$CC$6:$CC$9</formula1>
    </dataValidation>
    <dataValidation type="list" allowBlank="1" showErrorMessage="1" sqref="AL6:AL60">
      <formula1>'M&amp;E_ESP_RSPTAs'!$AL$6:$AL$7</formula1>
    </dataValidation>
    <dataValidation type="list" allowBlank="1" showErrorMessage="1" sqref="BI6:BI60">
      <formula1>'M&amp;E_ESP_RSPTAs'!$BI$6:$BI$10</formula1>
    </dataValidation>
    <dataValidation type="list" allowBlank="1" showErrorMessage="1" sqref="BF6:BF60">
      <formula1>'M&amp;E_ESP_RSPTAs'!$BF$6:$BF$12</formula1>
    </dataValidation>
    <dataValidation type="list" allowBlank="1" showErrorMessage="1" sqref="BW6:BW60">
      <formula1>'M&amp;E_ESP_RSPTAs'!$BW$6:$BW$12</formula1>
    </dataValidation>
    <dataValidation type="list" allowBlank="1" showErrorMessage="1" sqref="CL6:CL60">
      <formula1>'M&amp;E_ESP_RSPTAs'!$CL$6:$CL$10</formula1>
    </dataValidation>
    <dataValidation type="list" allowBlank="1" showErrorMessage="1" sqref="I6:I60">
      <formula1>'M&amp;E_ESP_RSPTAs'!$I$6:$I$10</formula1>
    </dataValidation>
    <dataValidation type="list" allowBlank="1" showErrorMessage="1" sqref="S6:S60">
      <formula1>'M&amp;E_ESP_RSPTAs'!$S$6:$S$9</formula1>
    </dataValidation>
    <dataValidation type="list" allowBlank="1" showErrorMessage="1" sqref="BY6:BY60">
      <formula1>'M&amp;E_ESP_RSPTAs'!$BY$6:$BY$10</formula1>
    </dataValidation>
    <dataValidation type="list" allowBlank="1" showErrorMessage="1" sqref="CJ6:CJ60">
      <formula1>'M&amp;E_ESP_RSPTAs'!$CJ$6:$CJ$10</formula1>
    </dataValidation>
    <dataValidation type="list" allowBlank="1" showErrorMessage="1" sqref="R6:R60">
      <formula1>'M&amp;E_ESP_RSPTAs'!$R$6:$R$7</formula1>
    </dataValidation>
    <dataValidation type="list" allowBlank="1" showErrorMessage="1" sqref="Y6:Y60">
      <formula1>'M&amp;E_ESP_RSPTAs'!$Y$6:$Y$8</formula1>
    </dataValidation>
    <dataValidation type="list" allowBlank="1" showErrorMessage="1" sqref="CR6:CR60">
      <formula1>'M&amp;E_ESP_RSPTAs'!$CR$6:$CR$9</formula1>
    </dataValidation>
    <dataValidation type="list" allowBlank="1" showErrorMessage="1" sqref="AY6:AY60">
      <formula1>'M&amp;E_ESP_RSPTAs'!$AY$6:$AY$7</formula1>
    </dataValidation>
    <dataValidation type="list" allowBlank="1" showErrorMessage="1" sqref="BO6:BO60">
      <formula1>'M&amp;E_ESP_RSPTAs'!$BO$6:$BO$9</formula1>
    </dataValidation>
    <dataValidation type="list" allowBlank="1" showErrorMessage="1" sqref="BP6:BP60">
      <formula1>'M&amp;E_ESP_RSPTAs'!$BP$6:$BP$8</formula1>
    </dataValidation>
    <dataValidation type="list" allowBlank="1" showErrorMessage="1" sqref="G6:G60">
      <formula1>'M&amp;E_ESP_RSPTAs'!$G$6:$G$7</formula1>
    </dataValidation>
    <dataValidation type="list" allowBlank="1" showErrorMessage="1" sqref="CF6:CF60">
      <formula1>'M&amp;E_ESP_RSPTAs'!$CF$6:$CF$10</formula1>
    </dataValidation>
    <dataValidation type="list" allowBlank="1" showErrorMessage="1" sqref="CQ6:CQ60">
      <formula1>'M&amp;E_ESP_RSPTAs'!$CQ$6:$CQ$10</formula1>
    </dataValidation>
    <dataValidation type="list" allowBlank="1" showErrorMessage="1" sqref="BC6:BC60">
      <formula1>'M&amp;E_ESP_RSPTAs'!$BC$6:$BC$9</formula1>
    </dataValidation>
    <dataValidation type="list" allowBlank="1" showErrorMessage="1" sqref="BG6:BG60">
      <formula1>'M&amp;E_ESP_RSPTAs'!$BG$6:$BG$12</formula1>
    </dataValidation>
    <dataValidation type="list" allowBlank="1" showErrorMessage="1" sqref="C6:C60">
      <formula1>'M&amp;E_ESP_RSPTAs'!$C$6:$C$10</formula1>
    </dataValidation>
    <dataValidation type="list" allowBlank="1" showErrorMessage="1" sqref="CI6:CI60">
      <formula1>'M&amp;E_ESP_RSPTAs'!$CI$6:$CI$10</formula1>
    </dataValidation>
    <dataValidation type="list" allowBlank="1" showErrorMessage="1" sqref="AM6:AM60">
      <formula1>'M&amp;E_ESP_RSPTAs'!$AM$6:$AM$7</formula1>
    </dataValidation>
    <dataValidation type="list" allowBlank="1" showErrorMessage="1" sqref="BV6:BV60">
      <formula1>'M&amp;E_ESP_RSPTAs'!$BV$6:$BV$12</formula1>
    </dataValidation>
    <dataValidation type="list" allowBlank="1" showErrorMessage="1" sqref="CE6:CE60">
      <formula1>'M&amp;E_ESP_RSPTAs'!$CE$6:$CE$9</formula1>
    </dataValidation>
    <dataValidation type="list" allowBlank="1" showErrorMessage="1" sqref="CM6:CM60">
      <formula1>'M&amp;E_ESP_RSPTAs'!$CM$6:$CM$10</formula1>
    </dataValidation>
    <dataValidation type="list" allowBlank="1" showErrorMessage="1" sqref="BQ6:BQ60">
      <formula1>'M&amp;E_ESP_RSPTAs'!$BQ$6:$BQ$8</formula1>
    </dataValidation>
    <dataValidation type="list" allowBlank="1" showErrorMessage="1" sqref="N6:N60">
      <formula1>'CIIU 2'!$B$4:$B$91</formula1>
    </dataValidation>
    <dataValidation type="list" allowBlank="1" showErrorMessage="1" sqref="AZ6:AZ60">
      <formula1>'M&amp;E_ESP_RSPTAs'!$AZ$6:$AZ$9</formula1>
    </dataValidation>
    <dataValidation type="list" allowBlank="1" showErrorMessage="1" sqref="CB6:CB60">
      <formula1>'M&amp;E_ESP_RSPTAs'!$CB$6:$CB$9</formula1>
    </dataValidation>
    <dataValidation type="list" allowBlank="1" showErrorMessage="1" sqref="BS6:BS60">
      <formula1>'M&amp;E_ESP_RSPTAs'!$BS$6:$BS$7</formula1>
    </dataValidation>
    <dataValidation type="list" allowBlank="1" showErrorMessage="1" sqref="V6:V60">
      <formula1>'M&amp;E_ESP_RSPTAs'!$V$6:$V$7</formula1>
    </dataValidation>
    <dataValidation type="list" allowBlank="1" showErrorMessage="1" sqref="BK6:BK60">
      <formula1>'M&amp;E_ESP_RSPTAs'!$BK$6:$BK$9</formula1>
    </dataValidation>
    <dataValidation type="list" allowBlank="1" showErrorMessage="1" sqref="BM6:BM60">
      <formula1>'M&amp;E_ESP_RSPTAs'!$BM$6:$BM$10</formula1>
    </dataValidation>
    <dataValidation type="list" allowBlank="1" showErrorMessage="1" sqref="BX6:BX60">
      <formula1>'M&amp;E_ESP_RSPTAs'!$BX$6:$BX$10</formula1>
    </dataValidation>
    <dataValidation type="list" allowBlank="1" showErrorMessage="1" sqref="T6:T60">
      <formula1>'M&amp;E_ESP_RSPTAs'!$T$6:$T$9</formula1>
    </dataValidation>
    <dataValidation type="list" allowBlank="1" showErrorMessage="1" sqref="BN6:BN60">
      <formula1>'M&amp;E_ESP_RSPTAs'!$BN$6:$BN$9</formula1>
    </dataValidation>
    <dataValidation type="list" allowBlank="1" showErrorMessage="1" sqref="CP6:CP60">
      <formula1>'M&amp;E_ESP_RSPTAs'!$CP$6:$CP$10</formula1>
    </dataValidation>
    <dataValidation type="list" allowBlank="1" showErrorMessage="1" sqref="CT6:CT60">
      <formula1>'M&amp;E_ESP_RSPTAs'!$CT$6:$CT$9</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14"/>
    <col customWidth="1" min="2" max="2" width="11.86"/>
    <col customWidth="1" min="3" max="3" width="12.0"/>
    <col customWidth="1" min="4" max="13" width="9.14"/>
    <col customWidth="1" min="14" max="14" width="16.43"/>
    <col customWidth="1" min="15" max="25" width="9.14"/>
    <col customWidth="1" min="26" max="26" width="23.71"/>
    <col customWidth="1" min="27" max="29" width="10.0"/>
    <col customWidth="1" min="30" max="34" width="9.14"/>
  </cols>
  <sheetData>
    <row r="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c r="A2" s="12"/>
      <c r="B2" s="12"/>
      <c r="C2" s="16" t="s">
        <v>10</v>
      </c>
      <c r="D2" s="17"/>
      <c r="E2" s="17"/>
      <c r="F2" s="18"/>
      <c r="G2" s="12"/>
      <c r="H2" s="12"/>
      <c r="I2" s="12"/>
      <c r="J2" s="12"/>
      <c r="K2" s="12"/>
      <c r="L2" s="19" t="s">
        <v>16</v>
      </c>
      <c r="M2" s="19"/>
      <c r="N2" s="12"/>
      <c r="O2" s="12"/>
      <c r="P2" s="12"/>
      <c r="Q2" s="12"/>
      <c r="R2" s="12"/>
      <c r="S2" s="12"/>
      <c r="T2" s="12"/>
      <c r="U2" s="12"/>
      <c r="V2" s="12"/>
      <c r="W2" s="12"/>
      <c r="X2" s="12"/>
      <c r="Y2" s="12"/>
      <c r="Z2" s="12"/>
      <c r="AA2" s="12"/>
      <c r="AB2" s="12"/>
      <c r="AC2" s="12"/>
      <c r="AD2" s="12"/>
      <c r="AE2" s="12"/>
      <c r="AF2" s="12"/>
      <c r="AG2" s="12"/>
      <c r="AH2" s="12"/>
    </row>
    <row r="3">
      <c r="A3" s="12"/>
      <c r="B3" s="12"/>
      <c r="C3" s="12"/>
      <c r="D3" s="12"/>
      <c r="E3" s="12"/>
      <c r="F3" s="12"/>
      <c r="G3" s="12"/>
      <c r="H3" s="12"/>
      <c r="I3" s="12"/>
      <c r="J3" s="12"/>
      <c r="K3" s="12"/>
      <c r="L3" s="12" t="s">
        <v>20</v>
      </c>
      <c r="M3" s="12"/>
      <c r="N3" s="12"/>
      <c r="O3" s="28">
        <f>COUNTIF('M&amp;E_ESP_FINAL'!$C$6:$C60,"CCSN")</f>
        <v>0</v>
      </c>
      <c r="P3" s="32" t="str">
        <f>$O$3/$O$8</f>
        <v>#DIV/0!</v>
      </c>
      <c r="Q3" s="12"/>
      <c r="R3" s="12"/>
      <c r="S3" s="12"/>
      <c r="T3" s="12"/>
      <c r="U3" s="12"/>
      <c r="V3" s="12"/>
      <c r="W3" s="12"/>
      <c r="X3" s="12"/>
      <c r="Y3" s="12"/>
      <c r="Z3" s="12"/>
      <c r="AA3" s="12"/>
      <c r="AB3" s="12"/>
      <c r="AC3" s="12"/>
      <c r="AD3" s="12"/>
      <c r="AE3" s="12"/>
      <c r="AF3" s="12"/>
      <c r="AG3" s="12"/>
      <c r="AH3" s="12"/>
    </row>
    <row r="4">
      <c r="A4" s="12"/>
      <c r="B4" s="12"/>
      <c r="C4" s="23" t="s">
        <v>26</v>
      </c>
      <c r="K4" s="12"/>
      <c r="L4" s="12" t="s">
        <v>28</v>
      </c>
      <c r="M4" s="12"/>
      <c r="N4" s="12"/>
      <c r="O4" s="28">
        <f>COUNTIF('M&amp;E_ESP_FINAL'!$C$6:$C61,"ICSN")</f>
        <v>0</v>
      </c>
      <c r="P4" s="32" t="str">
        <f>$O$4/$O$8</f>
        <v>#DIV/0!</v>
      </c>
      <c r="Q4" s="12"/>
      <c r="R4" s="12"/>
      <c r="S4" s="12"/>
      <c r="T4" s="12"/>
      <c r="U4" s="12"/>
      <c r="V4" s="12"/>
      <c r="W4" s="12"/>
      <c r="X4" s="12"/>
      <c r="Y4" s="12"/>
      <c r="Z4" s="12"/>
      <c r="AA4" s="12"/>
      <c r="AB4" s="12"/>
      <c r="AC4" s="12"/>
      <c r="AD4" s="12"/>
      <c r="AE4" s="12"/>
      <c r="AF4" s="12"/>
      <c r="AG4" s="12"/>
      <c r="AH4" s="12"/>
    </row>
    <row r="5">
      <c r="A5" s="12"/>
      <c r="B5" s="12"/>
      <c r="K5" s="12"/>
      <c r="L5" s="12" t="s">
        <v>33</v>
      </c>
      <c r="M5" s="12"/>
      <c r="N5" s="12"/>
      <c r="O5" s="28">
        <f>COUNTIF('M&amp;E_ESP_FINAL'!$C$6:$C62,"MDP")</f>
        <v>0</v>
      </c>
      <c r="P5" s="32" t="str">
        <f>$O$5/$O$8</f>
        <v>#DIV/0!</v>
      </c>
      <c r="Q5" s="12"/>
      <c r="R5" s="12"/>
      <c r="S5" s="12"/>
      <c r="T5" s="12"/>
      <c r="U5" s="12"/>
      <c r="V5" s="12"/>
      <c r="W5" s="12"/>
      <c r="X5" s="12"/>
      <c r="Y5" s="12"/>
      <c r="Z5" s="12"/>
      <c r="AA5" s="12"/>
      <c r="AB5" s="12"/>
      <c r="AC5" s="12"/>
      <c r="AD5" s="12"/>
      <c r="AE5" s="12"/>
      <c r="AF5" s="12"/>
      <c r="AG5" s="12"/>
      <c r="AH5" s="12"/>
    </row>
    <row r="6">
      <c r="A6" s="12"/>
      <c r="B6" s="12"/>
      <c r="C6" s="47" t="s">
        <v>38</v>
      </c>
      <c r="D6" s="12"/>
      <c r="E6" s="12"/>
      <c r="F6" s="12"/>
      <c r="G6" s="12"/>
      <c r="H6" s="12"/>
      <c r="I6" s="12"/>
      <c r="J6" s="12"/>
      <c r="K6" s="12"/>
      <c r="L6" s="12" t="s">
        <v>41</v>
      </c>
      <c r="M6" s="12"/>
      <c r="N6" s="12"/>
      <c r="O6" s="28">
        <f>COUNTIF('M&amp;E_ESP_FINAL'!$C$6:$C63,"En Marcha")</f>
        <v>0</v>
      </c>
      <c r="P6" s="32" t="str">
        <f>$O$6/$O$8</f>
        <v>#DIV/0!</v>
      </c>
      <c r="Q6" s="12"/>
      <c r="R6" s="12"/>
      <c r="S6" s="12"/>
      <c r="T6" s="12"/>
      <c r="U6" s="12"/>
      <c r="V6" s="12"/>
      <c r="W6" s="12"/>
      <c r="X6" s="12"/>
      <c r="Y6" s="12"/>
      <c r="Z6" s="12"/>
      <c r="AA6" s="12"/>
      <c r="AB6" s="12"/>
      <c r="AC6" s="12"/>
      <c r="AD6" s="12"/>
      <c r="AE6" s="12"/>
      <c r="AF6" s="12"/>
      <c r="AG6" s="12"/>
      <c r="AH6" s="12"/>
    </row>
    <row r="7">
      <c r="A7" s="12"/>
      <c r="B7" s="12"/>
      <c r="C7" s="12"/>
      <c r="D7" s="12"/>
      <c r="E7" s="12"/>
      <c r="F7" s="12"/>
      <c r="G7" s="12"/>
      <c r="H7" s="12"/>
      <c r="I7" s="12"/>
      <c r="J7" s="12"/>
      <c r="K7" s="12"/>
      <c r="L7" s="12" t="s">
        <v>44</v>
      </c>
      <c r="M7" s="12"/>
      <c r="N7" s="12"/>
      <c r="O7" s="28">
        <f>COUNTIF('M&amp;E_ESP_FINAL'!$C$6:$C64,"En Marcha Digital")</f>
        <v>0</v>
      </c>
      <c r="P7" s="32" t="str">
        <f>$O$7/$O$8</f>
        <v>#DIV/0!</v>
      </c>
      <c r="Q7" s="12"/>
      <c r="R7" s="12"/>
      <c r="S7" s="12"/>
      <c r="T7" s="12"/>
      <c r="U7" s="12"/>
      <c r="V7" s="12"/>
      <c r="W7" s="12"/>
      <c r="X7" s="12"/>
      <c r="Y7" s="12"/>
      <c r="Z7" s="12"/>
      <c r="AA7" s="12"/>
      <c r="AB7" s="12"/>
      <c r="AC7" s="12"/>
      <c r="AD7" s="12"/>
      <c r="AE7" s="12"/>
      <c r="AF7" s="12"/>
      <c r="AG7" s="12"/>
      <c r="AH7" s="12"/>
    </row>
    <row r="8">
      <c r="A8" s="12"/>
      <c r="B8" s="12"/>
      <c r="C8" s="12"/>
      <c r="D8" s="12"/>
      <c r="E8" s="12"/>
      <c r="F8" s="12"/>
      <c r="G8" s="12"/>
      <c r="H8" s="12"/>
      <c r="I8" s="12"/>
      <c r="J8" s="12"/>
      <c r="K8" s="12"/>
      <c r="L8" s="12"/>
      <c r="M8" s="12"/>
      <c r="N8" s="12"/>
      <c r="O8" s="65">
        <f>SUM(O3:O7)</f>
        <v>0</v>
      </c>
      <c r="P8" s="12"/>
      <c r="Q8" s="12"/>
      <c r="R8" s="12"/>
      <c r="S8" s="12"/>
      <c r="T8" s="12"/>
      <c r="U8" s="12"/>
      <c r="V8" s="12"/>
      <c r="W8" s="12"/>
      <c r="X8" s="12"/>
      <c r="Y8" s="12"/>
      <c r="Z8" s="12"/>
      <c r="AA8" s="12"/>
      <c r="AB8" s="12"/>
      <c r="AC8" s="12"/>
      <c r="AD8" s="12"/>
      <c r="AE8" s="12"/>
      <c r="AF8" s="12"/>
      <c r="AG8" s="12"/>
      <c r="AH8" s="12"/>
    </row>
    <row r="9">
      <c r="A9" s="12"/>
      <c r="B9" s="12"/>
      <c r="C9" s="12"/>
      <c r="D9" s="12"/>
      <c r="E9" s="12"/>
      <c r="F9" s="12"/>
      <c r="G9" s="12"/>
      <c r="H9" s="12"/>
      <c r="I9" s="12"/>
      <c r="J9" s="12"/>
      <c r="K9" s="12"/>
      <c r="L9" s="12"/>
      <c r="M9" s="12"/>
      <c r="N9" s="12"/>
      <c r="O9" s="65"/>
      <c r="P9" s="12"/>
      <c r="Q9" s="12"/>
      <c r="R9" s="12"/>
      <c r="S9" s="12"/>
      <c r="T9" s="12"/>
      <c r="U9" s="12"/>
      <c r="V9" s="12"/>
      <c r="W9" s="12"/>
      <c r="X9" s="12"/>
      <c r="Y9" s="12"/>
      <c r="Z9" s="12"/>
      <c r="AA9" s="12"/>
      <c r="AB9" s="12"/>
      <c r="AC9" s="12"/>
      <c r="AD9" s="12"/>
      <c r="AE9" s="12"/>
      <c r="AF9" s="12"/>
      <c r="AG9" s="12"/>
      <c r="AH9" s="12"/>
    </row>
    <row r="10">
      <c r="A10" s="12"/>
      <c r="B10" s="72" t="s">
        <v>49</v>
      </c>
      <c r="C10" s="17"/>
      <c r="D10" s="17"/>
      <c r="E10" s="17"/>
      <c r="F10" s="17"/>
      <c r="G10" s="17"/>
      <c r="H10" s="18"/>
      <c r="I10" s="74"/>
      <c r="J10" s="12"/>
      <c r="K10" s="12"/>
      <c r="L10" s="12"/>
      <c r="M10" s="12"/>
      <c r="N10" s="76" t="s">
        <v>50</v>
      </c>
      <c r="O10" s="17"/>
      <c r="P10" s="17"/>
      <c r="Q10" s="17"/>
      <c r="R10" s="17"/>
      <c r="S10" s="17"/>
      <c r="T10" s="17"/>
      <c r="U10" s="17"/>
      <c r="V10" s="18"/>
      <c r="W10" s="12"/>
      <c r="X10" s="12"/>
      <c r="Y10" s="12"/>
      <c r="Z10" s="78" t="s">
        <v>51</v>
      </c>
      <c r="AA10" s="17"/>
      <c r="AB10" s="17"/>
      <c r="AC10" s="17"/>
      <c r="AD10" s="17"/>
      <c r="AE10" s="17"/>
      <c r="AF10" s="17"/>
      <c r="AG10" s="17"/>
      <c r="AH10" s="18"/>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ht="16.5" customHeight="1">
      <c r="A12" s="12"/>
      <c r="B12" s="19" t="s">
        <v>61</v>
      </c>
      <c r="C12" s="12"/>
      <c r="D12" s="87"/>
      <c r="E12" s="87" t="s">
        <v>64</v>
      </c>
      <c r="F12" s="12"/>
      <c r="G12" s="12"/>
      <c r="H12" s="12"/>
      <c r="I12" s="12"/>
      <c r="J12" s="12"/>
      <c r="K12" s="12"/>
      <c r="L12" s="12"/>
      <c r="M12" s="12"/>
      <c r="N12" s="19" t="s">
        <v>69</v>
      </c>
      <c r="O12" s="12"/>
      <c r="P12" s="12"/>
      <c r="Q12" s="12"/>
      <c r="R12" s="12"/>
      <c r="S12" s="12"/>
      <c r="T12" s="12"/>
      <c r="U12" s="12"/>
      <c r="V12" s="12"/>
      <c r="W12" s="12"/>
      <c r="X12" s="12"/>
      <c r="Y12" s="12"/>
      <c r="Z12" s="19" t="s">
        <v>74</v>
      </c>
      <c r="AA12" s="12"/>
      <c r="AB12" s="12"/>
      <c r="AC12" s="12"/>
      <c r="AD12" s="12"/>
      <c r="AE12" s="12"/>
      <c r="AF12" s="12"/>
      <c r="AG12" s="12"/>
      <c r="AH12" s="12"/>
    </row>
    <row r="13">
      <c r="A13" s="12"/>
      <c r="B13" s="12" t="s">
        <v>78</v>
      </c>
      <c r="C13" s="12"/>
      <c r="D13" s="28">
        <f>COUNTIF('M&amp;E_ESP_FINAL'!$D$6:$D60,"Mujer")</f>
        <v>0</v>
      </c>
      <c r="E13" s="95" t="str">
        <f>$D$13/$D$17</f>
        <v>#DIV/0!</v>
      </c>
      <c r="F13" s="12"/>
      <c r="G13" s="12"/>
      <c r="H13" s="12"/>
      <c r="I13" s="12"/>
      <c r="J13" s="12"/>
      <c r="K13" s="12"/>
      <c r="L13" s="12"/>
      <c r="M13" s="12"/>
      <c r="N13" s="12"/>
      <c r="O13" s="96" t="s">
        <v>42</v>
      </c>
      <c r="P13" s="18"/>
      <c r="Q13" s="98" t="s">
        <v>43</v>
      </c>
      <c r="R13" s="18"/>
      <c r="S13" s="12"/>
      <c r="T13" s="12"/>
      <c r="U13" s="12"/>
      <c r="V13" s="12"/>
      <c r="W13" s="12"/>
      <c r="X13" s="12"/>
      <c r="Y13" s="12"/>
      <c r="Z13" s="12"/>
      <c r="AA13" s="12"/>
      <c r="AB13" s="12"/>
      <c r="AC13" s="12"/>
      <c r="AD13" s="12"/>
      <c r="AE13" s="12"/>
      <c r="AF13" s="12"/>
      <c r="AG13" s="12"/>
      <c r="AH13" s="12"/>
    </row>
    <row r="14">
      <c r="A14" s="12"/>
      <c r="B14" s="12" t="s">
        <v>103</v>
      </c>
      <c r="C14" s="12"/>
      <c r="D14" s="28">
        <f>COUNTIF('M&amp;E_ESP_FINAL'!$D$6:$D61,"Hombre")</f>
        <v>0</v>
      </c>
      <c r="E14" s="95" t="str">
        <f>$D$14/$D$17</f>
        <v>#DIV/0!</v>
      </c>
      <c r="F14" s="12"/>
      <c r="G14" s="12"/>
      <c r="H14" s="12"/>
      <c r="I14" s="12"/>
      <c r="J14" s="12"/>
      <c r="K14" s="12"/>
      <c r="L14" s="12"/>
      <c r="M14" s="12"/>
      <c r="N14" s="12"/>
      <c r="O14" s="103" t="str">
        <f>MEDIAN('M&amp;E_ESP_FINAL'!$Z$6:$Z60)</f>
        <v>#NUM!</v>
      </c>
      <c r="P14" s="106"/>
      <c r="Q14" s="103" t="str">
        <f>MEDIAN('M&amp;E_ESP_FINAL'!$AA$6:$AA60)</f>
        <v>#NUM!</v>
      </c>
      <c r="R14" s="110"/>
      <c r="S14" s="12"/>
      <c r="T14" s="12"/>
      <c r="U14" s="12"/>
      <c r="V14" s="12"/>
      <c r="W14" s="12"/>
      <c r="X14" s="12"/>
      <c r="Y14" s="12"/>
      <c r="Z14" s="12"/>
      <c r="AA14" s="96" t="s">
        <v>42</v>
      </c>
      <c r="AB14" s="18"/>
      <c r="AC14" s="98" t="s">
        <v>43</v>
      </c>
      <c r="AD14" s="18"/>
      <c r="AE14" s="12"/>
      <c r="AF14" s="12"/>
      <c r="AG14" s="12"/>
      <c r="AH14" s="12"/>
    </row>
    <row r="15">
      <c r="A15" s="12"/>
      <c r="B15" s="12" t="s">
        <v>127</v>
      </c>
      <c r="C15" s="12"/>
      <c r="D15" s="28">
        <f>COUNTIF('M&amp;E_ESP_FINAL'!$D$6:$D62,"No Binaria")</f>
        <v>0</v>
      </c>
      <c r="E15" s="95" t="str">
        <f>$D$15/$D$17</f>
        <v>#DIV/0!</v>
      </c>
      <c r="F15" s="12"/>
      <c r="G15" s="12"/>
      <c r="H15" s="12"/>
      <c r="I15" s="12"/>
      <c r="J15" s="12"/>
      <c r="K15" s="12"/>
      <c r="L15" s="12"/>
      <c r="M15" s="12"/>
      <c r="N15" s="12"/>
      <c r="O15" s="12"/>
      <c r="P15" s="12"/>
      <c r="Q15" s="12"/>
      <c r="R15" s="12"/>
      <c r="S15" s="12"/>
      <c r="T15" s="12"/>
      <c r="U15" s="12"/>
      <c r="V15" s="12"/>
      <c r="W15" s="12"/>
      <c r="X15" s="12"/>
      <c r="Y15" s="12"/>
      <c r="Z15" s="117" t="s">
        <v>130</v>
      </c>
      <c r="AA15" s="121">
        <f>COUNTIF('M&amp;E_ESP_FINAL'!$BX$6:$BX60,"*No existen políticas*")</f>
        <v>0</v>
      </c>
      <c r="AB15" s="123" t="str">
        <f t="shared" ref="AB15:AB19" si="1">AA15/$AA$20</f>
        <v>#DIV/0!</v>
      </c>
      <c r="AC15" s="121">
        <f>COUNTIF('M&amp;E_ESP_FINAL'!$BY$6:$BY60,"*No existen políticas*")</f>
        <v>0</v>
      </c>
      <c r="AD15" s="123" t="str">
        <f t="shared" ref="AD15:AD19" si="2">AC15/$AC$20</f>
        <v>#DIV/0!</v>
      </c>
      <c r="AE15" s="12"/>
      <c r="AF15" s="12"/>
      <c r="AG15" s="12"/>
      <c r="AH15" s="12"/>
    </row>
    <row r="16">
      <c r="A16" s="12"/>
      <c r="B16" s="12" t="s">
        <v>139</v>
      </c>
      <c r="C16" s="12"/>
      <c r="D16" s="28">
        <f>COUNTIF('M&amp;E_ESP_FINAL'!$D$6:$D63,"Prefiero no especificar")</f>
        <v>0</v>
      </c>
      <c r="E16" s="95" t="str">
        <f>$D$16/$D$17</f>
        <v>#DIV/0!</v>
      </c>
      <c r="F16" s="12"/>
      <c r="G16" s="12"/>
      <c r="H16" s="12"/>
      <c r="I16" s="12"/>
      <c r="J16" s="12"/>
      <c r="K16" s="12"/>
      <c r="L16" s="12"/>
      <c r="M16" s="12"/>
      <c r="N16" s="12"/>
      <c r="O16" s="12"/>
      <c r="P16" s="12"/>
      <c r="Q16" s="12"/>
      <c r="R16" s="12"/>
      <c r="S16" s="12"/>
      <c r="T16" s="12"/>
      <c r="U16" s="12"/>
      <c r="V16" s="12"/>
      <c r="W16" s="12"/>
      <c r="X16" s="12"/>
      <c r="Y16" s="12"/>
      <c r="Z16" s="117" t="s">
        <v>140</v>
      </c>
      <c r="AA16" s="121">
        <f>COUNTIF('M&amp;E_ESP_FINAL'!$BX$6:$BX60,"*Hay prácticas informales*")</f>
        <v>0</v>
      </c>
      <c r="AB16" s="123" t="str">
        <f t="shared" si="1"/>
        <v>#DIV/0!</v>
      </c>
      <c r="AC16" s="121">
        <f>COUNTIF('M&amp;E_ESP_FINAL'!$BY$6:$BY60,"*Hay prácticas informales*")</f>
        <v>0</v>
      </c>
      <c r="AD16" s="123" t="str">
        <f t="shared" si="2"/>
        <v>#DIV/0!</v>
      </c>
      <c r="AE16" s="12"/>
      <c r="AF16" s="12"/>
      <c r="AG16" s="12"/>
      <c r="AH16" s="12"/>
    </row>
    <row r="17">
      <c r="A17" s="12"/>
      <c r="B17" s="12"/>
      <c r="C17" s="12"/>
      <c r="D17" s="65">
        <f>SUM($D$13:$D$16)</f>
        <v>0</v>
      </c>
      <c r="E17" s="12"/>
      <c r="F17" s="12"/>
      <c r="G17" s="12"/>
      <c r="H17" s="12"/>
      <c r="I17" s="12"/>
      <c r="J17" s="12"/>
      <c r="K17" s="12"/>
      <c r="L17" s="12"/>
      <c r="M17" s="12"/>
      <c r="N17" s="19" t="s">
        <v>147</v>
      </c>
      <c r="O17" s="12"/>
      <c r="P17" s="12"/>
      <c r="Q17" s="12"/>
      <c r="R17" s="12"/>
      <c r="S17" s="12"/>
      <c r="T17" s="12"/>
      <c r="U17" s="12"/>
      <c r="V17" s="12"/>
      <c r="W17" s="12"/>
      <c r="X17" s="12"/>
      <c r="Y17" s="12"/>
      <c r="Z17" s="117" t="s">
        <v>150</v>
      </c>
      <c r="AA17" s="121">
        <f>COUNTIF('M&amp;E_ESP_FINAL'!$BX$6:$BX60,"*Existe al menos un documento*")</f>
        <v>0</v>
      </c>
      <c r="AB17" s="123" t="str">
        <f t="shared" si="1"/>
        <v>#DIV/0!</v>
      </c>
      <c r="AC17" s="121">
        <f>COUNTIF('M&amp;E_ESP_FINAL'!$BY$6:$BY60,"*Existe al menos un documento*")</f>
        <v>0</v>
      </c>
      <c r="AD17" s="123" t="str">
        <f t="shared" si="2"/>
        <v>#DIV/0!</v>
      </c>
      <c r="AE17" s="12"/>
      <c r="AF17" s="12"/>
      <c r="AG17" s="12"/>
      <c r="AH17" s="12"/>
    </row>
    <row r="18">
      <c r="A18" s="12"/>
      <c r="B18" s="12"/>
      <c r="C18" s="12"/>
      <c r="D18" s="12"/>
      <c r="E18" s="12"/>
      <c r="F18" s="12"/>
      <c r="G18" s="12"/>
      <c r="H18" s="12"/>
      <c r="I18" s="12"/>
      <c r="J18" s="12"/>
      <c r="K18" s="12"/>
      <c r="L18" s="12"/>
      <c r="M18" s="12"/>
      <c r="N18" s="12"/>
      <c r="O18" s="96" t="s">
        <v>42</v>
      </c>
      <c r="P18" s="18"/>
      <c r="Q18" s="98" t="s">
        <v>43</v>
      </c>
      <c r="R18" s="18"/>
      <c r="S18" s="12"/>
      <c r="T18" s="12"/>
      <c r="U18" s="12"/>
      <c r="V18" s="12"/>
      <c r="W18" s="12"/>
      <c r="X18" s="12"/>
      <c r="Y18" s="12"/>
      <c r="Z18" s="117" t="s">
        <v>160</v>
      </c>
      <c r="AA18" s="121">
        <f>COUNTIF('M&amp;E_ESP_FINAL'!$BX$6:$BX60,"*La política está implementada*")</f>
        <v>0</v>
      </c>
      <c r="AB18" s="123" t="str">
        <f t="shared" si="1"/>
        <v>#DIV/0!</v>
      </c>
      <c r="AC18" s="121">
        <f>COUNTIF('M&amp;E_ESP_FINAL'!$BY$6:$BY60,"*La política está implementada*")</f>
        <v>0</v>
      </c>
      <c r="AD18" s="123" t="str">
        <f t="shared" si="2"/>
        <v>#DIV/0!</v>
      </c>
      <c r="AE18" s="12"/>
      <c r="AF18" s="12"/>
      <c r="AG18" s="12"/>
      <c r="AH18" s="12"/>
    </row>
    <row r="19">
      <c r="A19" s="12"/>
      <c r="B19" s="19" t="s">
        <v>166</v>
      </c>
      <c r="C19" s="12"/>
      <c r="D19" s="28" t="str">
        <f>AVERAGE('M&amp;E_ESP_FINAL'!$E$6:$E300)</f>
        <v>#DIV/0!</v>
      </c>
      <c r="E19" s="12"/>
      <c r="F19" s="12"/>
      <c r="G19" s="12"/>
      <c r="H19" s="12"/>
      <c r="I19" s="12"/>
      <c r="J19" s="12"/>
      <c r="K19" s="12"/>
      <c r="L19" s="12"/>
      <c r="M19" s="12"/>
      <c r="N19" s="12"/>
      <c r="O19" s="28" t="str">
        <f>MEDIAN('M&amp;E_ESP_FINAL'!$AB$6:$AB60)</f>
        <v>#NUM!</v>
      </c>
      <c r="P19" s="95" t="str">
        <f>$O$19/$O$14</f>
        <v>#NUM!</v>
      </c>
      <c r="Q19" s="28" t="str">
        <f>MEDIAN('M&amp;E_ESP_FINAL'!$AC$6:$AC60)</f>
        <v>#NUM!</v>
      </c>
      <c r="R19" s="95" t="str">
        <f>$Q$19/$Q$14</f>
        <v>#NUM!</v>
      </c>
      <c r="S19" s="12"/>
      <c r="T19" s="12"/>
      <c r="U19" s="12"/>
      <c r="V19" s="12"/>
      <c r="W19" s="12"/>
      <c r="X19" s="12"/>
      <c r="Y19" s="12"/>
      <c r="Z19" s="117" t="s">
        <v>172</v>
      </c>
      <c r="AA19" s="121">
        <f>COUNTIF('M&amp;E_ESP_FINAL'!$BX$6:$BX60,"*La política está implementada, el personal está capacitado*")</f>
        <v>0</v>
      </c>
      <c r="AB19" s="123" t="str">
        <f t="shared" si="1"/>
        <v>#DIV/0!</v>
      </c>
      <c r="AC19" s="121">
        <f>COUNTIF('M&amp;E_ESP_FINAL'!$BY$6:$BY60,"*La política está implementada, el personal está capacitado*")</f>
        <v>0</v>
      </c>
      <c r="AD19" s="123" t="str">
        <f t="shared" si="2"/>
        <v>#DIV/0!</v>
      </c>
      <c r="AE19" s="12"/>
      <c r="AF19" s="12"/>
      <c r="AG19" s="12"/>
      <c r="AH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65">
        <f>SUM(AA15:AA19)</f>
        <v>0</v>
      </c>
      <c r="AB20" s="12"/>
      <c r="AC20" s="65">
        <f>SUM(AC15:AC19)</f>
        <v>0</v>
      </c>
      <c r="AD20" s="12"/>
      <c r="AE20" s="12"/>
      <c r="AF20" s="12"/>
      <c r="AG20" s="12"/>
      <c r="AH20" s="12"/>
    </row>
    <row r="21" ht="15.75" customHeight="1">
      <c r="A21" s="12"/>
      <c r="B21" s="19" t="s">
        <v>187</v>
      </c>
      <c r="C21" s="12"/>
      <c r="D21" s="12"/>
      <c r="E21" s="87" t="s">
        <v>64</v>
      </c>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ht="18.75" customHeight="1">
      <c r="A22" s="12"/>
      <c r="B22" s="12" t="s">
        <v>131</v>
      </c>
      <c r="C22" s="12"/>
      <c r="D22" s="103">
        <f>COUNTIF('M&amp;E_ESP_FINAL'!$F$6:$F60,"Básica")</f>
        <v>0</v>
      </c>
      <c r="E22" s="95" t="str">
        <f t="shared" ref="E22:E27" si="3">$D22/$D$28</f>
        <v>#DIV/0!</v>
      </c>
      <c r="F22" s="12"/>
      <c r="G22" s="12"/>
      <c r="H22" s="12"/>
      <c r="I22" s="12"/>
      <c r="J22" s="12"/>
      <c r="K22" s="12"/>
      <c r="L22" s="12"/>
      <c r="M22" s="12"/>
      <c r="N22" s="19" t="s">
        <v>196</v>
      </c>
      <c r="O22" s="12"/>
      <c r="P22" s="12"/>
      <c r="Q22" s="12"/>
      <c r="R22" s="12"/>
      <c r="S22" s="12"/>
      <c r="T22" s="12"/>
      <c r="U22" s="12"/>
      <c r="V22" s="12"/>
      <c r="W22" s="12"/>
      <c r="X22" s="12"/>
      <c r="Y22" s="12"/>
      <c r="Z22" s="19" t="s">
        <v>201</v>
      </c>
      <c r="AA22" s="12"/>
      <c r="AB22" s="12"/>
      <c r="AC22" s="12"/>
      <c r="AD22" s="12"/>
      <c r="AE22" s="12"/>
      <c r="AF22" s="12"/>
      <c r="AG22" s="12"/>
      <c r="AH22" s="12"/>
    </row>
    <row r="23" ht="15.75" customHeight="1">
      <c r="A23" s="12"/>
      <c r="B23" s="12" t="s">
        <v>167</v>
      </c>
      <c r="C23" s="12"/>
      <c r="D23" s="103">
        <f>COUNTIF('M&amp;E_ESP_FINAL'!$F$6:$F61,"Técnica")</f>
        <v>0</v>
      </c>
      <c r="E23" s="95" t="str">
        <f t="shared" si="3"/>
        <v>#DIV/0!</v>
      </c>
      <c r="F23" s="12"/>
      <c r="G23" s="12"/>
      <c r="H23" s="12"/>
      <c r="I23" s="12"/>
      <c r="J23" s="12"/>
      <c r="K23" s="12"/>
      <c r="L23" s="12"/>
      <c r="M23" s="12"/>
      <c r="N23" s="12"/>
      <c r="O23" s="96" t="s">
        <v>42</v>
      </c>
      <c r="P23" s="18"/>
      <c r="Q23" s="98" t="s">
        <v>43</v>
      </c>
      <c r="R23" s="18"/>
      <c r="S23" s="12"/>
      <c r="T23" s="12"/>
      <c r="U23" s="12"/>
      <c r="V23" s="12"/>
      <c r="W23" s="12"/>
      <c r="X23" s="12"/>
      <c r="Y23" s="12"/>
      <c r="Z23" s="12"/>
      <c r="AA23" s="12"/>
      <c r="AB23" s="12"/>
      <c r="AC23" s="12"/>
      <c r="AD23" s="12"/>
      <c r="AE23" s="12"/>
      <c r="AF23" s="12"/>
      <c r="AG23" s="12"/>
      <c r="AH23" s="12"/>
    </row>
    <row r="24" ht="15.75" customHeight="1">
      <c r="A24" s="12"/>
      <c r="B24" s="12" t="s">
        <v>195</v>
      </c>
      <c r="C24" s="12"/>
      <c r="D24" s="103">
        <f>COUNTIF('M&amp;E_ESP_FINAL'!$F$6:$F62,"Universidad")</f>
        <v>0</v>
      </c>
      <c r="E24" s="95" t="str">
        <f t="shared" si="3"/>
        <v>#DIV/0!</v>
      </c>
      <c r="F24" s="12"/>
      <c r="G24" s="12"/>
      <c r="H24" s="12"/>
      <c r="I24" s="12"/>
      <c r="J24" s="12"/>
      <c r="K24" s="12"/>
      <c r="L24" s="12"/>
      <c r="M24" s="12"/>
      <c r="N24" s="12"/>
      <c r="O24" s="28" t="str">
        <f>MEDIAN('M&amp;E_ESP_FINAL'!$AD$6:$AD65)</f>
        <v>#NUM!</v>
      </c>
      <c r="P24" s="95" t="str">
        <f>$O$24/$O$14</f>
        <v>#NUM!</v>
      </c>
      <c r="Q24" s="28" t="str">
        <f>MEDIAN('M&amp;E_ESP_FINAL'!$AE$6:$AE65)</f>
        <v>#NUM!</v>
      </c>
      <c r="R24" s="95" t="str">
        <f>$Q$24/$Q$14</f>
        <v>#NUM!</v>
      </c>
      <c r="S24" s="12"/>
      <c r="T24" s="12"/>
      <c r="U24" s="12"/>
      <c r="V24" s="12"/>
      <c r="W24" s="12"/>
      <c r="X24" s="12"/>
      <c r="Y24" s="12"/>
      <c r="Z24" s="12"/>
      <c r="AA24" s="96" t="s">
        <v>42</v>
      </c>
      <c r="AB24" s="18"/>
      <c r="AC24" s="98" t="s">
        <v>43</v>
      </c>
      <c r="AD24" s="18"/>
      <c r="AE24" s="12"/>
      <c r="AF24" s="12"/>
      <c r="AG24" s="12"/>
      <c r="AH24" s="12"/>
    </row>
    <row r="25" ht="15.75" customHeight="1">
      <c r="A25" s="12"/>
      <c r="B25" s="12" t="s">
        <v>223</v>
      </c>
      <c r="C25" s="12"/>
      <c r="D25" s="103">
        <f>COUNTIF('M&amp;E_ESP_FINAL'!$F$6:$F63,"Posgrado")</f>
        <v>0</v>
      </c>
      <c r="E25" s="95" t="str">
        <f t="shared" si="3"/>
        <v>#DIV/0!</v>
      </c>
      <c r="F25" s="12"/>
      <c r="G25" s="12"/>
      <c r="H25" s="12"/>
      <c r="I25" s="12"/>
      <c r="J25" s="12"/>
      <c r="K25" s="12"/>
      <c r="L25" s="12"/>
      <c r="M25" s="12"/>
      <c r="N25" s="12"/>
      <c r="O25" s="12"/>
      <c r="P25" s="12"/>
      <c r="Q25" s="12"/>
      <c r="R25" s="12"/>
      <c r="S25" s="12"/>
      <c r="T25" s="12"/>
      <c r="U25" s="12"/>
      <c r="V25" s="12"/>
      <c r="W25" s="12"/>
      <c r="X25" s="12"/>
      <c r="Y25" s="12"/>
      <c r="Z25" s="117" t="s">
        <v>154</v>
      </c>
      <c r="AA25" s="121">
        <f>COUNTIF('M&amp;E_ESP_FINAL'!$BZ$6:$BZ60,"*No tenemos un modelo de negocio definido*")</f>
        <v>0</v>
      </c>
      <c r="AB25" s="123" t="str">
        <f t="shared" ref="AB25:AB29" si="4">AA25/$AA$30</f>
        <v>#DIV/0!</v>
      </c>
      <c r="AC25" s="121">
        <f>COUNTIF('M&amp;E_ESP_FINAL'!$CA$6:$CA60,"*No tenemos un modelo de negocio definido*")</f>
        <v>0</v>
      </c>
      <c r="AD25" s="123" t="str">
        <f t="shared" ref="AD25:AD29" si="5">AC25/$AC$30</f>
        <v>#DIV/0!</v>
      </c>
      <c r="AE25" s="12"/>
      <c r="AF25" s="12"/>
      <c r="AG25" s="12"/>
      <c r="AH25" s="12"/>
    </row>
    <row r="26" ht="15.75" customHeight="1">
      <c r="A26" s="12"/>
      <c r="B26" s="12" t="s">
        <v>237</v>
      </c>
      <c r="C26" s="12"/>
      <c r="D26" s="103">
        <f>COUNTIF('M&amp;E_ESP_FINAL'!$F$6:$F64,"Sin instrucción formal")</f>
        <v>0</v>
      </c>
      <c r="E26" s="95" t="str">
        <f t="shared" si="3"/>
        <v>#DIV/0!</v>
      </c>
      <c r="F26" s="12"/>
      <c r="G26" s="12"/>
      <c r="H26" s="12"/>
      <c r="I26" s="12"/>
      <c r="J26" s="12"/>
      <c r="K26" s="12"/>
      <c r="L26" s="12"/>
      <c r="M26" s="12"/>
      <c r="N26" s="12"/>
      <c r="O26" s="12"/>
      <c r="P26" s="12"/>
      <c r="Q26" s="12"/>
      <c r="R26" s="12"/>
      <c r="S26" s="12"/>
      <c r="T26" s="12"/>
      <c r="U26" s="12"/>
      <c r="V26" s="12"/>
      <c r="W26" s="12"/>
      <c r="X26" s="12"/>
      <c r="Y26" s="12"/>
      <c r="Z26" s="117" t="s">
        <v>245</v>
      </c>
      <c r="AA26" s="121">
        <f>COUNTIF('M&amp;E_ESP_FINAL'!$BZ$6:$BZ60,"*Conocemos algunos elementos*")</f>
        <v>0</v>
      </c>
      <c r="AB26" s="123" t="str">
        <f t="shared" si="4"/>
        <v>#DIV/0!</v>
      </c>
      <c r="AC26" s="121">
        <f>COUNTIF('M&amp;E_ESP_FINAL'!$CA$6:$CA60,"*Conocemos algunos elementos*")</f>
        <v>0</v>
      </c>
      <c r="AD26" s="123" t="str">
        <f t="shared" si="5"/>
        <v>#DIV/0!</v>
      </c>
      <c r="AE26" s="12"/>
      <c r="AF26" s="12"/>
      <c r="AG26" s="12"/>
      <c r="AH26" s="12"/>
    </row>
    <row r="27" ht="23.25" customHeight="1">
      <c r="A27" s="12"/>
      <c r="B27" s="12" t="s">
        <v>249</v>
      </c>
      <c r="C27" s="12"/>
      <c r="D27" s="103">
        <f>COUNTIF('M&amp;E_ESP_FINAL'!$F$6:$F65,"Prefiere no especificar")</f>
        <v>0</v>
      </c>
      <c r="E27" s="95" t="str">
        <f t="shared" si="3"/>
        <v>#DIV/0!</v>
      </c>
      <c r="F27" s="12"/>
      <c r="G27" s="12"/>
      <c r="H27" s="12"/>
      <c r="I27" s="12"/>
      <c r="J27" s="12"/>
      <c r="K27" s="12"/>
      <c r="L27" s="12"/>
      <c r="M27" s="12"/>
      <c r="N27" s="19" t="s">
        <v>253</v>
      </c>
      <c r="O27" s="12"/>
      <c r="P27" s="12"/>
      <c r="Q27" s="12"/>
      <c r="R27" s="12"/>
      <c r="S27" s="12"/>
      <c r="T27" s="12"/>
      <c r="U27" s="12"/>
      <c r="V27" s="12"/>
      <c r="W27" s="12"/>
      <c r="X27" s="12"/>
      <c r="Y27" s="12"/>
      <c r="Z27" s="117" t="s">
        <v>212</v>
      </c>
      <c r="AA27" s="121">
        <f>COUNTIF('M&amp;E_ESP_FINAL'!$BZ$6:$BZ60,"*Contamos con la mayoría de los elementos definidos, aunque sin documentación formal*")</f>
        <v>0</v>
      </c>
      <c r="AB27" s="123" t="str">
        <f t="shared" si="4"/>
        <v>#DIV/0!</v>
      </c>
      <c r="AC27" s="121">
        <f>COUNTIF('M&amp;E_ESP_FINAL'!$CA$6:$CA60,"*Contamos con la mayoría de los elementos definidos, aunque sin documentación formal*")</f>
        <v>0</v>
      </c>
      <c r="AD27" s="123" t="str">
        <f t="shared" si="5"/>
        <v>#DIV/0!</v>
      </c>
      <c r="AE27" s="12"/>
      <c r="AF27" s="12"/>
      <c r="AG27" s="12"/>
      <c r="AH27" s="12"/>
    </row>
    <row r="28" ht="15.75" customHeight="1">
      <c r="A28" s="12"/>
      <c r="B28" s="12"/>
      <c r="C28" s="12"/>
      <c r="D28" s="65">
        <f>SUM($D$22:$D$27)</f>
        <v>0</v>
      </c>
      <c r="E28" s="12"/>
      <c r="F28" s="12"/>
      <c r="G28" s="12"/>
      <c r="H28" s="12"/>
      <c r="I28" s="12"/>
      <c r="J28" s="12"/>
      <c r="K28" s="12"/>
      <c r="L28" s="12"/>
      <c r="M28" s="12"/>
      <c r="N28" s="12"/>
      <c r="O28" s="96" t="s">
        <v>42</v>
      </c>
      <c r="P28" s="18"/>
      <c r="Q28" s="98" t="s">
        <v>43</v>
      </c>
      <c r="R28" s="18"/>
      <c r="S28" s="12"/>
      <c r="T28" s="12"/>
      <c r="U28" s="12"/>
      <c r="V28" s="12"/>
      <c r="W28" s="12"/>
      <c r="X28" s="12"/>
      <c r="Y28" s="12"/>
      <c r="Z28" s="117" t="s">
        <v>263</v>
      </c>
      <c r="AA28" s="121">
        <f>COUNTIF('M&amp;E_ESP_FINAL'!$BZ$6:$BZ60,"*Tenemos un modelo de negocio completo*")</f>
        <v>0</v>
      </c>
      <c r="AB28" s="123" t="str">
        <f t="shared" si="4"/>
        <v>#DIV/0!</v>
      </c>
      <c r="AC28" s="121">
        <f>COUNTIF('M&amp;E_ESP_FINAL'!$CA$6:$CA60,"*Tenemos un modelo de negocio completo*")</f>
        <v>0</v>
      </c>
      <c r="AD28" s="123" t="str">
        <f t="shared" si="5"/>
        <v>#DIV/0!</v>
      </c>
      <c r="AE28" s="12"/>
      <c r="AF28" s="12"/>
      <c r="AG28" s="12"/>
      <c r="AH28" s="12"/>
    </row>
    <row r="29" ht="15.75" customHeight="1">
      <c r="A29" s="12"/>
      <c r="B29" s="19" t="s">
        <v>265</v>
      </c>
      <c r="C29" s="12"/>
      <c r="D29" s="12"/>
      <c r="E29" s="12"/>
      <c r="F29" s="12"/>
      <c r="G29" s="12"/>
      <c r="H29" s="12"/>
      <c r="I29" s="12"/>
      <c r="J29" s="12"/>
      <c r="K29" s="12"/>
      <c r="L29" s="12"/>
      <c r="M29" s="12"/>
      <c r="N29" s="12"/>
      <c r="O29" s="28" t="str">
        <f>MEDIAN('M&amp;E_ESP_FINAL'!$AF$6:$AF70)</f>
        <v>#NUM!</v>
      </c>
      <c r="P29" s="95" t="str">
        <f>$O$29/$O$14</f>
        <v>#NUM!</v>
      </c>
      <c r="Q29" s="28" t="str">
        <f>MEDIAN('M&amp;E_ESP_FINAL'!$AG$6:$AG70)</f>
        <v>#NUM!</v>
      </c>
      <c r="R29" s="95" t="str">
        <f>$Q$29/$Q$14</f>
        <v>#NUM!</v>
      </c>
      <c r="S29" s="12"/>
      <c r="T29" s="12"/>
      <c r="U29" s="12"/>
      <c r="V29" s="12"/>
      <c r="W29" s="12"/>
      <c r="X29" s="12"/>
      <c r="Y29" s="12"/>
      <c r="Z29" s="117" t="s">
        <v>268</v>
      </c>
      <c r="AA29" s="121">
        <f>COUNTIF('M&amp;E_ESP_FINAL'!$BZ$6:$BZ60,"*El modelo de negocio está documentado*")</f>
        <v>0</v>
      </c>
      <c r="AB29" s="123" t="str">
        <f t="shared" si="4"/>
        <v>#DIV/0!</v>
      </c>
      <c r="AC29" s="121">
        <f>COUNTIF('M&amp;E_ESP_FINAL'!$CA$6:$CA60,"*El modelo de negocio está documentado*")</f>
        <v>0</v>
      </c>
      <c r="AD29" s="123" t="str">
        <f t="shared" si="5"/>
        <v>#DIV/0!</v>
      </c>
      <c r="AE29" s="12"/>
      <c r="AF29" s="12"/>
      <c r="AG29" s="12"/>
      <c r="AH29" s="12"/>
    </row>
    <row r="30" ht="15.75" customHeight="1">
      <c r="A30" s="12"/>
      <c r="B30" s="12" t="s">
        <v>132</v>
      </c>
      <c r="C30" s="12"/>
      <c r="D30" s="28">
        <f>COUNTIF('M&amp;E_ESP_FINAL'!$G$6:$G60,"Sí")</f>
        <v>0</v>
      </c>
      <c r="E30" s="95" t="str">
        <f t="shared" ref="E30:E31" si="6">D30/$D$32</f>
        <v>#DIV/0!</v>
      </c>
      <c r="F30" s="12"/>
      <c r="G30" s="12"/>
      <c r="H30" s="12"/>
      <c r="I30" s="12"/>
      <c r="J30" s="12"/>
      <c r="K30" s="12"/>
      <c r="L30" s="12"/>
      <c r="M30" s="12"/>
      <c r="N30" s="12"/>
      <c r="O30" s="12"/>
      <c r="P30" s="12"/>
      <c r="Q30" s="12"/>
      <c r="R30" s="12"/>
      <c r="S30" s="12"/>
      <c r="T30" s="12"/>
      <c r="U30" s="12"/>
      <c r="V30" s="12"/>
      <c r="W30" s="12"/>
      <c r="X30" s="12"/>
      <c r="Y30" s="12"/>
      <c r="Z30" s="12"/>
      <c r="AA30" s="65">
        <f>SUM(AA25:AA29)</f>
        <v>0</v>
      </c>
      <c r="AB30" s="12"/>
      <c r="AC30" s="65">
        <f>SUM(AC25:AC29)</f>
        <v>0</v>
      </c>
      <c r="AD30" s="12"/>
      <c r="AE30" s="12"/>
      <c r="AF30" s="12"/>
      <c r="AG30" s="12"/>
      <c r="AH30" s="12"/>
    </row>
    <row r="31" ht="15.75" customHeight="1">
      <c r="A31" s="12"/>
      <c r="B31" s="12" t="s">
        <v>168</v>
      </c>
      <c r="C31" s="12"/>
      <c r="D31" s="28">
        <f>COUNTIF('M&amp;E_ESP_FINAL'!$G$6:$G60,"No")</f>
        <v>0</v>
      </c>
      <c r="E31" s="95" t="str">
        <f t="shared" si="6"/>
        <v>#DIV/0!</v>
      </c>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ht="17.25" customHeight="1">
      <c r="A32" s="12"/>
      <c r="B32" s="12"/>
      <c r="C32" s="12"/>
      <c r="D32" s="65">
        <f>SUM(D30:D31)</f>
        <v>0</v>
      </c>
      <c r="E32" s="12"/>
      <c r="F32" s="12"/>
      <c r="G32" s="12"/>
      <c r="H32" s="12"/>
      <c r="I32" s="12"/>
      <c r="J32" s="12"/>
      <c r="K32" s="12"/>
      <c r="L32" s="12"/>
      <c r="M32" s="12"/>
      <c r="N32" s="19" t="s">
        <v>269</v>
      </c>
      <c r="O32" s="12"/>
      <c r="P32" s="12"/>
      <c r="Q32" s="12"/>
      <c r="R32" s="12"/>
      <c r="S32" s="12"/>
      <c r="T32" s="12"/>
      <c r="U32" s="12"/>
      <c r="V32" s="12"/>
      <c r="W32" s="12"/>
      <c r="X32" s="12"/>
      <c r="Y32" s="12"/>
      <c r="Z32" s="19" t="s">
        <v>270</v>
      </c>
      <c r="AA32" s="12"/>
      <c r="AB32" s="12"/>
      <c r="AC32" s="12"/>
      <c r="AD32" s="12"/>
      <c r="AE32" s="12"/>
      <c r="AF32" s="12"/>
      <c r="AG32" s="12"/>
      <c r="AH32" s="12"/>
    </row>
    <row r="33" ht="15.75" customHeight="1">
      <c r="A33" s="12"/>
      <c r="B33" s="143" t="s">
        <v>271</v>
      </c>
      <c r="C33" s="17"/>
      <c r="D33" s="17"/>
      <c r="E33" s="17"/>
      <c r="F33" s="17"/>
      <c r="G33" s="17"/>
      <c r="H33" s="17"/>
      <c r="I33" s="18"/>
      <c r="J33" s="12"/>
      <c r="K33" s="12"/>
      <c r="L33" s="12"/>
      <c r="M33" s="12"/>
      <c r="N33" s="12"/>
      <c r="O33" s="96" t="s">
        <v>42</v>
      </c>
      <c r="P33" s="18"/>
      <c r="Q33" s="98" t="s">
        <v>43</v>
      </c>
      <c r="R33" s="18"/>
      <c r="S33" s="12"/>
      <c r="T33" s="12"/>
      <c r="U33" s="12"/>
      <c r="V33" s="12"/>
      <c r="W33" s="12"/>
      <c r="X33" s="12"/>
      <c r="Y33" s="12"/>
      <c r="Z33" s="12"/>
      <c r="AA33" s="12"/>
      <c r="AB33" s="12"/>
      <c r="AC33" s="12"/>
      <c r="AD33" s="12"/>
      <c r="AE33" s="12"/>
      <c r="AF33" s="12"/>
      <c r="AG33" s="12"/>
      <c r="AH33" s="12"/>
    </row>
    <row r="34" ht="15.75" customHeight="1">
      <c r="A34" s="12"/>
      <c r="B34" s="12"/>
      <c r="C34" s="12"/>
      <c r="D34" s="12"/>
      <c r="E34" s="12"/>
      <c r="F34" s="12"/>
      <c r="G34" s="12"/>
      <c r="H34" s="12"/>
      <c r="I34" s="12"/>
      <c r="J34" s="12"/>
      <c r="K34" s="12"/>
      <c r="L34" s="12"/>
      <c r="M34" s="12"/>
      <c r="N34" s="12"/>
      <c r="O34" s="28" t="str">
        <f>MEDIAN('M&amp;E_ESP_FINAL'!$AH$6:$AH75)</f>
        <v>#NUM!</v>
      </c>
      <c r="P34" s="95" t="str">
        <f>$O$34/$O$14</f>
        <v>#NUM!</v>
      </c>
      <c r="Q34" s="28" t="str">
        <f>MEDIAN('M&amp;E_ESP_FINAL'!$AI$6:$AI75)</f>
        <v>#NUM!</v>
      </c>
      <c r="R34" s="95" t="str">
        <f>$Q$34/$Q$14</f>
        <v>#NUM!</v>
      </c>
      <c r="S34" s="12"/>
      <c r="T34" s="12"/>
      <c r="U34" s="12"/>
      <c r="V34" s="12"/>
      <c r="W34" s="12"/>
      <c r="X34" s="12"/>
      <c r="Y34" s="12"/>
      <c r="Z34" s="12"/>
      <c r="AA34" s="96" t="s">
        <v>42</v>
      </c>
      <c r="AB34" s="18"/>
      <c r="AC34" s="98" t="s">
        <v>43</v>
      </c>
      <c r="AD34" s="18"/>
      <c r="AE34" s="12"/>
      <c r="AF34" s="12"/>
      <c r="AG34" s="12"/>
      <c r="AH34" s="12"/>
    </row>
    <row r="35" ht="15.75" customHeight="1">
      <c r="A35" s="12"/>
      <c r="B35" s="19" t="s">
        <v>272</v>
      </c>
      <c r="C35" s="12"/>
      <c r="D35" s="12"/>
      <c r="E35" s="12"/>
      <c r="F35" s="12"/>
      <c r="G35" s="12"/>
      <c r="H35" s="12"/>
      <c r="I35" s="12"/>
      <c r="J35" s="12"/>
      <c r="K35" s="12"/>
      <c r="L35" s="12"/>
      <c r="M35" s="12"/>
      <c r="N35" s="12"/>
      <c r="O35" s="12"/>
      <c r="P35" s="12"/>
      <c r="Q35" s="12"/>
      <c r="R35" s="12"/>
      <c r="S35" s="12"/>
      <c r="T35" s="12"/>
      <c r="U35" s="12"/>
      <c r="V35" s="12"/>
      <c r="W35" s="12"/>
      <c r="X35" s="12"/>
      <c r="Y35" s="12"/>
      <c r="Z35" s="117" t="s">
        <v>273</v>
      </c>
      <c r="AA35" s="121">
        <f>COUNTIF('M&amp;E_ESP_FINAL'!$CB$6:$CB60,"*Sí, contamos con un plan*")</f>
        <v>0</v>
      </c>
      <c r="AB35" s="123" t="str">
        <f t="shared" ref="AB35:AB38" si="7">AA35/$AA$39</f>
        <v>#DIV/0!</v>
      </c>
      <c r="AC35" s="121">
        <f>COUNTIF('M&amp;E_ESP_FINAL'!$CC$6:$CC60,"*Sí, contamos con un plan*")</f>
        <v>0</v>
      </c>
      <c r="AD35" s="123" t="str">
        <f t="shared" ref="AD35:AD38" si="8">AC35/$AC$39</f>
        <v>#DIV/0!</v>
      </c>
      <c r="AE35" s="12"/>
      <c r="AF35" s="12"/>
      <c r="AG35" s="12"/>
      <c r="AH35" s="12"/>
    </row>
    <row r="36" ht="15.75" customHeight="1">
      <c r="A36" s="12"/>
      <c r="B36" s="12"/>
      <c r="C36" s="12"/>
      <c r="D36" s="12"/>
      <c r="E36" s="12"/>
      <c r="F36" s="12"/>
      <c r="G36" s="12"/>
      <c r="H36" s="12"/>
      <c r="I36" s="87" t="s">
        <v>64</v>
      </c>
      <c r="J36" s="12"/>
      <c r="K36" s="12"/>
      <c r="L36" s="12"/>
      <c r="M36" s="12"/>
      <c r="N36" s="12"/>
      <c r="O36" s="12"/>
      <c r="P36" s="12"/>
      <c r="Q36" s="12"/>
      <c r="R36" s="12"/>
      <c r="S36" s="12"/>
      <c r="T36" s="12"/>
      <c r="U36" s="12"/>
      <c r="V36" s="12"/>
      <c r="W36" s="12"/>
      <c r="X36" s="12"/>
      <c r="Y36" s="12"/>
      <c r="Z36" s="117" t="s">
        <v>274</v>
      </c>
      <c r="AA36" s="121">
        <f>COUNTIF('M&amp;E_ESP_FINAL'!$CB$6:$CB60,"*Sí, definimos objetivos anuales*")</f>
        <v>0</v>
      </c>
      <c r="AB36" s="123" t="str">
        <f t="shared" si="7"/>
        <v>#DIV/0!</v>
      </c>
      <c r="AC36" s="121">
        <f>COUNTIF('M&amp;E_ESP_FINAL'!$CC$6:$CC60,"*Sí, definimos objetivos anuales*")</f>
        <v>0</v>
      </c>
      <c r="AD36" s="123" t="str">
        <f t="shared" si="8"/>
        <v>#DIV/0!</v>
      </c>
      <c r="AE36" s="12"/>
      <c r="AF36" s="12"/>
      <c r="AG36" s="12"/>
      <c r="AH36" s="12"/>
    </row>
    <row r="37" ht="29.25" customHeight="1">
      <c r="A37" s="12"/>
      <c r="B37" s="23" t="s">
        <v>275</v>
      </c>
      <c r="H37" s="28">
        <f>COUNTIF('M&amp;E_ESP_FINAL'!$I$6:$I60,"*Propietario único*")</f>
        <v>0</v>
      </c>
      <c r="I37" s="95" t="str">
        <f t="shared" ref="I37:I41" si="9">H37/$H$42</f>
        <v>#DIV/0!</v>
      </c>
      <c r="J37" s="12"/>
      <c r="K37" s="12"/>
      <c r="L37" s="12"/>
      <c r="M37" s="12"/>
      <c r="N37" s="19" t="s">
        <v>276</v>
      </c>
      <c r="O37" s="12"/>
      <c r="P37" s="12"/>
      <c r="Q37" s="12"/>
      <c r="R37" s="12"/>
      <c r="S37" s="12"/>
      <c r="T37" s="12"/>
      <c r="U37" s="12"/>
      <c r="V37" s="12"/>
      <c r="W37" s="12"/>
      <c r="X37" s="12"/>
      <c r="Y37" s="12"/>
      <c r="Z37" s="117" t="s">
        <v>277</v>
      </c>
      <c r="AA37" s="121">
        <f>COUNTIF('M&amp;E_ESP_FINAL'!$CB$6:$CB60,"*Estamos en proceso de desarrollar objetivos*")</f>
        <v>0</v>
      </c>
      <c r="AB37" s="123" t="str">
        <f t="shared" si="7"/>
        <v>#DIV/0!</v>
      </c>
      <c r="AC37" s="121">
        <f>COUNTIF('M&amp;E_ESP_FINAL'!$CC$6:$CC60,"*Estamos en proceso de desarrollar objetivos*")</f>
        <v>0</v>
      </c>
      <c r="AD37" s="123" t="str">
        <f t="shared" si="8"/>
        <v>#DIV/0!</v>
      </c>
      <c r="AE37" s="12"/>
      <c r="AF37" s="12"/>
      <c r="AG37" s="12"/>
      <c r="AH37" s="12"/>
    </row>
    <row r="38" ht="29.25" customHeight="1">
      <c r="A38" s="12"/>
      <c r="B38" s="23" t="s">
        <v>278</v>
      </c>
      <c r="H38" s="28">
        <f>COUNTIF('M&amp;E_ESP_FINAL'!$I$6:$I60,"*Sociedad*")</f>
        <v>0</v>
      </c>
      <c r="I38" s="95" t="str">
        <f t="shared" si="9"/>
        <v>#DIV/0!</v>
      </c>
      <c r="J38" s="12"/>
      <c r="K38" s="12"/>
      <c r="L38" s="12"/>
      <c r="M38" s="12"/>
      <c r="N38" s="12"/>
      <c r="O38" s="96" t="s">
        <v>42</v>
      </c>
      <c r="P38" s="18"/>
      <c r="Q38" s="98" t="s">
        <v>43</v>
      </c>
      <c r="R38" s="18"/>
      <c r="S38" s="12"/>
      <c r="T38" s="12"/>
      <c r="U38" s="12"/>
      <c r="V38" s="12"/>
      <c r="W38" s="12"/>
      <c r="X38" s="12"/>
      <c r="Y38" s="12"/>
      <c r="Z38" s="117" t="s">
        <v>279</v>
      </c>
      <c r="AA38" s="121">
        <f>COUNTIF('M&amp;E_ESP_FINAL'!$CB$6:$CB60,"*No realizamos planificación*")</f>
        <v>0</v>
      </c>
      <c r="AB38" s="123" t="str">
        <f t="shared" si="7"/>
        <v>#DIV/0!</v>
      </c>
      <c r="AC38" s="121">
        <f>COUNTIF('M&amp;E_ESP_FINAL'!$CC$6:$CC60,"*No realizamos planificación*")</f>
        <v>0</v>
      </c>
      <c r="AD38" s="123" t="str">
        <f t="shared" si="8"/>
        <v>#DIV/0!</v>
      </c>
      <c r="AE38" s="12"/>
      <c r="AF38" s="12"/>
      <c r="AG38" s="12"/>
      <c r="AH38" s="12"/>
    </row>
    <row r="39" ht="29.25" customHeight="1">
      <c r="A39" s="12"/>
      <c r="B39" s="23" t="s">
        <v>280</v>
      </c>
      <c r="H39" s="28">
        <f>COUNTIF('M&amp;E_ESP_FINAL'!$I$6:$I60,"*Sociedad de responsabilidad limitada*")</f>
        <v>0</v>
      </c>
      <c r="I39" s="95" t="str">
        <f t="shared" si="9"/>
        <v>#DIV/0!</v>
      </c>
      <c r="J39" s="12"/>
      <c r="K39" s="12"/>
      <c r="L39" s="12"/>
      <c r="M39" s="12"/>
      <c r="N39" s="12"/>
      <c r="O39" s="28" t="str">
        <f>MEDIAN('M&amp;E_ESP_FINAL'!$AJ$6:$AJ80)</f>
        <v>#NUM!</v>
      </c>
      <c r="P39" s="95" t="str">
        <f>$O$39/$O$14</f>
        <v>#NUM!</v>
      </c>
      <c r="Q39" s="28" t="str">
        <f>MEDIAN('M&amp;E_ESP_FINAL'!$AK$6:$AK80)</f>
        <v>#NUM!</v>
      </c>
      <c r="R39" s="95" t="str">
        <f>$Q$39/$Q$14</f>
        <v>#NUM!</v>
      </c>
      <c r="S39" s="12"/>
      <c r="T39" s="12"/>
      <c r="U39" s="12"/>
      <c r="V39" s="12"/>
      <c r="W39" s="12"/>
      <c r="X39" s="12"/>
      <c r="Y39" s="12"/>
      <c r="Z39" s="12"/>
      <c r="AA39" s="65">
        <f>SUM(AA35:AA38)</f>
        <v>0</v>
      </c>
      <c r="AB39" s="87"/>
      <c r="AC39" s="65">
        <f>SUM(AC35:AC38)</f>
        <v>0</v>
      </c>
      <c r="AD39" s="12"/>
      <c r="AE39" s="12"/>
      <c r="AF39" s="12"/>
      <c r="AG39" s="12"/>
      <c r="AH39" s="12"/>
    </row>
    <row r="40" ht="29.25" customHeight="1">
      <c r="A40" s="12"/>
      <c r="B40" s="23" t="s">
        <v>281</v>
      </c>
      <c r="H40" s="28">
        <f>COUNTIF('M&amp;E_ESP_FINAL'!$I$6:$I60,"*Sociedad anónima*")</f>
        <v>0</v>
      </c>
      <c r="I40" s="95" t="str">
        <f t="shared" si="9"/>
        <v>#DIV/0!</v>
      </c>
      <c r="J40" s="12"/>
      <c r="K40" s="12"/>
      <c r="L40" s="12"/>
      <c r="M40" s="12"/>
      <c r="N40" s="12"/>
      <c r="O40" s="12"/>
      <c r="P40" s="12"/>
      <c r="Q40" s="12"/>
      <c r="R40" s="12"/>
      <c r="S40" s="12"/>
      <c r="T40" s="12"/>
      <c r="U40" s="12"/>
      <c r="V40" s="12"/>
      <c r="W40" s="12"/>
      <c r="X40" s="12"/>
      <c r="Y40" s="12"/>
      <c r="Z40" s="19" t="s">
        <v>282</v>
      </c>
      <c r="AA40" s="12"/>
      <c r="AB40" s="12"/>
      <c r="AC40" s="12"/>
      <c r="AD40" s="12"/>
      <c r="AE40" s="12"/>
      <c r="AF40" s="12"/>
      <c r="AG40" s="12"/>
      <c r="AH40" s="12"/>
    </row>
    <row r="41" ht="34.5" customHeight="1">
      <c r="A41" s="12"/>
      <c r="B41" s="23" t="s">
        <v>283</v>
      </c>
      <c r="H41" s="28">
        <f>COUNTIF('M&amp;E_ESP_FINAL'!$I$6:$I60,"*Cooperativa*")</f>
        <v>0</v>
      </c>
      <c r="I41" s="95" t="str">
        <f t="shared" si="9"/>
        <v>#DIV/0!</v>
      </c>
      <c r="J41" s="12"/>
      <c r="K41" s="12"/>
      <c r="L41" s="12"/>
      <c r="M41" s="12"/>
      <c r="N41" s="19" t="s">
        <v>284</v>
      </c>
      <c r="O41" s="12"/>
      <c r="P41" s="12"/>
      <c r="Q41" s="12"/>
      <c r="R41" s="12"/>
      <c r="S41" s="12"/>
      <c r="T41" s="12"/>
      <c r="U41" s="12"/>
      <c r="V41" s="12"/>
      <c r="W41" s="12"/>
      <c r="X41" s="12"/>
      <c r="Y41" s="12"/>
      <c r="Z41" s="12"/>
      <c r="AA41" s="96" t="s">
        <v>42</v>
      </c>
      <c r="AB41" s="18"/>
      <c r="AC41" s="98" t="s">
        <v>43</v>
      </c>
      <c r="AD41" s="18"/>
      <c r="AE41" s="12"/>
      <c r="AF41" s="12"/>
      <c r="AG41" s="12"/>
      <c r="AH41" s="12"/>
    </row>
    <row r="42" ht="15.75" customHeight="1">
      <c r="A42" s="12"/>
      <c r="B42" s="12"/>
      <c r="C42" s="12"/>
      <c r="D42" s="12"/>
      <c r="E42" s="12"/>
      <c r="F42" s="12"/>
      <c r="G42" s="12"/>
      <c r="H42" s="87">
        <f>SUM(H37:H41)</f>
        <v>0</v>
      </c>
      <c r="I42" s="12"/>
      <c r="J42" s="12"/>
      <c r="K42" s="12"/>
      <c r="L42" s="12"/>
      <c r="M42" s="12"/>
      <c r="N42" s="12"/>
      <c r="O42" s="96" t="s">
        <v>42</v>
      </c>
      <c r="P42" s="18"/>
      <c r="Q42" s="98" t="s">
        <v>43</v>
      </c>
      <c r="R42" s="18"/>
      <c r="S42" s="12"/>
      <c r="T42" s="12"/>
      <c r="U42" s="12"/>
      <c r="V42" s="12"/>
      <c r="W42" s="12"/>
      <c r="X42" s="12"/>
      <c r="Y42" s="12"/>
      <c r="Z42" s="117" t="s">
        <v>285</v>
      </c>
      <c r="AA42" s="121">
        <f>COUNTIF('M&amp;E_ESP_FINAL'!$CD$6:$CD60,"*Sí, cuenta con políticas*")</f>
        <v>0</v>
      </c>
      <c r="AB42" s="123" t="str">
        <f t="shared" ref="AB42:AB45" si="10">AA42/$AA$46</f>
        <v>#DIV/0!</v>
      </c>
      <c r="AC42" s="121">
        <f>COUNTIF('M&amp;E_ESP_FINAL'!$CE$6:$CE60,"*Sí, cuenta con políticas*")</f>
        <v>0</v>
      </c>
      <c r="AD42" s="123" t="str">
        <f t="shared" ref="AD42:AD45" si="11">AC42/$AC$46</f>
        <v>#DIV/0!</v>
      </c>
      <c r="AE42" s="12"/>
      <c r="AF42" s="12"/>
      <c r="AG42" s="12"/>
      <c r="AH42" s="12"/>
    </row>
    <row r="43" ht="15.75" customHeight="1">
      <c r="A43" s="12"/>
      <c r="B43" s="12"/>
      <c r="C43" s="12"/>
      <c r="D43" s="12"/>
      <c r="E43" s="12"/>
      <c r="F43" s="12"/>
      <c r="G43" s="12"/>
      <c r="H43" s="12"/>
      <c r="I43" s="12"/>
      <c r="J43" s="12"/>
      <c r="K43" s="12"/>
      <c r="L43" s="12"/>
      <c r="M43" s="12"/>
      <c r="N43" s="121" t="s">
        <v>132</v>
      </c>
      <c r="O43" s="121">
        <f>COUNTIF('M&amp;E_ESP_FINAL'!$AL$6:$AL60,"*Sí*")</f>
        <v>0</v>
      </c>
      <c r="P43" s="95" t="str">
        <f>$O$43/$O$45</f>
        <v>#DIV/0!</v>
      </c>
      <c r="Q43" s="121">
        <f>COUNTIF('M&amp;E_ESP_FINAL'!$AM$6:$AM59,"*Sí*")</f>
        <v>0</v>
      </c>
      <c r="R43" s="95" t="str">
        <f>$Q$43/$Q$45</f>
        <v>#DIV/0!</v>
      </c>
      <c r="S43" s="12"/>
      <c r="T43" s="12"/>
      <c r="U43" s="12"/>
      <c r="V43" s="12"/>
      <c r="W43" s="12"/>
      <c r="X43" s="12"/>
      <c r="Y43" s="12"/>
      <c r="Z43" s="117" t="s">
        <v>286</v>
      </c>
      <c r="AA43" s="121">
        <f>COUNTIF('M&amp;E_ESP_FINAL'!$CD$6:$CD60,"*Sí, de manera informal*")</f>
        <v>0</v>
      </c>
      <c r="AB43" s="123" t="str">
        <f t="shared" si="10"/>
        <v>#DIV/0!</v>
      </c>
      <c r="AC43" s="121">
        <f>COUNTIF('M&amp;E_ESP_FINAL'!$CE$6:$CE60,"*Sí, de manera informal*")</f>
        <v>0</v>
      </c>
      <c r="AD43" s="123" t="str">
        <f t="shared" si="11"/>
        <v>#DIV/0!</v>
      </c>
      <c r="AE43" s="12"/>
      <c r="AF43" s="12"/>
      <c r="AG43" s="12"/>
      <c r="AH43" s="12"/>
    </row>
    <row r="44" ht="15.75" customHeight="1">
      <c r="A44" s="12"/>
      <c r="B44" s="19" t="s">
        <v>287</v>
      </c>
      <c r="C44" s="12"/>
      <c r="D44" s="12"/>
      <c r="E44" s="12"/>
      <c r="F44" s="12"/>
      <c r="G44" s="12"/>
      <c r="H44" s="12"/>
      <c r="I44" s="87" t="s">
        <v>64</v>
      </c>
      <c r="J44" s="12"/>
      <c r="K44" s="12"/>
      <c r="L44" s="12"/>
      <c r="M44" s="12"/>
      <c r="N44" s="121" t="s">
        <v>168</v>
      </c>
      <c r="O44" s="121">
        <f>COUNTIF('M&amp;E_ESP_FINAL'!$AL$6:$AL60,"*No*")</f>
        <v>0</v>
      </c>
      <c r="P44" s="95" t="str">
        <f>$O$44/$O$45</f>
        <v>#DIV/0!</v>
      </c>
      <c r="Q44" s="121">
        <f>COUNTIF('M&amp;E_ESP_FINAL'!$AM$6:$AM60,"*No*")</f>
        <v>0</v>
      </c>
      <c r="R44" s="95" t="str">
        <f>$Q$44/$Q$45</f>
        <v>#DIV/0!</v>
      </c>
      <c r="S44" s="12"/>
      <c r="T44" s="12"/>
      <c r="U44" s="12"/>
      <c r="V44" s="12"/>
      <c r="W44" s="12"/>
      <c r="X44" s="12"/>
      <c r="Y44" s="12"/>
      <c r="Z44" s="117" t="s">
        <v>288</v>
      </c>
      <c r="AA44" s="121">
        <f>COUNTIF('M&amp;E_ESP_FINAL'!$CD$6:$CD60,"*No, pero está en proceso*")</f>
        <v>0</v>
      </c>
      <c r="AB44" s="123" t="str">
        <f t="shared" si="10"/>
        <v>#DIV/0!</v>
      </c>
      <c r="AC44" s="121">
        <f>COUNTIF('M&amp;E_ESP_FINAL'!$CE$6:$CE60,"*No, pero está en proceso*")</f>
        <v>0</v>
      </c>
      <c r="AD44" s="123" t="str">
        <f t="shared" si="11"/>
        <v>#DIV/0!</v>
      </c>
      <c r="AE44" s="12"/>
      <c r="AF44" s="12"/>
      <c r="AG44" s="12"/>
      <c r="AH44" s="12"/>
    </row>
    <row r="45" ht="18.0" customHeight="1">
      <c r="A45" s="12"/>
      <c r="B45" s="23" t="s">
        <v>289</v>
      </c>
      <c r="H45" s="28">
        <f>COUNTIF('M&amp;E_ESP_FINAL'!$M$6:$M60,"*A - Agricultura, Ganadería, Silvicultura Y Pesca.*")</f>
        <v>0</v>
      </c>
      <c r="I45" s="95" t="str">
        <f t="shared" ref="I45:I65" si="12">H45/$H$66</f>
        <v>#DIV/0!</v>
      </c>
      <c r="J45" s="12"/>
      <c r="K45" s="12"/>
      <c r="L45" s="12"/>
      <c r="M45" s="12"/>
      <c r="N45" s="12"/>
      <c r="O45" s="65">
        <f>SUM($O$43:$O$44)</f>
        <v>0</v>
      </c>
      <c r="P45" s="12"/>
      <c r="Q45" s="65">
        <f>SUM($Q$43:$Q$44)</f>
        <v>0</v>
      </c>
      <c r="R45" s="12"/>
      <c r="S45" s="12"/>
      <c r="T45" s="12"/>
      <c r="U45" s="12"/>
      <c r="V45" s="12"/>
      <c r="W45" s="12"/>
      <c r="X45" s="12"/>
      <c r="Y45" s="12"/>
      <c r="Z45" s="117" t="s">
        <v>168</v>
      </c>
      <c r="AA45" s="121">
        <f>COUNTIF('M&amp;E_ESP_FINAL'!$CD$6:$CD60,"*No*")</f>
        <v>0</v>
      </c>
      <c r="AB45" s="123" t="str">
        <f t="shared" si="10"/>
        <v>#DIV/0!</v>
      </c>
      <c r="AC45" s="121">
        <f>COUNTIF('M&amp;E_ESP_FINAL'!$CE$6:$CE60,"*No*")</f>
        <v>0</v>
      </c>
      <c r="AD45" s="123" t="str">
        <f t="shared" si="11"/>
        <v>#DIV/0!</v>
      </c>
      <c r="AE45" s="12"/>
      <c r="AF45" s="12"/>
      <c r="AG45" s="12"/>
      <c r="AH45" s="12"/>
    </row>
    <row r="46" ht="18.0" customHeight="1">
      <c r="A46" s="12"/>
      <c r="B46" s="23" t="s">
        <v>290</v>
      </c>
      <c r="H46" s="28">
        <f>COUNTIF('M&amp;E_ESP_FINAL'!$M$6:$M60,"*B - Explotación De Minas Y Canteras.*")</f>
        <v>0</v>
      </c>
      <c r="I46" s="95" t="str">
        <f t="shared" si="12"/>
        <v>#DIV/0!</v>
      </c>
      <c r="J46" s="12"/>
      <c r="K46" s="12"/>
      <c r="L46" s="12"/>
      <c r="M46" s="12"/>
      <c r="N46" s="12"/>
      <c r="O46" s="12"/>
      <c r="P46" s="12"/>
      <c r="Q46" s="12"/>
      <c r="R46" s="12"/>
      <c r="S46" s="12"/>
      <c r="T46" s="12"/>
      <c r="U46" s="12"/>
      <c r="V46" s="12"/>
      <c r="W46" s="12"/>
      <c r="X46" s="12"/>
      <c r="Y46" s="12"/>
      <c r="Z46" s="12"/>
      <c r="AA46" s="65">
        <f>SUM(AA42:AA45)</f>
        <v>0</v>
      </c>
      <c r="AB46" s="12"/>
      <c r="AC46" s="65">
        <f>SUM(AC42:AC45)</f>
        <v>0</v>
      </c>
      <c r="AD46" s="12"/>
      <c r="AE46" s="12"/>
      <c r="AF46" s="12"/>
      <c r="AG46" s="12"/>
      <c r="AH46" s="12"/>
    </row>
    <row r="47" ht="18.0" customHeight="1">
      <c r="A47" s="12"/>
      <c r="B47" s="23" t="s">
        <v>291</v>
      </c>
      <c r="H47" s="28">
        <f>COUNTIF('M&amp;E_ESP_FINAL'!$M$6:$M60,"*C - Industrias Manufactureras.*")</f>
        <v>0</v>
      </c>
      <c r="I47" s="95" t="str">
        <f t="shared" si="12"/>
        <v>#DIV/0!</v>
      </c>
      <c r="J47" s="12"/>
      <c r="K47" s="12"/>
      <c r="L47" s="12"/>
      <c r="M47" s="12"/>
      <c r="N47" s="144" t="s">
        <v>292</v>
      </c>
      <c r="O47" s="17"/>
      <c r="P47" s="17"/>
      <c r="Q47" s="17"/>
      <c r="R47" s="17"/>
      <c r="S47" s="17"/>
      <c r="T47" s="17"/>
      <c r="U47" s="17"/>
      <c r="V47" s="18"/>
      <c r="W47" s="12"/>
      <c r="X47" s="12"/>
      <c r="Y47" s="12"/>
      <c r="Z47" s="12"/>
      <c r="AA47" s="12"/>
      <c r="AB47" s="12"/>
      <c r="AC47" s="12"/>
      <c r="AD47" s="12"/>
      <c r="AE47" s="12"/>
      <c r="AF47" s="12"/>
      <c r="AG47" s="12"/>
      <c r="AH47" s="12"/>
    </row>
    <row r="48" ht="18.0" customHeight="1">
      <c r="A48" s="12"/>
      <c r="B48" s="23" t="s">
        <v>293</v>
      </c>
      <c r="H48" s="28">
        <f>COUNTIF('M&amp;E_ESP_FINAL'!$M$6:$M60,"*D - Suministro De Electricidad, Gas, Vapor Y Aire Acondicionado.*")</f>
        <v>0</v>
      </c>
      <c r="I48" s="95" t="str">
        <f t="shared" si="12"/>
        <v>#DIV/0!</v>
      </c>
      <c r="J48" s="12"/>
      <c r="K48" s="12"/>
      <c r="L48" s="12"/>
      <c r="M48" s="12"/>
      <c r="N48" s="12"/>
      <c r="O48" s="12"/>
      <c r="P48" s="12"/>
      <c r="Q48" s="12"/>
      <c r="R48" s="12"/>
      <c r="S48" s="12"/>
      <c r="T48" s="12"/>
      <c r="U48" s="12"/>
      <c r="V48" s="12"/>
      <c r="W48" s="12"/>
      <c r="X48" s="12"/>
      <c r="Y48" s="12"/>
      <c r="Z48" s="19" t="s">
        <v>294</v>
      </c>
      <c r="AA48" s="12"/>
      <c r="AB48" s="12"/>
      <c r="AC48" s="12"/>
      <c r="AD48" s="12"/>
      <c r="AE48" s="12"/>
      <c r="AF48" s="12"/>
      <c r="AG48" s="12"/>
      <c r="AH48" s="12"/>
    </row>
    <row r="49" ht="25.5" customHeight="1">
      <c r="A49" s="12"/>
      <c r="B49" s="23" t="s">
        <v>295</v>
      </c>
      <c r="H49" s="28">
        <f>COUNTIF('M&amp;E_ESP_FINAL'!$M$6:$M60,"*E - Distribución De Agua; Alcantarillado, Gestión De Desechos Y Actividades De Saneamiento.*")</f>
        <v>0</v>
      </c>
      <c r="I49" s="95" t="str">
        <f t="shared" si="12"/>
        <v>#DIV/0!</v>
      </c>
      <c r="J49" s="12"/>
      <c r="K49" s="12"/>
      <c r="L49" s="12"/>
      <c r="M49" s="12"/>
      <c r="N49" s="19" t="s">
        <v>296</v>
      </c>
      <c r="O49" s="12"/>
      <c r="P49" s="12"/>
      <c r="Q49" s="12"/>
      <c r="R49" s="12"/>
      <c r="S49" s="12"/>
      <c r="T49" s="12"/>
      <c r="U49" s="12"/>
      <c r="V49" s="12"/>
      <c r="W49" s="12"/>
      <c r="X49" s="12"/>
      <c r="Y49" s="12"/>
      <c r="Z49" s="12"/>
      <c r="AA49" s="96" t="s">
        <v>42</v>
      </c>
      <c r="AB49" s="18"/>
      <c r="AC49" s="98" t="s">
        <v>43</v>
      </c>
      <c r="AD49" s="18"/>
      <c r="AE49" s="12"/>
      <c r="AF49" s="12"/>
      <c r="AG49" s="12"/>
      <c r="AH49" s="12"/>
    </row>
    <row r="50" ht="18.0" customHeight="1">
      <c r="A50" s="12"/>
      <c r="B50" s="23" t="s">
        <v>297</v>
      </c>
      <c r="H50" s="28">
        <f>COUNTIF('M&amp;E_ESP_FINAL'!$M$6:$M60,"*F - Construcción.*")</f>
        <v>0</v>
      </c>
      <c r="I50" s="95" t="str">
        <f t="shared" si="12"/>
        <v>#DIV/0!</v>
      </c>
      <c r="J50" s="12"/>
      <c r="K50" s="12"/>
      <c r="L50" s="12"/>
      <c r="M50" s="12"/>
      <c r="N50" s="12"/>
      <c r="O50" s="96" t="s">
        <v>42</v>
      </c>
      <c r="P50" s="18"/>
      <c r="Q50" s="98" t="s">
        <v>43</v>
      </c>
      <c r="R50" s="18"/>
      <c r="S50" s="12"/>
      <c r="T50" s="12"/>
      <c r="U50" s="12"/>
      <c r="V50" s="12"/>
      <c r="W50" s="12"/>
      <c r="X50" s="12"/>
      <c r="Y50" s="12"/>
      <c r="Z50" s="117" t="s">
        <v>298</v>
      </c>
      <c r="AA50" s="121">
        <f>COUNTIF('M&amp;E_ESP_FINAL'!$CF$6:$CF60,"*Nula*")</f>
        <v>0</v>
      </c>
      <c r="AB50" s="123" t="str">
        <f t="shared" ref="AB50:AB54" si="13">AA50/$AA$55</f>
        <v>#DIV/0!</v>
      </c>
      <c r="AC50" s="121">
        <f>COUNTIF('M&amp;E_ESP_FINAL'!$CG$6:$CG60,"*Nula*")</f>
        <v>0</v>
      </c>
      <c r="AD50" s="123" t="str">
        <f t="shared" ref="AD50:AD54" si="14">AC50/$AC$55</f>
        <v>#DIV/0!</v>
      </c>
      <c r="AE50" s="12"/>
      <c r="AF50" s="12"/>
      <c r="AG50" s="12"/>
      <c r="AH50" s="12"/>
    </row>
    <row r="51" ht="21.0" customHeight="1">
      <c r="A51" s="12"/>
      <c r="B51" s="23" t="s">
        <v>299</v>
      </c>
      <c r="H51" s="28">
        <f>COUNTIF('M&amp;E_ESP_FINAL'!$M$6:$M60,"*G - Comercio Al Por Mayor Y Al Por Menor; Reparación De Vehículos Automotores Y Motocicletas.*")</f>
        <v>0</v>
      </c>
      <c r="I51" s="95" t="str">
        <f t="shared" si="12"/>
        <v>#DIV/0!</v>
      </c>
      <c r="J51" s="12"/>
      <c r="K51" s="12"/>
      <c r="L51" s="12"/>
      <c r="M51" s="12"/>
      <c r="N51" s="121" t="s">
        <v>132</v>
      </c>
      <c r="O51" s="121">
        <f>COUNTIF('M&amp;E_ESP_FINAL'!$AN$6:$AN68,"*Sí*")</f>
        <v>0</v>
      </c>
      <c r="P51" s="95" t="str">
        <f>$O$51/$O$53</f>
        <v>#DIV/0!</v>
      </c>
      <c r="Q51" s="121">
        <f>COUNTIF('M&amp;E_ESP_FINAL'!$AO$6:$AO67,"*Sí*")</f>
        <v>0</v>
      </c>
      <c r="R51" s="95" t="str">
        <f>$Q$51/$Q$53</f>
        <v>#DIV/0!</v>
      </c>
      <c r="S51" s="12"/>
      <c r="T51" s="12"/>
      <c r="U51" s="12"/>
      <c r="V51" s="12"/>
      <c r="W51" s="12"/>
      <c r="X51" s="12"/>
      <c r="Y51" s="12"/>
      <c r="Z51" s="117" t="s">
        <v>300</v>
      </c>
      <c r="AA51" s="121">
        <f>COUNTIF('M&amp;E_ESP_FINAL'!$CF$6:$CF60,"*Baja*")</f>
        <v>0</v>
      </c>
      <c r="AB51" s="123" t="str">
        <f t="shared" si="13"/>
        <v>#DIV/0!</v>
      </c>
      <c r="AC51" s="121">
        <f>COUNTIF('M&amp;E_ESP_FINAL'!$CG$6:$CG60,"*Baja*")</f>
        <v>0</v>
      </c>
      <c r="AD51" s="123" t="str">
        <f t="shared" si="14"/>
        <v>#DIV/0!</v>
      </c>
      <c r="AE51" s="12"/>
      <c r="AF51" s="12"/>
      <c r="AG51" s="12"/>
      <c r="AH51" s="12"/>
    </row>
    <row r="52" ht="18.0" customHeight="1">
      <c r="A52" s="12"/>
      <c r="B52" s="23" t="s">
        <v>301</v>
      </c>
      <c r="H52" s="28">
        <f>COUNTIF('M&amp;E_ESP_FINAL'!$M$6:$M60,"*H - Transporte Y Almacenamiento.*")</f>
        <v>0</v>
      </c>
      <c r="I52" s="95" t="str">
        <f t="shared" si="12"/>
        <v>#DIV/0!</v>
      </c>
      <c r="J52" s="12"/>
      <c r="K52" s="12"/>
      <c r="L52" s="12"/>
      <c r="M52" s="12"/>
      <c r="N52" s="121" t="s">
        <v>168</v>
      </c>
      <c r="O52" s="121">
        <f>COUNTIF('M&amp;E_ESP_FINAL'!$AN$6:$AN68,"*No*")</f>
        <v>0</v>
      </c>
      <c r="P52" s="95" t="str">
        <f>$O$52/$O$53</f>
        <v>#DIV/0!</v>
      </c>
      <c r="Q52" s="121">
        <f>COUNTIF('M&amp;E_ESP_FINAL'!$AO$6:$AO68,"*No*")</f>
        <v>0</v>
      </c>
      <c r="R52" s="95" t="str">
        <f>$Q$52/$Q$53</f>
        <v>#DIV/0!</v>
      </c>
      <c r="S52" s="12"/>
      <c r="T52" s="12"/>
      <c r="U52" s="12"/>
      <c r="V52" s="12"/>
      <c r="W52" s="12"/>
      <c r="X52" s="12"/>
      <c r="Y52" s="12"/>
      <c r="Z52" s="117" t="s">
        <v>304</v>
      </c>
      <c r="AA52" s="121">
        <f>COUNTIF('M&amp;E_ESP_FINAL'!$CF$6:$CF60,"*Media*")</f>
        <v>0</v>
      </c>
      <c r="AB52" s="123" t="str">
        <f t="shared" si="13"/>
        <v>#DIV/0!</v>
      </c>
      <c r="AC52" s="121">
        <f>COUNTIF('M&amp;E_ESP_FINAL'!$CG$6:$CG60,"*Media*")</f>
        <v>0</v>
      </c>
      <c r="AD52" s="123" t="str">
        <f t="shared" si="14"/>
        <v>#DIV/0!</v>
      </c>
      <c r="AE52" s="12"/>
      <c r="AF52" s="12"/>
      <c r="AG52" s="12"/>
      <c r="AH52" s="12"/>
    </row>
    <row r="53" ht="18.0" customHeight="1">
      <c r="A53" s="12"/>
      <c r="B53" s="23" t="s">
        <v>313</v>
      </c>
      <c r="H53" s="28">
        <f>COUNTIF('M&amp;E_ESP_FINAL'!$M$6:$M60,"*I - Actividades De Alojamiento Y De Servicio De Comidas.*")</f>
        <v>0</v>
      </c>
      <c r="I53" s="95" t="str">
        <f t="shared" si="12"/>
        <v>#DIV/0!</v>
      </c>
      <c r="J53" s="12"/>
      <c r="K53" s="12"/>
      <c r="L53" s="12"/>
      <c r="M53" s="12"/>
      <c r="N53" s="12"/>
      <c r="O53" s="65">
        <f>SUM($O$51:$O$52)</f>
        <v>0</v>
      </c>
      <c r="P53" s="12"/>
      <c r="Q53" s="65">
        <f>SUM(Q51:Q52)</f>
        <v>0</v>
      </c>
      <c r="R53" s="12"/>
      <c r="S53" s="12"/>
      <c r="T53" s="12"/>
      <c r="U53" s="12"/>
      <c r="V53" s="12"/>
      <c r="W53" s="12"/>
      <c r="X53" s="12"/>
      <c r="Y53" s="12"/>
      <c r="Z53" s="117" t="s">
        <v>329</v>
      </c>
      <c r="AA53" s="121">
        <f>COUNTIF('M&amp;E_ESP_FINAL'!$CF$6:$CF60,"*Alta*")</f>
        <v>0</v>
      </c>
      <c r="AB53" s="123" t="str">
        <f t="shared" si="13"/>
        <v>#DIV/0!</v>
      </c>
      <c r="AC53" s="121">
        <f>COUNTIF('M&amp;E_ESP_FINAL'!$CG$6:$CG60,"*Alta*")</f>
        <v>0</v>
      </c>
      <c r="AD53" s="123" t="str">
        <f t="shared" si="14"/>
        <v>#DIV/0!</v>
      </c>
      <c r="AE53" s="12"/>
      <c r="AF53" s="12"/>
      <c r="AG53" s="12"/>
      <c r="AH53" s="12"/>
    </row>
    <row r="54" ht="18.0" customHeight="1">
      <c r="A54" s="12"/>
      <c r="B54" s="23" t="s">
        <v>348</v>
      </c>
      <c r="H54" s="28">
        <f>COUNTIF('M&amp;E_ESP_FINAL'!$M$6:$M60,"*J - Información Y Comunicación.*")</f>
        <v>0</v>
      </c>
      <c r="I54" s="95" t="str">
        <f t="shared" si="12"/>
        <v>#DIV/0!</v>
      </c>
      <c r="J54" s="12"/>
      <c r="K54" s="12"/>
      <c r="L54" s="12"/>
      <c r="M54" s="12"/>
      <c r="N54" s="12"/>
      <c r="O54" s="12"/>
      <c r="P54" s="12"/>
      <c r="Q54" s="12"/>
      <c r="R54" s="12"/>
      <c r="S54" s="12"/>
      <c r="T54" s="12"/>
      <c r="U54" s="12"/>
      <c r="V54" s="12"/>
      <c r="W54" s="12"/>
      <c r="X54" s="12"/>
      <c r="Y54" s="12"/>
      <c r="Z54" s="117" t="s">
        <v>365</v>
      </c>
      <c r="AA54" s="121">
        <f>COUNTIF('M&amp;E_ESP_FINAL'!$CF$6:$CF60,"*Muy alta*")</f>
        <v>0</v>
      </c>
      <c r="AB54" s="123" t="str">
        <f t="shared" si="13"/>
        <v>#DIV/0!</v>
      </c>
      <c r="AC54" s="121">
        <f>COUNTIF('M&amp;E_ESP_FINAL'!$CG$6:$CG60,"*Muy alta*")</f>
        <v>0</v>
      </c>
      <c r="AD54" s="123" t="str">
        <f t="shared" si="14"/>
        <v>#DIV/0!</v>
      </c>
      <c r="AE54" s="12"/>
      <c r="AF54" s="12"/>
      <c r="AG54" s="12"/>
      <c r="AH54" s="12"/>
    </row>
    <row r="55" ht="21.0" customHeight="1">
      <c r="A55" s="12"/>
      <c r="B55" s="23" t="s">
        <v>380</v>
      </c>
      <c r="H55" s="28">
        <f>COUNTIF('M&amp;E_ESP_FINAL'!$M$6:$M60,"*K - Actividades Financieras Y De Seguros.*")</f>
        <v>0</v>
      </c>
      <c r="I55" s="95" t="str">
        <f t="shared" si="12"/>
        <v>#DIV/0!</v>
      </c>
      <c r="J55" s="12"/>
      <c r="K55" s="12"/>
      <c r="L55" s="12"/>
      <c r="M55" s="12"/>
      <c r="N55" s="150" t="s">
        <v>385</v>
      </c>
      <c r="O55" s="12"/>
      <c r="P55" s="12"/>
      <c r="Q55" s="12"/>
      <c r="R55" s="12"/>
      <c r="S55" s="12"/>
      <c r="T55" s="12"/>
      <c r="U55" s="12"/>
      <c r="V55" s="12"/>
      <c r="W55" s="12"/>
      <c r="X55" s="12"/>
      <c r="Y55" s="12"/>
      <c r="Z55" s="12"/>
      <c r="AA55" s="65">
        <f>SUM(AA50:AA54)</f>
        <v>0</v>
      </c>
      <c r="AB55" s="12"/>
      <c r="AC55" s="65">
        <f>SUM(AC50:AC54)</f>
        <v>0</v>
      </c>
      <c r="AD55" s="12"/>
      <c r="AE55" s="12"/>
      <c r="AF55" s="12"/>
      <c r="AG55" s="12"/>
      <c r="AH55" s="12"/>
    </row>
    <row r="56" ht="18.0" customHeight="1">
      <c r="A56" s="12"/>
      <c r="B56" s="23" t="s">
        <v>398</v>
      </c>
      <c r="H56" s="28">
        <f>COUNTIF('M&amp;E_ESP_FINAL'!$M$6:$M60,"*L - Actividades Inmobiliarias.*")</f>
        <v>0</v>
      </c>
      <c r="I56" s="95" t="str">
        <f t="shared" si="12"/>
        <v>#DIV/0!</v>
      </c>
      <c r="J56" s="12"/>
      <c r="K56" s="12"/>
      <c r="L56" s="12"/>
      <c r="M56" s="12"/>
      <c r="N56" s="12"/>
      <c r="O56" s="96" t="s">
        <v>42</v>
      </c>
      <c r="P56" s="18"/>
      <c r="Q56" s="98" t="s">
        <v>43</v>
      </c>
      <c r="R56" s="18"/>
      <c r="S56" s="12"/>
      <c r="T56" s="12"/>
      <c r="U56" s="12"/>
      <c r="V56" s="12"/>
      <c r="W56" s="12"/>
      <c r="X56" s="12"/>
      <c r="Y56" s="12"/>
      <c r="Z56" s="151" t="s">
        <v>416</v>
      </c>
      <c r="AA56" s="17"/>
      <c r="AB56" s="17"/>
      <c r="AC56" s="17"/>
      <c r="AD56" s="17"/>
      <c r="AE56" s="17"/>
      <c r="AF56" s="17"/>
      <c r="AG56" s="17"/>
      <c r="AH56" s="18"/>
    </row>
    <row r="57" ht="18.0" customHeight="1">
      <c r="A57" s="12"/>
      <c r="B57" s="23" t="s">
        <v>423</v>
      </c>
      <c r="H57" s="28">
        <f>COUNTIF('M&amp;E_ESP_FINAL'!$M$6:$M60,"*M - Actividades Profesionales, Científicas Y Técnicas.*")</f>
        <v>0</v>
      </c>
      <c r="I57" s="95" t="str">
        <f t="shared" si="12"/>
        <v>#DIV/0!</v>
      </c>
      <c r="J57" s="12"/>
      <c r="K57" s="12"/>
      <c r="L57" s="12"/>
      <c r="M57" s="12"/>
      <c r="N57" s="12"/>
      <c r="O57" s="12" t="str">
        <f>AVERAGE('M&amp;E_ESP_FINAL'!$AP$6:$AP60)</f>
        <v>#DIV/0!</v>
      </c>
      <c r="P57" s="12"/>
      <c r="Q57" s="12" t="str">
        <f>AVERAGE('M&amp;E_ESP_FINAL'!$AQ$6:$AQ60)</f>
        <v>#DIV/0!</v>
      </c>
      <c r="R57" s="12"/>
      <c r="S57" s="12"/>
      <c r="T57" s="12"/>
      <c r="U57" s="12"/>
      <c r="V57" s="12"/>
      <c r="W57" s="12"/>
      <c r="X57" s="12"/>
      <c r="Y57" s="12"/>
      <c r="Z57" s="12"/>
      <c r="AA57" s="12"/>
      <c r="AB57" s="12"/>
      <c r="AC57" s="12"/>
      <c r="AD57" s="12"/>
      <c r="AE57" s="12"/>
      <c r="AF57" s="12"/>
      <c r="AG57" s="12"/>
      <c r="AH57" s="12"/>
    </row>
    <row r="58" ht="18.0" customHeight="1">
      <c r="A58" s="12"/>
      <c r="B58" s="23" t="s">
        <v>449</v>
      </c>
      <c r="H58" s="28">
        <f>COUNTIF('M&amp;E_ESP_FINAL'!$M$6:$M60,"*N - Actividades De Servicios Administrativos Y De Apoyo.*")</f>
        <v>0</v>
      </c>
      <c r="I58" s="95" t="str">
        <f t="shared" si="12"/>
        <v>#DIV/0!</v>
      </c>
      <c r="J58" s="12"/>
      <c r="K58" s="12"/>
      <c r="L58" s="12"/>
      <c r="M58" s="12"/>
      <c r="N58" s="12"/>
      <c r="O58" s="12"/>
      <c r="P58" s="12"/>
      <c r="Q58" s="12"/>
      <c r="R58" s="12"/>
      <c r="S58" s="12"/>
      <c r="T58" s="12"/>
      <c r="U58" s="12"/>
      <c r="V58" s="12"/>
      <c r="W58" s="12"/>
      <c r="X58" s="12"/>
      <c r="Y58" s="12"/>
      <c r="Z58" s="19" t="s">
        <v>465</v>
      </c>
      <c r="AA58" s="12"/>
      <c r="AB58" s="12"/>
      <c r="AC58" s="12"/>
      <c r="AD58" s="12"/>
      <c r="AE58" s="12"/>
      <c r="AF58" s="12"/>
      <c r="AG58" s="12"/>
      <c r="AH58" s="12"/>
    </row>
    <row r="59" ht="29.25" customHeight="1">
      <c r="A59" s="12"/>
      <c r="B59" s="23" t="s">
        <v>472</v>
      </c>
      <c r="H59" s="28">
        <f>COUNTIF('M&amp;E_ESP_FINAL'!$M$6:$M60,"*O - Administración Pública Y Defensa; Planes De Seguridad Social De Afiliación Obligatoria.*")</f>
        <v>0</v>
      </c>
      <c r="I59" s="95" t="str">
        <f t="shared" si="12"/>
        <v>#DIV/0!</v>
      </c>
      <c r="J59" s="12"/>
      <c r="K59" s="12"/>
      <c r="L59" s="12"/>
      <c r="M59" s="12"/>
      <c r="N59" s="19" t="s">
        <v>485</v>
      </c>
      <c r="O59" s="12"/>
      <c r="P59" s="12"/>
      <c r="Q59" s="12"/>
      <c r="R59" s="12"/>
      <c r="S59" s="12"/>
      <c r="T59" s="12"/>
      <c r="U59" s="12"/>
      <c r="V59" s="12"/>
      <c r="W59" s="12"/>
      <c r="X59" s="12"/>
      <c r="Y59" s="12"/>
      <c r="Z59" s="12"/>
      <c r="AA59" s="96" t="s">
        <v>42</v>
      </c>
      <c r="AB59" s="18"/>
      <c r="AC59" s="98" t="s">
        <v>43</v>
      </c>
      <c r="AD59" s="18"/>
      <c r="AE59" s="12"/>
      <c r="AF59" s="12"/>
      <c r="AG59" s="12"/>
      <c r="AH59" s="12"/>
    </row>
    <row r="60" ht="18.0" customHeight="1">
      <c r="A60" s="12"/>
      <c r="B60" s="23" t="s">
        <v>500</v>
      </c>
      <c r="H60" s="28">
        <f>COUNTIF('M&amp;E_ESP_FINAL'!$M$6:$M60,"*P - Enseñanza.*")</f>
        <v>0</v>
      </c>
      <c r="I60" s="95" t="str">
        <f t="shared" si="12"/>
        <v>#DIV/0!</v>
      </c>
      <c r="J60" s="12"/>
      <c r="K60" s="12"/>
      <c r="L60" s="12"/>
      <c r="M60" s="12"/>
      <c r="N60" s="12"/>
      <c r="O60" s="96" t="s">
        <v>42</v>
      </c>
      <c r="P60" s="18"/>
      <c r="Q60" s="98" t="s">
        <v>43</v>
      </c>
      <c r="R60" s="18"/>
      <c r="S60" s="12"/>
      <c r="T60" s="12"/>
      <c r="U60" s="12"/>
      <c r="V60" s="12"/>
      <c r="W60" s="12"/>
      <c r="X60" s="12"/>
      <c r="Y60" s="12"/>
      <c r="Z60" s="130" t="s">
        <v>520</v>
      </c>
      <c r="AA60" s="121">
        <f>COUNTIF('M&amp;E_ESP_FINAL'!$CH$6:$CH60,"*Ninguna*")</f>
        <v>0</v>
      </c>
      <c r="AB60" s="123" t="str">
        <f t="shared" ref="AB60:AB64" si="15">AA60/$AA$65</f>
        <v>#DIV/0!</v>
      </c>
      <c r="AC60" s="121">
        <f>COUNTIF('M&amp;E_ESP_FINAL'!$CI$6:$CI60,"*Ninguna*")</f>
        <v>0</v>
      </c>
      <c r="AD60" s="123" t="str">
        <f t="shared" ref="AD60:AD64" si="16">AC60/$AC$65</f>
        <v>#DIV/0!</v>
      </c>
      <c r="AE60" s="12"/>
      <c r="AF60" s="12"/>
      <c r="AG60" s="12"/>
      <c r="AH60" s="12"/>
    </row>
    <row r="61" ht="22.5" customHeight="1">
      <c r="A61" s="12"/>
      <c r="B61" s="23" t="s">
        <v>541</v>
      </c>
      <c r="H61" s="28">
        <f>COUNTIF('M&amp;E_ESP_FINAL'!$M$6:$M60,"*Q - Actividades De Atención De La Salud Humana Y De Asistencia Social.*")</f>
        <v>0</v>
      </c>
      <c r="I61" s="95" t="str">
        <f t="shared" si="12"/>
        <v>#DIV/0!</v>
      </c>
      <c r="J61" s="12"/>
      <c r="K61" s="12"/>
      <c r="L61" s="12"/>
      <c r="M61" s="12"/>
      <c r="N61" s="12"/>
      <c r="O61" s="12" t="str">
        <f>AVERAGE('M&amp;E_ESP_FINAL'!$AR$6:$AR64)</f>
        <v>#DIV/0!</v>
      </c>
      <c r="P61" s="12"/>
      <c r="Q61" s="12" t="str">
        <f>AVERAGE('M&amp;E_ESP_FINAL'!$AS$6:$AS64)</f>
        <v>#DIV/0!</v>
      </c>
      <c r="R61" s="12"/>
      <c r="S61" s="12"/>
      <c r="T61" s="12"/>
      <c r="U61" s="12"/>
      <c r="V61" s="12"/>
      <c r="W61" s="12"/>
      <c r="X61" s="12"/>
      <c r="Y61" s="12"/>
      <c r="Z61" s="117" t="s">
        <v>558</v>
      </c>
      <c r="AA61" s="121">
        <f>COUNTIF('M&amp;E_ESP_FINAL'!$CH$6:$CH60,"*Solo redes sociales*")</f>
        <v>0</v>
      </c>
      <c r="AB61" s="123" t="str">
        <f t="shared" si="15"/>
        <v>#DIV/0!</v>
      </c>
      <c r="AC61" s="121">
        <f>COUNTIF('M&amp;E_ESP_FINAL'!$CI$6:$CI60,"*Solo redes sociales*")</f>
        <v>0</v>
      </c>
      <c r="AD61" s="123" t="str">
        <f t="shared" si="16"/>
        <v>#DIV/0!</v>
      </c>
      <c r="AE61" s="12"/>
      <c r="AF61" s="12"/>
      <c r="AG61" s="12"/>
      <c r="AH61" s="12"/>
    </row>
    <row r="62" ht="18.0" customHeight="1">
      <c r="A62" s="12"/>
      <c r="B62" s="23" t="s">
        <v>574</v>
      </c>
      <c r="H62" s="28">
        <f>COUNTIF('M&amp;E_ESP_FINAL'!$M$6:$M60,"*R - Artes, Entretenimiento Y Recreación.*")</f>
        <v>0</v>
      </c>
      <c r="I62" s="95" t="str">
        <f t="shared" si="12"/>
        <v>#DIV/0!</v>
      </c>
      <c r="J62" s="12"/>
      <c r="K62" s="12"/>
      <c r="L62" s="12"/>
      <c r="M62" s="12"/>
      <c r="N62" s="12"/>
      <c r="O62" s="12"/>
      <c r="P62" s="12"/>
      <c r="Q62" s="12"/>
      <c r="R62" s="12"/>
      <c r="S62" s="12"/>
      <c r="T62" s="12"/>
      <c r="U62" s="12"/>
      <c r="V62" s="12"/>
      <c r="W62" s="12"/>
      <c r="X62" s="12"/>
      <c r="Y62" s="12"/>
      <c r="Z62" s="134" t="s">
        <v>216</v>
      </c>
      <c r="AA62" s="121">
        <f>COUNTIF('M&amp;E_ESP_FINAL'!$CH$6:$CH60,"*Redes sociales + sitio web*")</f>
        <v>0</v>
      </c>
      <c r="AB62" s="123" t="str">
        <f t="shared" si="15"/>
        <v>#DIV/0!</v>
      </c>
      <c r="AC62" s="121">
        <f>COUNTIF('M&amp;E_ESP_FINAL'!$CI$6:$CI60,"*Redes sociales + sitio web*")</f>
        <v>0</v>
      </c>
      <c r="AD62" s="123" t="str">
        <f t="shared" si="16"/>
        <v>#DIV/0!</v>
      </c>
      <c r="AE62" s="12"/>
      <c r="AF62" s="12"/>
      <c r="AG62" s="12"/>
      <c r="AH62" s="12"/>
    </row>
    <row r="63" ht="22.5" customHeight="1">
      <c r="A63" s="12"/>
      <c r="B63" s="23" t="s">
        <v>606</v>
      </c>
      <c r="H63" s="28">
        <f>COUNTIF('M&amp;E_ESP_FINAL'!$M$6:$M60,"*S - Otras Actividades De Servicios.*")</f>
        <v>0</v>
      </c>
      <c r="I63" s="95" t="str">
        <f t="shared" si="12"/>
        <v>#DIV/0!</v>
      </c>
      <c r="J63" s="12"/>
      <c r="K63" s="12"/>
      <c r="L63" s="12"/>
      <c r="M63" s="12"/>
      <c r="N63" s="19" t="s">
        <v>615</v>
      </c>
      <c r="O63" s="12"/>
      <c r="P63" s="12"/>
      <c r="Q63" s="12"/>
      <c r="R63" s="12"/>
      <c r="S63" s="12"/>
      <c r="T63" s="12"/>
      <c r="U63" s="12"/>
      <c r="V63" s="12"/>
      <c r="W63" s="12"/>
      <c r="X63" s="12"/>
      <c r="Y63" s="12"/>
      <c r="Z63" s="117" t="s">
        <v>239</v>
      </c>
      <c r="AA63" s="121">
        <f>COUNTIF('M&amp;E_ESP_FINAL'!$CH$6:$CH60,"*Redes sociales + sitio web + e-commerce*")</f>
        <v>0</v>
      </c>
      <c r="AB63" s="123" t="str">
        <f t="shared" si="15"/>
        <v>#DIV/0!</v>
      </c>
      <c r="AC63" s="121">
        <f>COUNTIF('M&amp;E_ESP_FINAL'!$CI$6:$CI60,"*Redes sociales + sitio web + e-commerce*")</f>
        <v>0</v>
      </c>
      <c r="AD63" s="123" t="str">
        <f t="shared" si="16"/>
        <v>#DIV/0!</v>
      </c>
      <c r="AE63" s="12"/>
      <c r="AF63" s="12"/>
      <c r="AG63" s="12"/>
      <c r="AH63" s="12"/>
    </row>
    <row r="64" ht="18.0" customHeight="1">
      <c r="A64" s="12"/>
      <c r="B64" s="23" t="s">
        <v>640</v>
      </c>
      <c r="H64" s="28">
        <f>COUNTIF('M&amp;E_ESP_FINAL'!$M$6:$M60,"*T - Actividades De Los Hogares Como Empleadores; Actividades No Diferenciadas De Los Hogares Como Productores De Bienes Y Servicios Para Uso Propio.*")</f>
        <v>0</v>
      </c>
      <c r="I64" s="95" t="str">
        <f t="shared" si="12"/>
        <v>#DIV/0!</v>
      </c>
      <c r="J64" s="12"/>
      <c r="K64" s="12"/>
      <c r="L64" s="12"/>
      <c r="M64" s="12"/>
      <c r="N64" s="12"/>
      <c r="O64" s="96" t="s">
        <v>42</v>
      </c>
      <c r="P64" s="18"/>
      <c r="Q64" s="98" t="s">
        <v>43</v>
      </c>
      <c r="R64" s="18"/>
      <c r="S64" s="12"/>
      <c r="T64" s="12"/>
      <c r="U64" s="12"/>
      <c r="V64" s="12"/>
      <c r="W64" s="12"/>
      <c r="X64" s="12"/>
      <c r="Y64" s="12"/>
      <c r="Z64" s="117" t="s">
        <v>661</v>
      </c>
      <c r="AA64" s="121">
        <f>COUNTIF('M&amp;E_ESP_FINAL'!$CH$6:$CH60,"*Ecosistema digital completo*")</f>
        <v>0</v>
      </c>
      <c r="AB64" s="123" t="str">
        <f t="shared" si="15"/>
        <v>#DIV/0!</v>
      </c>
      <c r="AC64" s="121">
        <f>COUNTIF('M&amp;E_ESP_FINAL'!$CI$6:$CI60,"*Ecosistema digital completo*")</f>
        <v>0</v>
      </c>
      <c r="AD64" s="123" t="str">
        <f t="shared" si="16"/>
        <v>#DIV/0!</v>
      </c>
      <c r="AE64" s="12"/>
      <c r="AF64" s="12"/>
      <c r="AG64" s="12"/>
      <c r="AH64" s="12"/>
    </row>
    <row r="65" ht="18.0" customHeight="1">
      <c r="A65" s="12"/>
      <c r="B65" s="23" t="s">
        <v>676</v>
      </c>
      <c r="H65" s="28">
        <f>COUNTIF('M&amp;E_ESP_FINAL'!$M$6:$M60,"*U - Actividades De Organizaciones Y Órganos Extraterritoriales.*")</f>
        <v>0</v>
      </c>
      <c r="I65" s="95" t="str">
        <f t="shared" si="12"/>
        <v>#DIV/0!</v>
      </c>
      <c r="J65" s="12"/>
      <c r="K65" s="12"/>
      <c r="L65" s="12"/>
      <c r="M65" s="12"/>
      <c r="N65" s="12"/>
      <c r="O65" s="12" t="str">
        <f>AVERAGE('M&amp;E_ESP_FINAL'!$AT$6:$AT68)</f>
        <v>#DIV/0!</v>
      </c>
      <c r="P65" s="12"/>
      <c r="Q65" s="12" t="str">
        <f>AVERAGE('M&amp;E_ESP_FINAL'!$AU$6:$AU68)</f>
        <v>#DIV/0!</v>
      </c>
      <c r="R65" s="12"/>
      <c r="S65" s="12"/>
      <c r="T65" s="12"/>
      <c r="U65" s="12"/>
      <c r="V65" s="12"/>
      <c r="W65" s="12"/>
      <c r="X65" s="12"/>
      <c r="Y65" s="12"/>
      <c r="Z65" s="12"/>
      <c r="AA65" s="65">
        <f>SUM(AA60:AA64)</f>
        <v>0</v>
      </c>
      <c r="AB65" s="12"/>
      <c r="AC65" s="65">
        <f>SUM(AC60:AC64)</f>
        <v>0</v>
      </c>
      <c r="AD65" s="12"/>
      <c r="AE65" s="12"/>
      <c r="AF65" s="12"/>
      <c r="AG65" s="12"/>
      <c r="AH65" s="12"/>
    </row>
    <row r="66" ht="15.75" customHeight="1">
      <c r="A66" s="12"/>
      <c r="B66" s="12"/>
      <c r="C66" s="12"/>
      <c r="D66" s="12"/>
      <c r="E66" s="12"/>
      <c r="F66" s="12"/>
      <c r="G66" s="12"/>
      <c r="H66" s="65">
        <f>SUM(H45:H65)</f>
        <v>0</v>
      </c>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ht="23.2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9" t="s">
        <v>742</v>
      </c>
      <c r="AA67" s="12"/>
      <c r="AB67" s="12"/>
      <c r="AC67" s="12"/>
      <c r="AD67" s="12"/>
      <c r="AE67" s="12"/>
      <c r="AF67" s="12"/>
      <c r="AG67" s="12"/>
      <c r="AH67" s="12"/>
    </row>
    <row r="68" ht="15.0" customHeight="1">
      <c r="A68" s="12"/>
      <c r="B68" s="152" t="s">
        <v>744</v>
      </c>
      <c r="I68" s="153"/>
      <c r="J68" s="12"/>
      <c r="K68" s="12"/>
      <c r="L68" s="12"/>
      <c r="M68" s="12"/>
      <c r="N68" s="19" t="s">
        <v>752</v>
      </c>
      <c r="O68" s="12"/>
      <c r="P68" s="12"/>
      <c r="Q68" s="12"/>
      <c r="R68" s="12"/>
      <c r="S68" s="12"/>
      <c r="T68" s="12"/>
      <c r="U68" s="12"/>
      <c r="V68" s="12"/>
      <c r="W68" s="12"/>
      <c r="X68" s="12"/>
      <c r="Y68" s="12"/>
      <c r="Z68" s="12"/>
      <c r="AA68" s="96" t="s">
        <v>42</v>
      </c>
      <c r="AB68" s="18"/>
      <c r="AC68" s="98" t="s">
        <v>43</v>
      </c>
      <c r="AD68" s="18"/>
      <c r="AE68" s="12"/>
      <c r="AF68" s="12"/>
      <c r="AG68" s="12"/>
      <c r="AH68" s="12"/>
    </row>
    <row r="69" ht="15.75" customHeight="1">
      <c r="A69" s="12"/>
      <c r="I69" s="147" t="str">
        <f>AVERAGE('M&amp;E_ESP_FINAL'!P6:P60)</f>
        <v>#DIV/0!</v>
      </c>
      <c r="J69" s="12"/>
      <c r="K69" s="12"/>
      <c r="L69" s="12"/>
      <c r="M69" s="12"/>
      <c r="N69" s="12"/>
      <c r="O69" s="96" t="s">
        <v>42</v>
      </c>
      <c r="P69" s="18"/>
      <c r="Q69" s="98" t="s">
        <v>43</v>
      </c>
      <c r="R69" s="18"/>
      <c r="S69" s="12"/>
      <c r="T69" s="12"/>
      <c r="U69" s="12"/>
      <c r="V69" s="12"/>
      <c r="W69" s="12"/>
      <c r="X69" s="12"/>
      <c r="Y69" s="12"/>
      <c r="Z69" s="117" t="s">
        <v>780</v>
      </c>
      <c r="AA69" s="121">
        <f>COUNTIF('M&amp;E_ESP_FINAL'!$CJ$6:$CJ60,"*No utilizamos ningún software*")</f>
        <v>0</v>
      </c>
      <c r="AB69" s="123" t="str">
        <f t="shared" ref="AB69:AB73" si="17">AA69/$AA$74</f>
        <v>#DIV/0!</v>
      </c>
      <c r="AC69" s="121">
        <f>COUNTIF('M&amp;E_ESP_FINAL'!$CK$6:$CK60,"*No utilizamos ningún software*")</f>
        <v>0</v>
      </c>
      <c r="AD69" s="123" t="str">
        <f t="shared" ref="AD69:AD73" si="18">AC69/$AC$74</f>
        <v>#DIV/0!</v>
      </c>
      <c r="AE69" s="12"/>
      <c r="AF69" s="12"/>
      <c r="AG69" s="12"/>
      <c r="AH69" s="12"/>
    </row>
    <row r="70" ht="15.75" customHeight="1">
      <c r="A70" s="12"/>
      <c r="B70" s="12"/>
      <c r="C70" s="12"/>
      <c r="D70" s="12"/>
      <c r="E70" s="12"/>
      <c r="F70" s="12"/>
      <c r="G70" s="12"/>
      <c r="H70" s="12"/>
      <c r="I70" s="12"/>
      <c r="J70" s="12"/>
      <c r="K70" s="12"/>
      <c r="L70" s="12"/>
      <c r="M70" s="12"/>
      <c r="N70" s="12"/>
      <c r="O70" s="12" t="str">
        <f>AVERAGE('M&amp;E_ESP_FINAL'!$AV$6:$AV73)</f>
        <v>#DIV/0!</v>
      </c>
      <c r="P70" s="12"/>
      <c r="Q70" s="12" t="str">
        <f>AVERAGE('M&amp;E_ESP_FINAL'!$AW$6:$AW73)</f>
        <v>#DIV/0!</v>
      </c>
      <c r="R70" s="12"/>
      <c r="S70" s="12"/>
      <c r="T70" s="12"/>
      <c r="U70" s="12"/>
      <c r="V70" s="12"/>
      <c r="W70" s="12"/>
      <c r="X70" s="12"/>
      <c r="Y70" s="12"/>
      <c r="Z70" s="117" t="s">
        <v>829</v>
      </c>
      <c r="AA70" s="121">
        <f>COUNTIF('M&amp;E_ESP_FINAL'!$CJ$6:$CJ60,"*Utilizamos herramientas básicas*")</f>
        <v>0</v>
      </c>
      <c r="AB70" s="123" t="str">
        <f t="shared" si="17"/>
        <v>#DIV/0!</v>
      </c>
      <c r="AC70" s="121">
        <f>COUNTIF('M&amp;E_ESP_FINAL'!$CK$6:$CK60,"*Utilizamos herramientas básicas*")</f>
        <v>0</v>
      </c>
      <c r="AD70" s="123" t="str">
        <f t="shared" si="18"/>
        <v>#DIV/0!</v>
      </c>
      <c r="AE70" s="12"/>
      <c r="AF70" s="12"/>
      <c r="AG70" s="12"/>
      <c r="AH70" s="12"/>
    </row>
    <row r="71" ht="15.75" customHeight="1">
      <c r="A71" s="12"/>
      <c r="B71" s="19" t="s">
        <v>850</v>
      </c>
      <c r="C71" s="12"/>
      <c r="D71" s="12"/>
      <c r="E71" s="12"/>
      <c r="F71" s="12"/>
      <c r="G71" s="12"/>
      <c r="H71" s="12"/>
      <c r="I71" s="12"/>
      <c r="J71" s="12"/>
      <c r="K71" s="12"/>
      <c r="L71" s="12"/>
      <c r="M71" s="12"/>
      <c r="N71" s="12"/>
      <c r="O71" s="12"/>
      <c r="P71" s="12"/>
      <c r="Q71" s="12"/>
      <c r="R71" s="12"/>
      <c r="S71" s="12"/>
      <c r="T71" s="12"/>
      <c r="U71" s="12"/>
      <c r="V71" s="12"/>
      <c r="W71" s="12"/>
      <c r="X71" s="12"/>
      <c r="Y71" s="12"/>
      <c r="Z71" s="117" t="s">
        <v>864</v>
      </c>
      <c r="AA71" s="121">
        <f>COUNTIF('M&amp;E_ESP_FINAL'!$CJ$6:$CJ60,"*Utilizamos software especializado para tareas específicas*")</f>
        <v>0</v>
      </c>
      <c r="AB71" s="123" t="str">
        <f t="shared" si="17"/>
        <v>#DIV/0!</v>
      </c>
      <c r="AC71" s="121">
        <f>COUNTIF('M&amp;E_ESP_FINAL'!$CK$6:$CK60,"*Utilizamos software especializado para tareas específicas*")</f>
        <v>0</v>
      </c>
      <c r="AD71" s="123" t="str">
        <f t="shared" si="18"/>
        <v>#DIV/0!</v>
      </c>
      <c r="AE71" s="12"/>
      <c r="AF71" s="12"/>
      <c r="AG71" s="12"/>
      <c r="AH71" s="12"/>
    </row>
    <row r="72" ht="15.75" customHeight="1">
      <c r="A72" s="12"/>
      <c r="B72" s="12"/>
      <c r="C72" s="12"/>
      <c r="D72" s="12"/>
      <c r="E72" s="12"/>
      <c r="F72" s="12"/>
      <c r="G72" s="12"/>
      <c r="H72" s="12"/>
      <c r="I72" s="12"/>
      <c r="J72" s="12"/>
      <c r="K72" s="12"/>
      <c r="L72" s="12"/>
      <c r="M72" s="12"/>
      <c r="N72" s="19" t="s">
        <v>885</v>
      </c>
      <c r="O72" s="12"/>
      <c r="P72" s="12"/>
      <c r="Q72" s="12"/>
      <c r="R72" s="12"/>
      <c r="S72" s="12"/>
      <c r="T72" s="12"/>
      <c r="U72" s="12"/>
      <c r="V72" s="12"/>
      <c r="W72" s="12"/>
      <c r="X72" s="12"/>
      <c r="Y72" s="12"/>
      <c r="Z72" s="117" t="s">
        <v>892</v>
      </c>
      <c r="AA72" s="121">
        <f>COUNTIF('M&amp;E_ESP_FINAL'!$CJ$6:$CJ60,"*Utilizamos un sistema integrado*")</f>
        <v>0</v>
      </c>
      <c r="AB72" s="123" t="str">
        <f t="shared" si="17"/>
        <v>#DIV/0!</v>
      </c>
      <c r="AC72" s="121">
        <f>COUNTIF('M&amp;E_ESP_FINAL'!$CK$6:$CK60,"*Utilizamos un sistema integrado")</f>
        <v>0</v>
      </c>
      <c r="AD72" s="123" t="str">
        <f t="shared" si="18"/>
        <v>#DIV/0!</v>
      </c>
      <c r="AE72" s="12"/>
      <c r="AF72" s="12"/>
      <c r="AG72" s="12"/>
      <c r="AH72" s="12"/>
    </row>
    <row r="73" ht="15.75" customHeight="1">
      <c r="A73" s="12"/>
      <c r="B73" s="12"/>
      <c r="C73" s="96" t="s">
        <v>42</v>
      </c>
      <c r="D73" s="18"/>
      <c r="E73" s="98" t="s">
        <v>43</v>
      </c>
      <c r="F73" s="18"/>
      <c r="G73" s="12"/>
      <c r="H73" s="12"/>
      <c r="I73" s="12"/>
      <c r="J73" s="12"/>
      <c r="K73" s="12"/>
      <c r="L73" s="12"/>
      <c r="M73" s="12"/>
      <c r="N73" s="12"/>
      <c r="O73" s="12"/>
      <c r="P73" s="12"/>
      <c r="Q73" s="12"/>
      <c r="R73" s="12"/>
      <c r="S73" s="12"/>
      <c r="T73" s="12"/>
      <c r="U73" s="12"/>
      <c r="V73" s="12"/>
      <c r="W73" s="12"/>
      <c r="X73" s="12"/>
      <c r="Y73" s="12"/>
      <c r="Z73" s="117" t="s">
        <v>915</v>
      </c>
      <c r="AA73" s="121">
        <f>COUNTIF('M&amp;E_ESP_FINAL'!$CJ$6:$CJ60,"*Utilizamos un ERP empresarial avanzado*")</f>
        <v>0</v>
      </c>
      <c r="AB73" s="123" t="str">
        <f t="shared" si="17"/>
        <v>#DIV/0!</v>
      </c>
      <c r="AC73" s="121">
        <f>COUNTIF('M&amp;E_ESP_FINAL'!$CK$6:$CK60,"*Utilizamos un ERP empresarial avanzado*")</f>
        <v>0</v>
      </c>
      <c r="AD73" s="123" t="str">
        <f t="shared" si="18"/>
        <v>#DIV/0!</v>
      </c>
      <c r="AE73" s="12"/>
      <c r="AF73" s="12"/>
      <c r="AG73" s="12"/>
      <c r="AH73" s="12"/>
    </row>
    <row r="74" ht="15.75" customHeight="1">
      <c r="A74" s="12"/>
      <c r="B74" s="87" t="s">
        <v>132</v>
      </c>
      <c r="C74" s="154">
        <f>COUNTIF('M&amp;E_ESP_FINAL'!$Q$6:$Q60,"Sí")</f>
        <v>0</v>
      </c>
      <c r="D74" s="155" t="str">
        <f>$C$74/$C$76</f>
        <v>#DIV/0!</v>
      </c>
      <c r="E74" s="156">
        <f>COUNTIF('M&amp;E_ESP_FINAL'!$R$6:$R60,"Sí")</f>
        <v>0</v>
      </c>
      <c r="F74" s="155" t="str">
        <f>$E$74/$E$76</f>
        <v>#DIV/0!</v>
      </c>
      <c r="G74" s="12"/>
      <c r="H74" s="12"/>
      <c r="I74" s="12"/>
      <c r="J74" s="12"/>
      <c r="K74" s="12"/>
      <c r="L74" s="12"/>
      <c r="M74" s="12"/>
      <c r="N74" s="12"/>
      <c r="O74" s="157" t="s">
        <v>42</v>
      </c>
      <c r="P74" s="157"/>
      <c r="Q74" s="60" t="s">
        <v>43</v>
      </c>
      <c r="R74" s="60"/>
      <c r="S74" s="12"/>
      <c r="T74" s="12"/>
      <c r="U74" s="12"/>
      <c r="V74" s="12"/>
      <c r="W74" s="12"/>
      <c r="X74" s="12"/>
      <c r="Y74" s="12"/>
      <c r="Z74" s="12"/>
      <c r="AA74" s="65">
        <f>SUM(AA69:AA73)</f>
        <v>0</v>
      </c>
      <c r="AB74" s="12"/>
      <c r="AC74" s="65">
        <f>SUM(AC69:AC73)</f>
        <v>0</v>
      </c>
      <c r="AD74" s="12"/>
      <c r="AE74" s="12"/>
      <c r="AF74" s="12"/>
      <c r="AG74" s="12"/>
      <c r="AH74" s="12"/>
    </row>
    <row r="75" ht="15.75" customHeight="1">
      <c r="A75" s="12"/>
      <c r="B75" s="87" t="s">
        <v>168</v>
      </c>
      <c r="C75" s="121">
        <f>COUNTIF('M&amp;E_ESP_FINAL'!$Q$6:$Q61,"No")</f>
        <v>0</v>
      </c>
      <c r="D75" s="95" t="str">
        <f>$C$75/$C$76</f>
        <v>#DIV/0!</v>
      </c>
      <c r="E75" s="121">
        <f>COUNTIF('M&amp;E_ESP_FINAL'!$R$6:$R61,"No")</f>
        <v>0</v>
      </c>
      <c r="F75" s="95" t="str">
        <f>$E$75/$E$76</f>
        <v>#DIV/0!</v>
      </c>
      <c r="G75" s="12"/>
      <c r="H75" s="12"/>
      <c r="I75" s="12"/>
      <c r="J75" s="12"/>
      <c r="K75" s="12"/>
      <c r="L75" s="12"/>
      <c r="M75" s="12"/>
      <c r="N75" s="28" t="s">
        <v>141</v>
      </c>
      <c r="O75" s="110">
        <f>COUNTIF('M&amp;E_ESP_FINAL'!$AX$6:$AX60,"*Sí*")</f>
        <v>0</v>
      </c>
      <c r="P75" s="95" t="str">
        <f>$O$75/$O$77</f>
        <v>#DIV/0!</v>
      </c>
      <c r="Q75" s="28">
        <f>COUNTIF('M&amp;E_ESP_FINAL'!$AY$6:$AY60,"*Sí*")</f>
        <v>0</v>
      </c>
      <c r="R75" s="95" t="str">
        <f>$Q$75/$Q$77</f>
        <v>#DIV/0!</v>
      </c>
      <c r="S75" s="12"/>
      <c r="T75" s="12"/>
      <c r="U75" s="12"/>
      <c r="V75" s="12"/>
      <c r="W75" s="12"/>
      <c r="X75" s="12"/>
      <c r="Y75" s="12"/>
      <c r="Z75" s="12"/>
      <c r="AA75" s="12"/>
      <c r="AB75" s="12"/>
      <c r="AC75" s="12"/>
      <c r="AD75" s="12"/>
      <c r="AE75" s="12"/>
      <c r="AF75" s="12"/>
      <c r="AG75" s="12"/>
      <c r="AH75" s="12"/>
    </row>
    <row r="76" ht="15.75" customHeight="1">
      <c r="A76" s="12"/>
      <c r="B76" s="12"/>
      <c r="C76" s="65">
        <f>SUM(C74:C75)</f>
        <v>0</v>
      </c>
      <c r="D76" s="12"/>
      <c r="E76" s="65">
        <f>SUM(E74:E75)</f>
        <v>0</v>
      </c>
      <c r="F76" s="12"/>
      <c r="G76" s="12"/>
      <c r="H76" s="12"/>
      <c r="I76" s="12"/>
      <c r="J76" s="12"/>
      <c r="K76" s="12"/>
      <c r="L76" s="12"/>
      <c r="M76" s="12"/>
      <c r="N76" s="28" t="s">
        <v>168</v>
      </c>
      <c r="O76" s="110">
        <f>COUNTIF('M&amp;E_ESP_FINAL'!$AX$6:$AX61,"*No*")</f>
        <v>0</v>
      </c>
      <c r="P76" s="95" t="str">
        <f>$O$76/$O$77</f>
        <v>#DIV/0!</v>
      </c>
      <c r="Q76" s="28">
        <f>COUNTIF('M&amp;E_ESP_FINAL'!$AY$6:$AY61,"*No*")</f>
        <v>0</v>
      </c>
      <c r="R76" s="95" t="str">
        <f>$Q$76/$Q$77</f>
        <v>#DIV/0!</v>
      </c>
      <c r="S76" s="12"/>
      <c r="T76" s="12"/>
      <c r="U76" s="12"/>
      <c r="V76" s="12"/>
      <c r="W76" s="12"/>
      <c r="X76" s="12"/>
      <c r="Y76" s="12"/>
      <c r="Z76" s="19" t="s">
        <v>1028</v>
      </c>
      <c r="AA76" s="12"/>
      <c r="AB76" s="12"/>
      <c r="AC76" s="12"/>
      <c r="AD76" s="12"/>
      <c r="AE76" s="12"/>
      <c r="AF76" s="12"/>
      <c r="AG76" s="12"/>
      <c r="AH76" s="12"/>
    </row>
    <row r="77" ht="15.75" customHeight="1">
      <c r="A77" s="12"/>
      <c r="B77" s="12"/>
      <c r="C77" s="12"/>
      <c r="D77" s="12"/>
      <c r="E77" s="12"/>
      <c r="F77" s="12"/>
      <c r="G77" s="12"/>
      <c r="H77" s="12"/>
      <c r="I77" s="12"/>
      <c r="J77" s="12"/>
      <c r="K77" s="12"/>
      <c r="L77" s="12"/>
      <c r="M77" s="12"/>
      <c r="N77" s="12"/>
      <c r="O77" s="65">
        <f>SUM($O$75:$O$76)</f>
        <v>0</v>
      </c>
      <c r="P77" s="12"/>
      <c r="Q77" s="65">
        <f>SUM($Q$75:$Q$76)</f>
        <v>0</v>
      </c>
      <c r="R77" s="12"/>
      <c r="S77" s="12"/>
      <c r="T77" s="12"/>
      <c r="U77" s="12"/>
      <c r="V77" s="12"/>
      <c r="W77" s="12"/>
      <c r="X77" s="12"/>
      <c r="Y77" s="12"/>
      <c r="Z77" s="12"/>
      <c r="AA77" s="12"/>
      <c r="AB77" s="12"/>
      <c r="AC77" s="12"/>
      <c r="AD77" s="12"/>
      <c r="AE77" s="12"/>
      <c r="AF77" s="12"/>
      <c r="AG77" s="12"/>
      <c r="AH77" s="12"/>
    </row>
    <row r="78" ht="15.75" customHeight="1">
      <c r="A78" s="12"/>
      <c r="B78" s="19" t="s">
        <v>1029</v>
      </c>
      <c r="C78" s="12"/>
      <c r="D78" s="12"/>
      <c r="E78" s="12"/>
      <c r="F78" s="12"/>
      <c r="G78" s="12"/>
      <c r="H78" s="12"/>
      <c r="I78" s="12"/>
      <c r="J78" s="12"/>
      <c r="K78" s="12"/>
      <c r="L78" s="12"/>
      <c r="M78" s="12"/>
      <c r="N78" s="12"/>
      <c r="O78" s="12"/>
      <c r="P78" s="12"/>
      <c r="Q78" s="12"/>
      <c r="R78" s="12"/>
      <c r="S78" s="12"/>
      <c r="T78" s="12"/>
      <c r="U78" s="12"/>
      <c r="V78" s="12"/>
      <c r="W78" s="12"/>
      <c r="X78" s="12"/>
      <c r="Y78" s="12"/>
      <c r="Z78" s="12"/>
      <c r="AA78" s="96" t="s">
        <v>42</v>
      </c>
      <c r="AB78" s="18"/>
      <c r="AC78" s="98" t="s">
        <v>43</v>
      </c>
      <c r="AD78" s="18"/>
      <c r="AE78" s="12"/>
      <c r="AF78" s="12"/>
      <c r="AG78" s="12"/>
      <c r="AH78" s="12"/>
    </row>
    <row r="79" ht="15.75" customHeight="1">
      <c r="A79" s="12"/>
      <c r="B79" s="12"/>
      <c r="C79" s="96" t="s">
        <v>42</v>
      </c>
      <c r="D79" s="18"/>
      <c r="E79" s="98" t="s">
        <v>43</v>
      </c>
      <c r="F79" s="18"/>
      <c r="G79" s="12"/>
      <c r="H79" s="12"/>
      <c r="I79" s="12"/>
      <c r="J79" s="12"/>
      <c r="K79" s="12"/>
      <c r="L79" s="12"/>
      <c r="M79" s="12"/>
      <c r="N79" s="19" t="s">
        <v>1030</v>
      </c>
      <c r="O79" s="12"/>
      <c r="P79" s="12"/>
      <c r="Q79" s="12"/>
      <c r="R79" s="12"/>
      <c r="S79" s="12"/>
      <c r="T79" s="12"/>
      <c r="U79" s="12"/>
      <c r="V79" s="12"/>
      <c r="W79" s="12"/>
      <c r="X79" s="12"/>
      <c r="Y79" s="12"/>
      <c r="Z79" s="117" t="s">
        <v>1031</v>
      </c>
      <c r="AA79" s="121">
        <f>COUNTIF('M&amp;E_ESP_FINAL'!$CL$6:$CL60,"*No utilizamos*")</f>
        <v>0</v>
      </c>
      <c r="AB79" s="123" t="str">
        <f t="shared" ref="AB79:AB83" si="19">AA79/$AA$84</f>
        <v>#DIV/0!</v>
      </c>
      <c r="AC79" s="121">
        <f>COUNTIF('M&amp;E_ESP_FINAL'!$CM$6:$CM60,"*No utilizamos*")</f>
        <v>0</v>
      </c>
      <c r="AD79" s="123" t="str">
        <f t="shared" ref="AD79:AD83" si="20">AC79/$AC$84</f>
        <v>#DIV/0!</v>
      </c>
      <c r="AE79" s="12"/>
      <c r="AF79" s="12"/>
      <c r="AG79" s="12"/>
      <c r="AH79" s="12"/>
    </row>
    <row r="80" ht="15.75" customHeight="1">
      <c r="A80" s="12"/>
      <c r="B80" s="12" t="s">
        <v>132</v>
      </c>
      <c r="C80" s="121">
        <f>COUNTIF('M&amp;E_ESP_FINAL'!$S$6:$S66,"Sí")</f>
        <v>0</v>
      </c>
      <c r="D80" s="95" t="str">
        <f>$C$80/$C$83</f>
        <v>#DIV/0!</v>
      </c>
      <c r="E80" s="121">
        <f>COUNTIF('M&amp;E_ESP_FINAL'!$T$6:$T66,"Sí")</f>
        <v>0</v>
      </c>
      <c r="F80" s="95" t="str">
        <f>$E$80/$E$83</f>
        <v>#DIV/0!</v>
      </c>
      <c r="G80" s="12"/>
      <c r="H80" s="12"/>
      <c r="I80" s="12"/>
      <c r="J80" s="12"/>
      <c r="K80" s="12"/>
      <c r="L80" s="12"/>
      <c r="M80" s="12"/>
      <c r="N80" s="12"/>
      <c r="O80" s="157" t="s">
        <v>42</v>
      </c>
      <c r="P80" s="157"/>
      <c r="Q80" s="60" t="s">
        <v>43</v>
      </c>
      <c r="R80" s="60"/>
      <c r="S80" s="12"/>
      <c r="T80" s="12"/>
      <c r="U80" s="12"/>
      <c r="V80" s="12"/>
      <c r="W80" s="12"/>
      <c r="X80" s="12"/>
      <c r="Y80" s="12"/>
      <c r="Z80" s="117" t="s">
        <v>1039</v>
      </c>
      <c r="AA80" s="121">
        <f>COUNTIF('M&amp;E_ESP_FINAL'!$CL$6:$CL60,"*Utilizamos pagos digitales*")</f>
        <v>0</v>
      </c>
      <c r="AB80" s="123" t="str">
        <f t="shared" si="19"/>
        <v>#DIV/0!</v>
      </c>
      <c r="AC80" s="121">
        <f>COUNTIF('M&amp;E_ESP_FINAL'!$CM$6:$CM60,"*Utilizamos pagos digitales*")</f>
        <v>0</v>
      </c>
      <c r="AD80" s="123" t="str">
        <f t="shared" si="20"/>
        <v>#DIV/0!</v>
      </c>
      <c r="AE80" s="12"/>
      <c r="AF80" s="12"/>
      <c r="AG80" s="12"/>
      <c r="AH80" s="12"/>
    </row>
    <row r="81" ht="15.75" customHeight="1">
      <c r="A81" s="12"/>
      <c r="B81" s="12" t="s">
        <v>168</v>
      </c>
      <c r="C81" s="121">
        <f>COUNTIF('M&amp;E_ESP_FINAL'!$S$6:$S67,"No")</f>
        <v>0</v>
      </c>
      <c r="D81" s="95" t="str">
        <f>$C$81/$C$83</f>
        <v>#DIV/0!</v>
      </c>
      <c r="E81" s="121">
        <f>COUNTIF('M&amp;E_ESP_FINAL'!$T$6:$T67,"No")</f>
        <v>0</v>
      </c>
      <c r="F81" s="95" t="str">
        <f>$E$81/$E$83</f>
        <v>#DIV/0!</v>
      </c>
      <c r="G81" s="12"/>
      <c r="H81" s="12"/>
      <c r="I81" s="12"/>
      <c r="J81" s="12"/>
      <c r="K81" s="12"/>
      <c r="L81" s="12"/>
      <c r="M81" s="12"/>
      <c r="N81" s="158" t="s">
        <v>142</v>
      </c>
      <c r="O81" s="121">
        <f>COUNTIF('M&amp;E_ESP_FINAL'!$AZ$6:$AZ60,"*Menos de 10*")</f>
        <v>0</v>
      </c>
      <c r="P81" s="123" t="str">
        <f t="shared" ref="P81:P84" si="21">O81/$O$85</f>
        <v>#DIV/0!</v>
      </c>
      <c r="Q81" s="121">
        <f>COUNTIF('M&amp;E_ESP_FINAL'!$BA$6:$BA60,"*Menos de 10*")</f>
        <v>0</v>
      </c>
      <c r="R81" s="95" t="str">
        <f t="shared" ref="R81:R84" si="22">Q81/$Q$85</f>
        <v>#DIV/0!</v>
      </c>
      <c r="S81" s="12"/>
      <c r="T81" s="12"/>
      <c r="U81" s="12"/>
      <c r="V81" s="12"/>
      <c r="W81" s="12"/>
      <c r="X81" s="12"/>
      <c r="Y81" s="12"/>
      <c r="Z81" s="117" t="s">
        <v>218</v>
      </c>
      <c r="AA81" s="121">
        <f>COUNTIF('M&amp;E_ESP_FINAL'!$CL$6:$CL60,"*Utilizamos pagos digitales solamente para hacer pagos*")</f>
        <v>0</v>
      </c>
      <c r="AB81" s="123" t="str">
        <f t="shared" si="19"/>
        <v>#DIV/0!</v>
      </c>
      <c r="AC81" s="121">
        <f>COUNTIF('M&amp;E_ESP_FINAL'!$CM$6:$CM60,"*Utilizamos pagos digitales solamente para hacer pagos*")</f>
        <v>0</v>
      </c>
      <c r="AD81" s="123" t="str">
        <f t="shared" si="20"/>
        <v>#DIV/0!</v>
      </c>
      <c r="AE81" s="12"/>
      <c r="AF81" s="12"/>
      <c r="AG81" s="12"/>
      <c r="AH81" s="12"/>
    </row>
    <row r="82" ht="15.75" customHeight="1">
      <c r="A82" s="12"/>
      <c r="B82" s="12" t="s">
        <v>198</v>
      </c>
      <c r="C82" s="121">
        <f>COUNTIF('M&amp;E_ESP_FINAL'!$S$6:$S68,"Parcialmente")</f>
        <v>0</v>
      </c>
      <c r="D82" s="95" t="str">
        <f>$C$82/$C$83</f>
        <v>#DIV/0!</v>
      </c>
      <c r="E82" s="121">
        <f>COUNTIF('M&amp;E_ESP_FINAL'!$T$6:$T68,"Parcialmente")</f>
        <v>0</v>
      </c>
      <c r="F82" s="95" t="str">
        <f>$E$82/$E$83</f>
        <v>#DIV/0!</v>
      </c>
      <c r="G82" s="12"/>
      <c r="H82" s="12"/>
      <c r="I82" s="12"/>
      <c r="J82" s="12"/>
      <c r="K82" s="12"/>
      <c r="L82" s="12"/>
      <c r="M82" s="12"/>
      <c r="N82" s="158" t="s">
        <v>173</v>
      </c>
      <c r="O82" s="121">
        <f>COUNTIF('M&amp;E_ESP_FINAL'!$AZ$6:$AZ60,"*11 a 20*")</f>
        <v>0</v>
      </c>
      <c r="P82" s="123" t="str">
        <f t="shared" si="21"/>
        <v>#DIV/0!</v>
      </c>
      <c r="Q82" s="121">
        <f>COUNTIF('M&amp;E_ESP_FINAL'!$BA$6:$BA60,"*11 a 20*")</f>
        <v>0</v>
      </c>
      <c r="R82" s="95" t="str">
        <f t="shared" si="22"/>
        <v>#DIV/0!</v>
      </c>
      <c r="S82" s="12"/>
      <c r="T82" s="12"/>
      <c r="U82" s="12"/>
      <c r="V82" s="12"/>
      <c r="W82" s="12"/>
      <c r="X82" s="12"/>
      <c r="Y82" s="12"/>
      <c r="Z82" s="117" t="s">
        <v>241</v>
      </c>
      <c r="AA82" s="121">
        <f>COUNTIF('M&amp;E_ESP_FINAL'!$CL$6:$CL60,"*Utilizamos pagos digitales tanto para cobrar como para pagar, pero no regularmente*")</f>
        <v>0</v>
      </c>
      <c r="AB82" s="123" t="str">
        <f t="shared" si="19"/>
        <v>#DIV/0!</v>
      </c>
      <c r="AC82" s="121">
        <f>COUNTIF('M&amp;E_ESP_FINAL'!$CM$6:$CM60,"*Utilizamos pagos digitales tanto para cobrar como para pagar, pero no regularmente*")</f>
        <v>0</v>
      </c>
      <c r="AD82" s="123" t="str">
        <f t="shared" si="20"/>
        <v>#DIV/0!</v>
      </c>
      <c r="AE82" s="12"/>
      <c r="AF82" s="12"/>
      <c r="AG82" s="12"/>
      <c r="AH82" s="12"/>
    </row>
    <row r="83" ht="15.75" customHeight="1">
      <c r="A83" s="12"/>
      <c r="B83" s="87"/>
      <c r="C83" s="65">
        <f>SUM(C80:C82)</f>
        <v>0</v>
      </c>
      <c r="D83" s="12"/>
      <c r="E83" s="65">
        <f>SUM(E80:E81)</f>
        <v>0</v>
      </c>
      <c r="F83" s="12"/>
      <c r="G83" s="12"/>
      <c r="H83" s="12"/>
      <c r="I83" s="12"/>
      <c r="J83" s="12"/>
      <c r="K83" s="12"/>
      <c r="L83" s="12"/>
      <c r="M83" s="12"/>
      <c r="N83" s="158" t="s">
        <v>202</v>
      </c>
      <c r="O83" s="156">
        <f>COUNTIF('M&amp;E_ESP_FINAL'!$AZ$6:$AZ60,"*21 a 50*")</f>
        <v>0</v>
      </c>
      <c r="P83" s="123" t="str">
        <f t="shared" si="21"/>
        <v>#DIV/0!</v>
      </c>
      <c r="Q83" s="121">
        <f>COUNTIF('M&amp;E_ESP_FINAL'!$BA$6:$BA60,"*21 a 50*")</f>
        <v>0</v>
      </c>
      <c r="R83" s="95" t="str">
        <f t="shared" si="22"/>
        <v>#DIV/0!</v>
      </c>
      <c r="S83" s="12"/>
      <c r="T83" s="12"/>
      <c r="U83" s="12"/>
      <c r="V83" s="12"/>
      <c r="W83" s="12"/>
      <c r="X83" s="12"/>
      <c r="Y83" s="12"/>
      <c r="Z83" s="117" t="s">
        <v>260</v>
      </c>
      <c r="AA83" s="121">
        <f>COUNTIF('M&amp;E_ESP_FINAL'!$CL$6:$CL60,"*Utilizamos pagos digitales de manera habitual para la mayoría de transacciones*")</f>
        <v>0</v>
      </c>
      <c r="AB83" s="123" t="str">
        <f t="shared" si="19"/>
        <v>#DIV/0!</v>
      </c>
      <c r="AC83" s="121">
        <f>COUNTIF('M&amp;E_ESP_FINAL'!$CM$6:$CM60,"*Utilizamos pagos digitales de manera habitual para la mayoría de transacciones*")</f>
        <v>0</v>
      </c>
      <c r="AD83" s="123" t="str">
        <f t="shared" si="20"/>
        <v>#DIV/0!</v>
      </c>
      <c r="AE83" s="12"/>
      <c r="AF83" s="12"/>
      <c r="AG83" s="12"/>
      <c r="AH83" s="12"/>
    </row>
    <row r="84" ht="15.75" customHeight="1">
      <c r="A84" s="12"/>
      <c r="B84" s="12"/>
      <c r="C84" s="12"/>
      <c r="D84" s="12"/>
      <c r="E84" s="12"/>
      <c r="F84" s="12"/>
      <c r="G84" s="12"/>
      <c r="H84" s="12"/>
      <c r="I84" s="12"/>
      <c r="J84" s="12"/>
      <c r="K84" s="12"/>
      <c r="L84" s="12"/>
      <c r="M84" s="12"/>
      <c r="N84" s="158" t="s">
        <v>227</v>
      </c>
      <c r="O84" s="121">
        <f>COUNTIF('M&amp;E_ESP_FINAL'!$AZ$6:$AZ60,"*Más de 50*")</f>
        <v>0</v>
      </c>
      <c r="P84" s="160" t="str">
        <f t="shared" si="21"/>
        <v>#DIV/0!</v>
      </c>
      <c r="Q84" s="121">
        <f>COUNTIF('M&amp;E_ESP_FINAL'!$BA$6:$BA60,"*Más de 50*")</f>
        <v>0</v>
      </c>
      <c r="R84" s="95" t="str">
        <f t="shared" si="22"/>
        <v>#DIV/0!</v>
      </c>
      <c r="S84" s="12"/>
      <c r="T84" s="12"/>
      <c r="U84" s="12"/>
      <c r="V84" s="12"/>
      <c r="W84" s="12"/>
      <c r="X84" s="12"/>
      <c r="Y84" s="12"/>
      <c r="Z84" s="12"/>
      <c r="AA84" s="65">
        <f>SUM(AA79:AA83)</f>
        <v>0</v>
      </c>
      <c r="AB84" s="12"/>
      <c r="AC84" s="65">
        <f>SUM(AC79:AC83)</f>
        <v>0</v>
      </c>
      <c r="AD84" s="12"/>
      <c r="AE84" s="12"/>
      <c r="AF84" s="12"/>
      <c r="AG84" s="12"/>
      <c r="AH84" s="12"/>
    </row>
    <row r="85" ht="15.75" customHeight="1">
      <c r="A85" s="12"/>
      <c r="B85" s="12"/>
      <c r="C85" s="12"/>
      <c r="D85" s="12"/>
      <c r="E85" s="12"/>
      <c r="F85" s="12"/>
      <c r="G85" s="12"/>
      <c r="H85" s="12"/>
      <c r="I85" s="12"/>
      <c r="J85" s="12"/>
      <c r="K85" s="12"/>
      <c r="L85" s="12"/>
      <c r="M85" s="12"/>
      <c r="N85" s="12"/>
      <c r="O85" s="65">
        <f>SUM(O81:O84)</f>
        <v>0</v>
      </c>
      <c r="P85" s="12"/>
      <c r="Q85" s="65">
        <f>SUM(Q81:Q84)</f>
        <v>0</v>
      </c>
      <c r="R85" s="12"/>
      <c r="S85" s="12"/>
      <c r="T85" s="12"/>
      <c r="U85" s="12"/>
      <c r="V85" s="12"/>
      <c r="W85" s="12"/>
      <c r="X85" s="12"/>
      <c r="Y85" s="12"/>
      <c r="Z85" s="12"/>
      <c r="AA85" s="12"/>
      <c r="AB85" s="12"/>
      <c r="AC85" s="12"/>
      <c r="AD85" s="12"/>
      <c r="AE85" s="12"/>
      <c r="AF85" s="12"/>
      <c r="AG85" s="12"/>
      <c r="AH85" s="12"/>
    </row>
    <row r="86" ht="27.75" customHeight="1">
      <c r="A86" s="12"/>
      <c r="B86" s="152" t="s">
        <v>1160</v>
      </c>
      <c r="J86" s="12"/>
      <c r="K86" s="12"/>
      <c r="L86" s="12"/>
      <c r="M86" s="12"/>
      <c r="N86" s="19" t="s">
        <v>1166</v>
      </c>
      <c r="O86" s="12"/>
      <c r="P86" s="12"/>
      <c r="Q86" s="12"/>
      <c r="R86" s="12"/>
      <c r="S86" s="12"/>
      <c r="T86" s="12"/>
      <c r="U86" s="12"/>
      <c r="V86" s="12"/>
      <c r="W86" s="12"/>
      <c r="X86" s="12"/>
      <c r="Y86" s="12"/>
      <c r="Z86" s="161" t="s">
        <v>1195</v>
      </c>
      <c r="AA86" s="17"/>
      <c r="AB86" s="17"/>
      <c r="AC86" s="17"/>
      <c r="AD86" s="17"/>
      <c r="AE86" s="17"/>
      <c r="AF86" s="17"/>
      <c r="AG86" s="17"/>
      <c r="AH86" s="18"/>
    </row>
    <row r="87" ht="15.75" customHeight="1">
      <c r="A87" s="12"/>
      <c r="B87" s="12"/>
      <c r="C87" s="96" t="s">
        <v>42</v>
      </c>
      <c r="D87" s="18"/>
      <c r="E87" s="98" t="s">
        <v>43</v>
      </c>
      <c r="F87" s="18"/>
      <c r="G87" s="12"/>
      <c r="H87" s="12"/>
      <c r="I87" s="12"/>
      <c r="J87" s="12"/>
      <c r="K87" s="12"/>
      <c r="L87" s="12"/>
      <c r="M87" s="12"/>
      <c r="N87" s="12"/>
      <c r="O87" s="157" t="s">
        <v>42</v>
      </c>
      <c r="P87" s="157"/>
      <c r="Q87" s="60" t="s">
        <v>43</v>
      </c>
      <c r="R87" s="60"/>
      <c r="S87" s="12"/>
      <c r="T87" s="12"/>
      <c r="U87" s="12"/>
      <c r="V87" s="12"/>
      <c r="W87" s="12"/>
      <c r="X87" s="12"/>
      <c r="Y87" s="12"/>
      <c r="Z87" s="12"/>
      <c r="AA87" s="12"/>
      <c r="AB87" s="12"/>
      <c r="AC87" s="12"/>
      <c r="AD87" s="12"/>
      <c r="AE87" s="12"/>
      <c r="AF87" s="12"/>
      <c r="AG87" s="12"/>
      <c r="AH87" s="12"/>
    </row>
    <row r="88" ht="15.75" customHeight="1">
      <c r="A88" s="12"/>
      <c r="B88" s="12" t="s">
        <v>132</v>
      </c>
      <c r="C88" s="121">
        <f>COUNTIF('M&amp;E_ESP_FINAL'!$U$6:$U74,"Sí")</f>
        <v>0</v>
      </c>
      <c r="D88" s="95" t="str">
        <f>C88/$C$90</f>
        <v>#DIV/0!</v>
      </c>
      <c r="E88" s="121">
        <f>COUNTIF('M&amp;E_ESP_FINAL'!$V$6:$V74,"Sí")</f>
        <v>0</v>
      </c>
      <c r="F88" s="95" t="str">
        <f>$E$88/$E$90</f>
        <v>#DIV/0!</v>
      </c>
      <c r="G88" s="12"/>
      <c r="H88" s="12"/>
      <c r="I88" s="12"/>
      <c r="J88" s="12"/>
      <c r="K88" s="12"/>
      <c r="L88" s="12"/>
      <c r="M88" s="12"/>
      <c r="N88" s="158" t="s">
        <v>142</v>
      </c>
      <c r="O88" s="121">
        <f>COUNTIF('M&amp;E_ESP_FINAL'!$BB$6:$BB60,"*Menos de 10*")</f>
        <v>0</v>
      </c>
      <c r="P88" s="123" t="str">
        <f t="shared" ref="P88:P91" si="23">O88/$O$92</f>
        <v>#DIV/0!</v>
      </c>
      <c r="Q88" s="121">
        <f>COUNTIF('M&amp;E_ESP_FINAL'!$BC$6:$BC60,"*Menos de 10*")</f>
        <v>0</v>
      </c>
      <c r="R88" s="123" t="str">
        <f t="shared" ref="R88:R91" si="24">Q88/$Q$92</f>
        <v>#DIV/0!</v>
      </c>
      <c r="S88" s="12"/>
      <c r="T88" s="12"/>
      <c r="U88" s="12"/>
      <c r="V88" s="12"/>
      <c r="W88" s="12"/>
      <c r="X88" s="12"/>
      <c r="Y88" s="12"/>
      <c r="Z88" s="19" t="s">
        <v>1333</v>
      </c>
      <c r="AA88" s="12"/>
      <c r="AB88" s="12"/>
      <c r="AC88" s="12"/>
      <c r="AD88" s="12"/>
      <c r="AE88" s="12"/>
      <c r="AF88" s="12"/>
      <c r="AG88" s="12"/>
      <c r="AH88" s="12"/>
    </row>
    <row r="89" ht="15.75" customHeight="1">
      <c r="A89" s="12"/>
      <c r="B89" s="12" t="s">
        <v>168</v>
      </c>
      <c r="C89" s="121">
        <f>COUNTIF('M&amp;E_ESP_FINAL'!$U$6:$U75,"No")</f>
        <v>0</v>
      </c>
      <c r="D89" s="95" t="str">
        <f>$C$89/$C$90</f>
        <v>#DIV/0!</v>
      </c>
      <c r="E89" s="121">
        <f>COUNTIF('M&amp;E_ESP_FINAL'!$V$6:$V75,"No")</f>
        <v>0</v>
      </c>
      <c r="F89" s="95" t="str">
        <f>$E$89/$E$90</f>
        <v>#DIV/0!</v>
      </c>
      <c r="G89" s="12"/>
      <c r="H89" s="12"/>
      <c r="I89" s="12"/>
      <c r="J89" s="12"/>
      <c r="K89" s="12"/>
      <c r="L89" s="12"/>
      <c r="M89" s="12"/>
      <c r="N89" s="158" t="s">
        <v>173</v>
      </c>
      <c r="O89" s="121">
        <f>COUNTIF('M&amp;E_ESP_FINAL'!$BB$6:$BB60,"*11 a 20*")</f>
        <v>0</v>
      </c>
      <c r="P89" s="123" t="str">
        <f t="shared" si="23"/>
        <v>#DIV/0!</v>
      </c>
      <c r="Q89" s="121">
        <f>COUNTIF('M&amp;E_ESP_FINAL'!$BC$6:$BC60,"*11 a 20*")</f>
        <v>0</v>
      </c>
      <c r="R89" s="123" t="str">
        <f t="shared" si="24"/>
        <v>#DIV/0!</v>
      </c>
      <c r="S89" s="12"/>
      <c r="T89" s="12"/>
      <c r="U89" s="12"/>
      <c r="V89" s="12"/>
      <c r="W89" s="12"/>
      <c r="X89" s="12"/>
      <c r="Y89" s="12"/>
      <c r="Z89" s="12"/>
      <c r="AA89" s="12"/>
      <c r="AB89" s="12"/>
      <c r="AC89" s="12"/>
      <c r="AD89" s="12"/>
      <c r="AE89" s="12"/>
      <c r="AF89" s="12"/>
      <c r="AG89" s="12"/>
      <c r="AH89" s="12"/>
    </row>
    <row r="90" ht="15.75" customHeight="1">
      <c r="A90" s="12"/>
      <c r="B90" s="12"/>
      <c r="C90" s="65">
        <f>SUM($C$88:$C$89)</f>
        <v>0</v>
      </c>
      <c r="D90" s="12"/>
      <c r="E90" s="65">
        <f>SUM($E$88:$E$89)</f>
        <v>0</v>
      </c>
      <c r="F90" s="12"/>
      <c r="G90" s="12"/>
      <c r="H90" s="12"/>
      <c r="I90" s="12"/>
      <c r="J90" s="12"/>
      <c r="K90" s="12"/>
      <c r="L90" s="12"/>
      <c r="M90" s="12"/>
      <c r="N90" s="158" t="s">
        <v>202</v>
      </c>
      <c r="O90" s="121">
        <f>COUNTIF('M&amp;E_ESP_FINAL'!$BB$6:$BB60,"*21 a 50*")</f>
        <v>0</v>
      </c>
      <c r="P90" s="123" t="str">
        <f t="shared" si="23"/>
        <v>#DIV/0!</v>
      </c>
      <c r="Q90" s="121">
        <f>COUNTIF('M&amp;E_ESP_FINAL'!$BC$6:$BC60,"*21 a 50*")</f>
        <v>0</v>
      </c>
      <c r="R90" s="123" t="str">
        <f t="shared" si="24"/>
        <v>#DIV/0!</v>
      </c>
      <c r="S90" s="12"/>
      <c r="T90" s="12"/>
      <c r="U90" s="12"/>
      <c r="V90" s="12"/>
      <c r="W90" s="12"/>
      <c r="X90" s="12"/>
      <c r="Y90" s="12"/>
      <c r="Z90" s="12"/>
      <c r="AA90" s="96" t="s">
        <v>42</v>
      </c>
      <c r="AB90" s="18"/>
      <c r="AC90" s="98" t="s">
        <v>43</v>
      </c>
      <c r="AD90" s="18"/>
      <c r="AE90" s="12"/>
      <c r="AF90" s="12"/>
      <c r="AG90" s="12"/>
      <c r="AH90" s="12"/>
    </row>
    <row r="91" ht="15.75" customHeight="1">
      <c r="A91" s="12"/>
      <c r="B91" s="12"/>
      <c r="C91" s="12"/>
      <c r="D91" s="12"/>
      <c r="E91" s="12"/>
      <c r="F91" s="12"/>
      <c r="G91" s="12"/>
      <c r="H91" s="12"/>
      <c r="I91" s="12"/>
      <c r="J91" s="12"/>
      <c r="K91" s="12"/>
      <c r="L91" s="12"/>
      <c r="M91" s="12"/>
      <c r="N91" s="158" t="s">
        <v>227</v>
      </c>
      <c r="O91" s="121">
        <f>COUNTIF('M&amp;E_ESP_FINAL'!$BB$6:$BB60,"*Más de 50*")</f>
        <v>0</v>
      </c>
      <c r="P91" s="123" t="str">
        <f t="shared" si="23"/>
        <v>#DIV/0!</v>
      </c>
      <c r="Q91" s="121">
        <f>COUNTIF('M&amp;E_ESP_FINAL'!$BC$6:$BC60,"*Más de 50*")</f>
        <v>0</v>
      </c>
      <c r="R91" s="123" t="str">
        <f t="shared" si="24"/>
        <v>#DIV/0!</v>
      </c>
      <c r="S91" s="12"/>
      <c r="T91" s="12"/>
      <c r="U91" s="12"/>
      <c r="V91" s="12"/>
      <c r="W91" s="12"/>
      <c r="X91" s="12"/>
      <c r="Y91" s="12"/>
      <c r="Z91" s="103" t="s">
        <v>141</v>
      </c>
      <c r="AA91" s="28">
        <f>COUNTIF('M&amp;E_ESP_FINAL'!$CN$6:$CN60,"*Sí*")</f>
        <v>0</v>
      </c>
      <c r="AB91" s="95" t="str">
        <f t="shared" ref="AB91:AB92" si="25">AA91/$AA$93</f>
        <v>#DIV/0!</v>
      </c>
      <c r="AC91" s="28">
        <f>COUNTIF('M&amp;E_ESP_FINAL'!$CO$6:$CO60,"*Sí*")</f>
        <v>0</v>
      </c>
      <c r="AD91" s="95" t="str">
        <f t="shared" ref="AD91:AD92" si="26">AC91/$AC$93</f>
        <v>#DIV/0!</v>
      </c>
      <c r="AE91" s="12"/>
      <c r="AF91" s="12"/>
      <c r="AG91" s="12"/>
      <c r="AH91" s="12"/>
    </row>
    <row r="92" ht="15.75" customHeight="1">
      <c r="A92" s="12"/>
      <c r="B92" s="19" t="s">
        <v>1387</v>
      </c>
      <c r="C92" s="12"/>
      <c r="D92" s="12"/>
      <c r="E92" s="12"/>
      <c r="F92" s="12"/>
      <c r="G92" s="12"/>
      <c r="H92" s="12"/>
      <c r="I92" s="12"/>
      <c r="J92" s="12"/>
      <c r="K92" s="12"/>
      <c r="L92" s="12"/>
      <c r="M92" s="12"/>
      <c r="N92" s="12"/>
      <c r="O92" s="65">
        <f>SUM(O88:O91)</f>
        <v>0</v>
      </c>
      <c r="P92" s="12"/>
      <c r="Q92" s="65">
        <f>SUM(Q88:Q91)</f>
        <v>0</v>
      </c>
      <c r="R92" s="12"/>
      <c r="S92" s="12"/>
      <c r="T92" s="12"/>
      <c r="U92" s="12"/>
      <c r="V92" s="12"/>
      <c r="W92" s="12"/>
      <c r="X92" s="12"/>
      <c r="Y92" s="12"/>
      <c r="Z92" s="103" t="s">
        <v>168</v>
      </c>
      <c r="AA92" s="28">
        <f>COUNTIF('M&amp;E_ESP_FINAL'!$CN$6:$CN60,"*No*")</f>
        <v>0</v>
      </c>
      <c r="AB92" s="95" t="str">
        <f t="shared" si="25"/>
        <v>#DIV/0!</v>
      </c>
      <c r="AC92" s="28">
        <f>COUNTIF('M&amp;E_ESP_FINAL'!$CO$6:$CO60,"*No*")</f>
        <v>0</v>
      </c>
      <c r="AD92" s="95" t="str">
        <f t="shared" si="26"/>
        <v>#DIV/0!</v>
      </c>
      <c r="AE92" s="12"/>
      <c r="AF92" s="12"/>
      <c r="AG92" s="12"/>
      <c r="AH92" s="12"/>
    </row>
    <row r="93" ht="15.75" customHeight="1">
      <c r="A93" s="12"/>
      <c r="B93" s="12"/>
      <c r="C93" s="12"/>
      <c r="D93" s="12"/>
      <c r="E93" s="12"/>
      <c r="F93" s="12"/>
      <c r="G93" s="12"/>
      <c r="H93" s="96" t="s">
        <v>42</v>
      </c>
      <c r="I93" s="18"/>
      <c r="J93" s="98" t="s">
        <v>43</v>
      </c>
      <c r="K93" s="18"/>
      <c r="L93" s="12"/>
      <c r="M93" s="12"/>
      <c r="N93" s="12"/>
      <c r="O93" s="12"/>
      <c r="P93" s="12"/>
      <c r="Q93" s="12"/>
      <c r="R93" s="12"/>
      <c r="S93" s="12"/>
      <c r="T93" s="12"/>
      <c r="U93" s="12"/>
      <c r="V93" s="12"/>
      <c r="W93" s="12"/>
      <c r="X93" s="12"/>
      <c r="Y93" s="12"/>
      <c r="Z93" s="12"/>
      <c r="AA93" s="19">
        <f>SUM(AA91:AA92)</f>
        <v>0</v>
      </c>
      <c r="AB93" s="19"/>
      <c r="AC93" s="19">
        <f>SUM(AC91:AC92)</f>
        <v>0</v>
      </c>
      <c r="AD93" s="12"/>
      <c r="AE93" s="12"/>
      <c r="AF93" s="12"/>
      <c r="AG93" s="12"/>
      <c r="AH93" s="12"/>
    </row>
    <row r="94" ht="15.75" customHeight="1">
      <c r="A94" s="12"/>
      <c r="B94" s="12" t="s">
        <v>137</v>
      </c>
      <c r="C94" s="12"/>
      <c r="D94" s="12"/>
      <c r="E94" s="12"/>
      <c r="F94" s="12"/>
      <c r="G94" s="12"/>
      <c r="H94" s="121">
        <f>COUNTIF('M&amp;E_ESP_FINAL'!$W$6:$W74,"Cámaras de comercio locales, nacionales o internacionales")</f>
        <v>0</v>
      </c>
      <c r="I94" s="123" t="str">
        <f>$H$94/$H$99</f>
        <v>#DIV/0!</v>
      </c>
      <c r="J94" s="121">
        <f>COUNTIF('M&amp;E_ESP_FINAL'!$X$6:$X74,"Cámaras de comercio locales, nacionales o internacionales")</f>
        <v>0</v>
      </c>
      <c r="K94" s="123" t="str">
        <f t="shared" ref="K94:K98" si="27">J94/$J$99</f>
        <v>#DIV/0!</v>
      </c>
      <c r="L94" s="12"/>
      <c r="M94" s="12"/>
      <c r="N94" s="19" t="s">
        <v>1393</v>
      </c>
      <c r="O94" s="12"/>
      <c r="P94" s="12"/>
      <c r="Q94" s="12"/>
      <c r="R94" s="12"/>
      <c r="S94" s="12"/>
      <c r="T94" s="12"/>
      <c r="U94" s="12"/>
      <c r="V94" s="12"/>
      <c r="W94" s="12"/>
      <c r="X94" s="12"/>
      <c r="Y94" s="12"/>
      <c r="Z94" s="12"/>
      <c r="AA94" s="12"/>
      <c r="AB94" s="12"/>
      <c r="AC94" s="12"/>
      <c r="AD94" s="12"/>
      <c r="AE94" s="12"/>
      <c r="AF94" s="12"/>
      <c r="AG94" s="12"/>
      <c r="AH94" s="12"/>
    </row>
    <row r="95" ht="15.75" customHeight="1">
      <c r="A95" s="12"/>
      <c r="B95" s="12" t="s">
        <v>170</v>
      </c>
      <c r="C95" s="12"/>
      <c r="D95" s="12"/>
      <c r="E95" s="12"/>
      <c r="F95" s="12"/>
      <c r="G95" s="12"/>
      <c r="H95" s="121">
        <f>COUNTIF('M&amp;E_ESP_FINAL'!$W$6:$W75,"Redes negocioriales sectoriales ")</f>
        <v>0</v>
      </c>
      <c r="I95" s="123" t="str">
        <f>$H$95/$H$99</f>
        <v>#DIV/0!</v>
      </c>
      <c r="J95" s="121">
        <f>COUNTIF('M&amp;E_ESP_FINAL'!$X$6:$X75,"Redes negocioriales sectoriales ")</f>
        <v>0</v>
      </c>
      <c r="K95" s="123" t="str">
        <f t="shared" si="27"/>
        <v>#DIV/0!</v>
      </c>
      <c r="L95" s="12"/>
      <c r="M95" s="12"/>
      <c r="N95" s="12"/>
      <c r="O95" s="12"/>
      <c r="P95" s="12"/>
      <c r="Q95" s="12"/>
      <c r="R95" s="12"/>
      <c r="S95" s="12"/>
      <c r="T95" s="12"/>
      <c r="U95" s="12"/>
      <c r="V95" s="12"/>
      <c r="W95" s="12"/>
      <c r="X95" s="12"/>
      <c r="Y95" s="12"/>
      <c r="Z95" s="19" t="s">
        <v>1396</v>
      </c>
      <c r="AA95" s="12"/>
      <c r="AB95" s="12"/>
      <c r="AC95" s="12"/>
      <c r="AD95" s="12"/>
      <c r="AE95" s="12"/>
      <c r="AF95" s="12"/>
      <c r="AG95" s="12"/>
      <c r="AH95" s="12"/>
    </row>
    <row r="96" ht="15.75" customHeight="1">
      <c r="A96" s="12"/>
      <c r="B96" s="12" t="s">
        <v>199</v>
      </c>
      <c r="C96" s="12"/>
      <c r="D96" s="12"/>
      <c r="E96" s="12"/>
      <c r="F96" s="12"/>
      <c r="G96" s="12"/>
      <c r="H96" s="121">
        <f>COUNTIF('M&amp;E_ESP_FINAL'!$W$6:$W76,"Redes de sostenibilidad y RSE ")</f>
        <v>0</v>
      </c>
      <c r="I96" s="123" t="str">
        <f>$H$96/$H$99</f>
        <v>#DIV/0!</v>
      </c>
      <c r="J96" s="121">
        <f>COUNTIF('M&amp;E_ESP_FINAL'!$X$6:$X76,"Redes de sostenibilidad y RSE ")</f>
        <v>0</v>
      </c>
      <c r="K96" s="123" t="str">
        <f t="shared" si="27"/>
        <v>#DIV/0!</v>
      </c>
      <c r="L96" s="12"/>
      <c r="M96" s="12"/>
      <c r="N96" s="12"/>
      <c r="O96" s="96" t="s">
        <v>42</v>
      </c>
      <c r="P96" s="18"/>
      <c r="Q96" s="98" t="s">
        <v>43</v>
      </c>
      <c r="R96" s="18"/>
      <c r="S96" s="12"/>
      <c r="T96" s="12"/>
      <c r="U96" s="12"/>
      <c r="V96" s="12"/>
      <c r="W96" s="12"/>
      <c r="X96" s="12"/>
      <c r="Y96" s="12"/>
      <c r="Z96" s="12"/>
      <c r="AA96" s="12"/>
      <c r="AB96" s="12"/>
      <c r="AC96" s="12"/>
      <c r="AD96" s="12"/>
      <c r="AE96" s="12"/>
      <c r="AF96" s="12"/>
      <c r="AG96" s="12"/>
      <c r="AH96" s="12"/>
    </row>
    <row r="97" ht="15.75" customHeight="1">
      <c r="A97" s="12"/>
      <c r="B97" s="12" t="s">
        <v>226</v>
      </c>
      <c r="C97" s="12"/>
      <c r="D97" s="12"/>
      <c r="E97" s="12"/>
      <c r="F97" s="12"/>
      <c r="G97" s="12"/>
      <c r="H97" s="121">
        <f>COUNTIF('M&amp;E_ESP_FINAL'!$W$6:$W77,"Incubadoras y aceleradoras")</f>
        <v>0</v>
      </c>
      <c r="I97" s="123" t="str">
        <f>$H$97/$H$99</f>
        <v>#DIV/0!</v>
      </c>
      <c r="J97" s="121">
        <f>COUNTIF('M&amp;E_ESP_FINAL'!$X$6:$X77,"Incubadoras y aceleradoras")</f>
        <v>0</v>
      </c>
      <c r="K97" s="123" t="str">
        <f t="shared" si="27"/>
        <v>#DIV/0!</v>
      </c>
      <c r="L97" s="12"/>
      <c r="M97" s="12"/>
      <c r="N97" s="12"/>
      <c r="O97" s="103" t="str">
        <f>MEDIAN('M&amp;E_ESP_FINAL'!$BD$6:$BD143)</f>
        <v>#NUM!</v>
      </c>
      <c r="P97" s="106"/>
      <c r="Q97" s="103" t="str">
        <f>MEDIAN('M&amp;E_ESP_FINAL'!$BE$6:$BE143)</f>
        <v>#NUM!</v>
      </c>
      <c r="R97" s="110"/>
      <c r="S97" s="12"/>
      <c r="T97" s="12"/>
      <c r="U97" s="12"/>
      <c r="V97" s="12"/>
      <c r="W97" s="12"/>
      <c r="X97" s="12"/>
      <c r="Y97" s="12"/>
      <c r="Z97" s="12"/>
      <c r="AA97" s="12"/>
      <c r="AB97" s="12"/>
      <c r="AC97" s="12"/>
      <c r="AD97" s="12"/>
      <c r="AE97" s="12"/>
      <c r="AF97" s="12"/>
      <c r="AG97" s="12"/>
      <c r="AH97" s="12"/>
    </row>
    <row r="98" ht="15.75" customHeight="1">
      <c r="A98" s="12"/>
      <c r="B98" s="12" t="s">
        <v>248</v>
      </c>
      <c r="C98" s="12"/>
      <c r="D98" s="12"/>
      <c r="E98" s="12"/>
      <c r="F98" s="12"/>
      <c r="G98" s="12"/>
      <c r="H98" s="121">
        <f>COUNTIF('M&amp;E_ESP_FINAL'!$W$6:$W78,"Comunidades digitales de negocios (LinkedIn Groups, plataformas B2B)")</f>
        <v>0</v>
      </c>
      <c r="I98" s="123" t="str">
        <f>$H$98/$H$99</f>
        <v>#DIV/0!</v>
      </c>
      <c r="J98" s="121">
        <f>COUNTIF('M&amp;E_ESP_FINAL'!$X$6:$X78,"Comunidades digitales de negocios (LinkedIn Groups, plataformas B2B)")</f>
        <v>0</v>
      </c>
      <c r="K98" s="123" t="str">
        <f t="shared" si="27"/>
        <v>#DIV/0!</v>
      </c>
      <c r="L98" s="12"/>
      <c r="M98" s="12"/>
      <c r="N98" s="12"/>
      <c r="O98" s="12"/>
      <c r="P98" s="12"/>
      <c r="Q98" s="12"/>
      <c r="R98" s="12"/>
      <c r="S98" s="12"/>
      <c r="T98" s="12"/>
      <c r="U98" s="12"/>
      <c r="V98" s="12"/>
      <c r="W98" s="12"/>
      <c r="X98" s="12"/>
      <c r="Y98" s="12"/>
      <c r="Z98" s="12"/>
      <c r="AA98" s="96" t="s">
        <v>42</v>
      </c>
      <c r="AB98" s="18"/>
      <c r="AC98" s="98" t="s">
        <v>43</v>
      </c>
      <c r="AD98" s="18"/>
      <c r="AE98" s="12"/>
      <c r="AF98" s="12"/>
      <c r="AG98" s="12"/>
      <c r="AH98" s="12"/>
    </row>
    <row r="99" ht="15.75" customHeight="1">
      <c r="A99" s="12"/>
      <c r="B99" s="12"/>
      <c r="C99" s="12"/>
      <c r="D99" s="12"/>
      <c r="E99" s="12"/>
      <c r="F99" s="12"/>
      <c r="G99" s="12"/>
      <c r="H99" s="65">
        <f>SUM($H$94:$H$98)</f>
        <v>0</v>
      </c>
      <c r="I99" s="12"/>
      <c r="J99" s="65">
        <f>SUM($J$94:$J$98)</f>
        <v>0</v>
      </c>
      <c r="K99" s="12"/>
      <c r="L99" s="12"/>
      <c r="M99" s="12"/>
      <c r="N99" s="12"/>
      <c r="O99" s="12"/>
      <c r="P99" s="12"/>
      <c r="Q99" s="12"/>
      <c r="R99" s="12"/>
      <c r="S99" s="12"/>
      <c r="T99" s="12"/>
      <c r="U99" s="12"/>
      <c r="V99" s="12"/>
      <c r="W99" s="12"/>
      <c r="X99" s="12"/>
      <c r="Y99" s="12"/>
      <c r="Z99" s="176">
        <v>0.0</v>
      </c>
      <c r="AA99" s="121">
        <f>COUNTIF('M&amp;E_ESP_FINAL'!$CP$6:$CP60,"*0%*")</f>
        <v>0</v>
      </c>
      <c r="AB99" s="123" t="str">
        <f t="shared" ref="AB99:AB103" si="28">AA99/$AA$104</f>
        <v>#DIV/0!</v>
      </c>
      <c r="AC99" s="121">
        <f>COUNTIF('M&amp;E_ESP_FINAL'!$CQ$6:$CQ60,"*0%*")</f>
        <v>0</v>
      </c>
      <c r="AD99" s="123" t="str">
        <f t="shared" ref="AD99:AD103" si="29">AC99/$AC$104</f>
        <v>#DIV/0!</v>
      </c>
      <c r="AE99" s="12"/>
      <c r="AF99" s="12"/>
      <c r="AG99" s="12"/>
      <c r="AH99" s="12"/>
    </row>
    <row r="100" ht="15.75" customHeight="1">
      <c r="A100" s="12"/>
      <c r="B100" s="12"/>
      <c r="C100" s="12"/>
      <c r="D100" s="12"/>
      <c r="E100" s="12"/>
      <c r="F100" s="12"/>
      <c r="G100" s="12"/>
      <c r="H100" s="12"/>
      <c r="I100" s="12"/>
      <c r="J100" s="12"/>
      <c r="K100" s="12"/>
      <c r="L100" s="12"/>
      <c r="M100" s="12"/>
      <c r="N100" s="19" t="s">
        <v>1397</v>
      </c>
      <c r="O100" s="12"/>
      <c r="P100" s="12"/>
      <c r="Q100" s="12"/>
      <c r="R100" s="12"/>
      <c r="S100" s="12"/>
      <c r="T100" s="12"/>
      <c r="U100" s="12"/>
      <c r="V100" s="12"/>
      <c r="W100" s="12"/>
      <c r="X100" s="12"/>
      <c r="Y100" s="12"/>
      <c r="Z100" s="117" t="s">
        <v>1398</v>
      </c>
      <c r="AA100" s="121">
        <f>COUNTIF('M&amp;E_ESP_FINAL'!$CP$6:$CP60,"*1% - 25%*")</f>
        <v>0</v>
      </c>
      <c r="AB100" s="123" t="str">
        <f t="shared" si="28"/>
        <v>#DIV/0!</v>
      </c>
      <c r="AC100" s="121">
        <f>COUNTIF('M&amp;E_ESP_FINAL'!$CQ$6:$CQ60,"*1% - 25%*")</f>
        <v>0</v>
      </c>
      <c r="AD100" s="123" t="str">
        <f t="shared" si="29"/>
        <v>#DIV/0!</v>
      </c>
      <c r="AE100" s="12"/>
      <c r="AF100" s="12"/>
      <c r="AG100" s="12"/>
      <c r="AH100" s="12"/>
    </row>
    <row r="101" ht="31.5" customHeight="1">
      <c r="A101" s="12"/>
      <c r="B101" s="152" t="s">
        <v>1401</v>
      </c>
      <c r="J101" s="12"/>
      <c r="K101" s="12"/>
      <c r="L101" s="12"/>
      <c r="M101" s="12"/>
      <c r="N101" s="12"/>
      <c r="O101" s="96" t="s">
        <v>42</v>
      </c>
      <c r="P101" s="18"/>
      <c r="Q101" s="98" t="s">
        <v>43</v>
      </c>
      <c r="R101" s="18"/>
      <c r="S101" s="12"/>
      <c r="T101" s="12"/>
      <c r="U101" s="12"/>
      <c r="V101" s="12"/>
      <c r="W101" s="12"/>
      <c r="X101" s="12"/>
      <c r="Y101" s="12"/>
      <c r="Z101" s="117" t="s">
        <v>1402</v>
      </c>
      <c r="AA101" s="121">
        <f>COUNTIF('M&amp;E_ESP_FINAL'!$CP$6:$CP60,"*26% - 50%*")</f>
        <v>0</v>
      </c>
      <c r="AB101" s="123" t="str">
        <f t="shared" si="28"/>
        <v>#DIV/0!</v>
      </c>
      <c r="AC101" s="121">
        <f>COUNTIF('M&amp;E_ESP_FINAL'!$CQ$6:$CQ60,"*26% - 50%*")</f>
        <v>0</v>
      </c>
      <c r="AD101" s="123" t="str">
        <f t="shared" si="29"/>
        <v>#DIV/0!</v>
      </c>
      <c r="AE101" s="12"/>
      <c r="AF101" s="12"/>
      <c r="AG101" s="12"/>
      <c r="AH101" s="12"/>
    </row>
    <row r="102" ht="15.75" customHeight="1">
      <c r="A102" s="12"/>
      <c r="B102" s="12"/>
      <c r="C102" s="12"/>
      <c r="D102" s="12"/>
      <c r="E102" s="12"/>
      <c r="F102" s="12"/>
      <c r="G102" s="12"/>
      <c r="H102" s="12"/>
      <c r="I102" s="12"/>
      <c r="J102" s="12"/>
      <c r="K102" s="12"/>
      <c r="L102" s="65" t="s">
        <v>64</v>
      </c>
      <c r="M102" s="65"/>
      <c r="N102" s="117" t="s">
        <v>143</v>
      </c>
      <c r="O102" s="28">
        <f>COUNTIF('M&amp;E_ESP_FINAL'!$BF$6:$BF60,"*Tienda física*")</f>
        <v>0</v>
      </c>
      <c r="P102" s="95" t="str">
        <f t="shared" ref="P102:P108" si="30">O102/$O$109</f>
        <v>#DIV/0!</v>
      </c>
      <c r="Q102" s="28">
        <f>COUNTIF('M&amp;E_ESP_FINAL'!$BG$6:$BG60,"*Tienda física*")</f>
        <v>0</v>
      </c>
      <c r="R102" s="95" t="str">
        <f t="shared" ref="R102:R108" si="31">Q102/$Q$109</f>
        <v>#DIV/0!</v>
      </c>
      <c r="S102" s="12"/>
      <c r="T102" s="12"/>
      <c r="U102" s="12"/>
      <c r="V102" s="12"/>
      <c r="W102" s="12"/>
      <c r="X102" s="12"/>
      <c r="Y102" s="12"/>
      <c r="Z102" s="117" t="s">
        <v>1403</v>
      </c>
      <c r="AA102" s="121">
        <f>COUNTIF('M&amp;E_ESP_FINAL'!$CP$6:$CP60,"*51% - 75%*")</f>
        <v>0</v>
      </c>
      <c r="AB102" s="123" t="str">
        <f t="shared" si="28"/>
        <v>#DIV/0!</v>
      </c>
      <c r="AC102" s="121">
        <f>COUNTIF('M&amp;E_ESP_FINAL'!$CQ$6:$CQ60,"*51% - 75%*")</f>
        <v>0</v>
      </c>
      <c r="AD102" s="123" t="str">
        <f t="shared" si="29"/>
        <v>#DIV/0!</v>
      </c>
      <c r="AE102" s="12"/>
      <c r="AF102" s="12"/>
      <c r="AG102" s="12"/>
      <c r="AH102" s="12"/>
    </row>
    <row r="103" ht="15.75" customHeight="1">
      <c r="A103" s="12"/>
      <c r="B103" s="179" t="s">
        <v>138</v>
      </c>
      <c r="C103" s="12"/>
      <c r="D103" s="12"/>
      <c r="E103" s="12"/>
      <c r="F103" s="12"/>
      <c r="G103" s="12"/>
      <c r="H103" s="12"/>
      <c r="I103" s="12"/>
      <c r="J103" s="12"/>
      <c r="K103" s="158">
        <f>COUNTIF('M&amp;E_ESP_FINAL'!$Y$6:$Y74,"*Sí, hemos recibido capacitación formal en gestión y operación del negocio.*")</f>
        <v>0</v>
      </c>
      <c r="L103" s="123" t="str">
        <f>$K$103/$K$106</f>
        <v>#DIV/0!</v>
      </c>
      <c r="M103" s="87"/>
      <c r="N103" s="117" t="s">
        <v>174</v>
      </c>
      <c r="O103" s="28">
        <f>COUNTIF('M&amp;E_ESP_FINAL'!$BF$6:$BF60,"*Página web propia*")</f>
        <v>0</v>
      </c>
      <c r="P103" s="95" t="str">
        <f t="shared" si="30"/>
        <v>#DIV/0!</v>
      </c>
      <c r="Q103" s="28">
        <f>COUNTIF('M&amp;E_ESP_FINAL'!$BG$6:$BG60,"*Página web propia*")</f>
        <v>0</v>
      </c>
      <c r="R103" s="95" t="str">
        <f t="shared" si="31"/>
        <v>#DIV/0!</v>
      </c>
      <c r="S103" s="12"/>
      <c r="T103" s="12"/>
      <c r="U103" s="12"/>
      <c r="V103" s="12"/>
      <c r="W103" s="12"/>
      <c r="X103" s="12"/>
      <c r="Y103" s="12"/>
      <c r="Z103" s="117" t="s">
        <v>1404</v>
      </c>
      <c r="AA103" s="121">
        <f>COUNTIF('M&amp;E_ESP_FINAL'!$CP$6:$CP60,"*76% - 100%*")</f>
        <v>0</v>
      </c>
      <c r="AB103" s="123" t="str">
        <f t="shared" si="28"/>
        <v>#DIV/0!</v>
      </c>
      <c r="AC103" s="121">
        <f>COUNTIF('M&amp;E_ESP_FINAL'!$CQ$6:$CQ60,"*76% - 100%*")</f>
        <v>0</v>
      </c>
      <c r="AD103" s="123" t="str">
        <f t="shared" si="29"/>
        <v>#DIV/0!</v>
      </c>
      <c r="AE103" s="12"/>
      <c r="AF103" s="12"/>
      <c r="AG103" s="12"/>
      <c r="AH103" s="12"/>
    </row>
    <row r="104" ht="15.75" customHeight="1">
      <c r="A104" s="12"/>
      <c r="B104" s="179" t="s">
        <v>171</v>
      </c>
      <c r="C104" s="12"/>
      <c r="D104" s="12"/>
      <c r="E104" s="12"/>
      <c r="F104" s="12"/>
      <c r="G104" s="12"/>
      <c r="H104" s="12"/>
      <c r="I104" s="12"/>
      <c r="J104" s="12"/>
      <c r="K104" s="158">
        <f>COUNTIF('M&amp;E_ESP_FINAL'!$Y$6:$Y75,"*Estamos en proceso de recibir capacitación (inscritos o participando actualmente en un curso).*")</f>
        <v>0</v>
      </c>
      <c r="L104" s="123" t="str">
        <f>$K$104/$K$106</f>
        <v>#DIV/0!</v>
      </c>
      <c r="M104" s="87"/>
      <c r="N104" s="117" t="s">
        <v>203</v>
      </c>
      <c r="O104" s="28">
        <f>COUNTIF('M&amp;E_ESP_FINAL'!$BF$6:$BF60,"*Redes sociales*")</f>
        <v>0</v>
      </c>
      <c r="P104" s="95" t="str">
        <f t="shared" si="30"/>
        <v>#DIV/0!</v>
      </c>
      <c r="Q104" s="28">
        <f>COUNTIF('M&amp;E_ESP_FINAL'!$BG$6:$BG60,"*Redes sociales*")</f>
        <v>0</v>
      </c>
      <c r="R104" s="95" t="str">
        <f t="shared" si="31"/>
        <v>#DIV/0!</v>
      </c>
      <c r="S104" s="12"/>
      <c r="T104" s="12"/>
      <c r="U104" s="12"/>
      <c r="V104" s="12"/>
      <c r="W104" s="12"/>
      <c r="X104" s="12"/>
      <c r="Y104" s="12"/>
      <c r="Z104" s="12"/>
      <c r="AA104" s="65">
        <f>SUM(AA99:AA103)</f>
        <v>0</v>
      </c>
      <c r="AB104" s="12"/>
      <c r="AC104" s="65">
        <f>SUM(AC99:AC103)</f>
        <v>0</v>
      </c>
      <c r="AD104" s="12"/>
      <c r="AE104" s="12"/>
      <c r="AF104" s="12"/>
      <c r="AG104" s="12"/>
      <c r="AH104" s="12"/>
    </row>
    <row r="105" ht="15.75" customHeight="1">
      <c r="A105" s="12"/>
      <c r="B105" s="179" t="s">
        <v>200</v>
      </c>
      <c r="C105" s="12"/>
      <c r="D105" s="12"/>
      <c r="E105" s="12"/>
      <c r="F105" s="12"/>
      <c r="G105" s="12"/>
      <c r="H105" s="12"/>
      <c r="I105" s="12"/>
      <c r="J105" s="12"/>
      <c r="K105" s="158">
        <f>COUNTIF('M&amp;E_ESP_FINAL'!$Y$6:$Y76,"*No, no hemos recibido capacitación formal en gestión y operación del negocio.*")</f>
        <v>0</v>
      </c>
      <c r="L105" s="123" t="str">
        <f>$K$105/$K$106</f>
        <v>#DIV/0!</v>
      </c>
      <c r="M105" s="87"/>
      <c r="N105" s="117" t="s">
        <v>228</v>
      </c>
      <c r="O105" s="28">
        <f>COUNTIF('M&amp;E_ESP_FINAL'!$BF$6:$BF60,"*Distribuidores / Mayoristas*")</f>
        <v>0</v>
      </c>
      <c r="P105" s="95" t="str">
        <f t="shared" si="30"/>
        <v>#DIV/0!</v>
      </c>
      <c r="Q105" s="28">
        <f>COUNTIF('M&amp;E_ESP_FINAL'!$BG$6:$BG60,"*Distribuidores / Mayoristas*")</f>
        <v>0</v>
      </c>
      <c r="R105" s="95" t="str">
        <f t="shared" si="31"/>
        <v>#DIV/0!</v>
      </c>
      <c r="S105" s="12"/>
      <c r="T105" s="12"/>
      <c r="U105" s="12"/>
      <c r="V105" s="12"/>
      <c r="W105" s="12"/>
      <c r="X105" s="12"/>
      <c r="Y105" s="12"/>
      <c r="Z105" s="12"/>
      <c r="AA105" s="12"/>
      <c r="AB105" s="12"/>
      <c r="AC105" s="12"/>
      <c r="AD105" s="12"/>
      <c r="AE105" s="12"/>
      <c r="AF105" s="12"/>
      <c r="AG105" s="12"/>
      <c r="AH105" s="12"/>
    </row>
    <row r="106" ht="15.75" customHeight="1">
      <c r="A106" s="12"/>
      <c r="B106" s="12"/>
      <c r="C106" s="12"/>
      <c r="D106" s="12"/>
      <c r="E106" s="12"/>
      <c r="F106" s="12"/>
      <c r="G106" s="12"/>
      <c r="H106" s="12"/>
      <c r="I106" s="12"/>
      <c r="J106" s="12"/>
      <c r="K106" s="65">
        <f>SUM($K$103:$K$105)</f>
        <v>0</v>
      </c>
      <c r="L106" s="12"/>
      <c r="M106" s="12"/>
      <c r="N106" s="117" t="s">
        <v>1405</v>
      </c>
      <c r="O106" s="28">
        <f>COUNTIF('M&amp;E_ESP_FINAL'!$BF$6:$BF60,"*Marketplaces*")</f>
        <v>0</v>
      </c>
      <c r="P106" s="95" t="str">
        <f t="shared" si="30"/>
        <v>#DIV/0!</v>
      </c>
      <c r="Q106" s="28">
        <f>COUNTIF('M&amp;E_ESP_FINAL'!$BG$6:$BG60,"*Marketplaces*")</f>
        <v>0</v>
      </c>
      <c r="R106" s="95" t="str">
        <f t="shared" si="31"/>
        <v>#DIV/0!</v>
      </c>
      <c r="S106" s="12"/>
      <c r="T106" s="12"/>
      <c r="U106" s="12"/>
      <c r="V106" s="12"/>
      <c r="W106" s="12"/>
      <c r="X106" s="12"/>
      <c r="Y106" s="12"/>
      <c r="Z106" s="19" t="s">
        <v>1406</v>
      </c>
      <c r="AA106" s="12"/>
      <c r="AB106" s="12"/>
      <c r="AC106" s="12"/>
      <c r="AD106" s="12"/>
      <c r="AE106" s="12"/>
      <c r="AF106" s="12"/>
      <c r="AG106" s="12"/>
      <c r="AH106" s="12"/>
    </row>
    <row r="107" ht="15.75" customHeight="1">
      <c r="A107" s="12"/>
      <c r="B107" s="12"/>
      <c r="C107" s="12"/>
      <c r="D107" s="12"/>
      <c r="E107" s="12"/>
      <c r="F107" s="12"/>
      <c r="G107" s="12"/>
      <c r="H107" s="12"/>
      <c r="I107" s="12"/>
      <c r="J107" s="12"/>
      <c r="K107" s="12"/>
      <c r="L107" s="12"/>
      <c r="M107" s="12"/>
      <c r="N107" s="117" t="s">
        <v>1407</v>
      </c>
      <c r="O107" s="28">
        <f>COUNTIF('M&amp;E_ESP_FINAL'!$BF$6:$BF60,"*Fuerza de ventas/ ventas directas*")</f>
        <v>0</v>
      </c>
      <c r="P107" s="95" t="str">
        <f t="shared" si="30"/>
        <v>#DIV/0!</v>
      </c>
      <c r="Q107" s="28">
        <f>COUNTIF('M&amp;E_ESP_FINAL'!$BG$6:$BG60,"*Fuerza de ventas/ ventas directas*")</f>
        <v>0</v>
      </c>
      <c r="R107" s="95" t="str">
        <f t="shared" si="31"/>
        <v>#DIV/0!</v>
      </c>
      <c r="S107" s="12"/>
      <c r="T107" s="12"/>
      <c r="U107" s="12"/>
      <c r="V107" s="12"/>
      <c r="W107" s="12"/>
      <c r="X107" s="12"/>
      <c r="Y107" s="12"/>
      <c r="Z107" s="12"/>
      <c r="AA107" s="96" t="s">
        <v>42</v>
      </c>
      <c r="AB107" s="18"/>
      <c r="AC107" s="98" t="s">
        <v>43</v>
      </c>
      <c r="AD107" s="18"/>
      <c r="AE107" s="12"/>
      <c r="AF107" s="12"/>
      <c r="AG107" s="12"/>
      <c r="AH107" s="12"/>
    </row>
    <row r="108" ht="15.75" customHeight="1">
      <c r="A108" s="12"/>
      <c r="B108" s="12"/>
      <c r="C108" s="12"/>
      <c r="D108" s="12"/>
      <c r="E108" s="12"/>
      <c r="F108" s="12"/>
      <c r="G108" s="12"/>
      <c r="H108" s="12"/>
      <c r="I108" s="12"/>
      <c r="J108" s="12"/>
      <c r="K108" s="12"/>
      <c r="L108" s="12"/>
      <c r="M108" s="12"/>
      <c r="N108" s="180" t="s">
        <v>266</v>
      </c>
      <c r="O108" s="28">
        <f>COUNTIF('M&amp;E_ESP_FINAL'!$BF$6:$BF60,"*Otros*")</f>
        <v>0</v>
      </c>
      <c r="P108" s="95" t="str">
        <f t="shared" si="30"/>
        <v>#DIV/0!</v>
      </c>
      <c r="Q108" s="28">
        <f>COUNTIF('M&amp;E_ESP_FINAL'!$BG$6:$BG60,"*Otros*")</f>
        <v>0</v>
      </c>
      <c r="R108" s="95" t="str">
        <f t="shared" si="31"/>
        <v>#DIV/0!</v>
      </c>
      <c r="S108" s="12"/>
      <c r="T108" s="12"/>
      <c r="U108" s="12"/>
      <c r="V108" s="12"/>
      <c r="W108" s="12"/>
      <c r="X108" s="12"/>
      <c r="Y108" s="12"/>
      <c r="Z108" s="117" t="s">
        <v>1409</v>
      </c>
      <c r="AA108" s="121">
        <f>COUNTIF('M&amp;E_ESP_FINAL'!$CR$6:$CR60,"*No contamos con un plan de continuidad*")</f>
        <v>0</v>
      </c>
      <c r="AB108" s="123" t="str">
        <f t="shared" ref="AB108:AB111" si="32">AA108/$AA$112</f>
        <v>#DIV/0!</v>
      </c>
      <c r="AC108" s="121">
        <f>COUNTIF('M&amp;E_ESP_FINAL'!$CS$6:$CS60,"*No contamos con un plan de continuidad*")</f>
        <v>0</v>
      </c>
      <c r="AD108" s="123" t="str">
        <f t="shared" ref="AD108:AD111" si="33">AC108/$AC$112</f>
        <v>#DIV/0!</v>
      </c>
      <c r="AE108" s="12"/>
      <c r="AF108" s="12"/>
      <c r="AG108" s="12"/>
      <c r="AH108" s="12"/>
    </row>
    <row r="109" ht="15.75" customHeight="1">
      <c r="A109" s="12"/>
      <c r="B109" s="12"/>
      <c r="C109" s="12"/>
      <c r="D109" s="12"/>
      <c r="E109" s="12"/>
      <c r="F109" s="12"/>
      <c r="G109" s="12"/>
      <c r="H109" s="12"/>
      <c r="I109" s="12"/>
      <c r="J109" s="12"/>
      <c r="K109" s="12"/>
      <c r="L109" s="12"/>
      <c r="M109" s="12"/>
      <c r="N109" s="12"/>
      <c r="O109" s="65">
        <f>SUM(O102:O108)</f>
        <v>0</v>
      </c>
      <c r="P109" s="87"/>
      <c r="Q109" s="65">
        <f>SUM(Q102:Q108)</f>
        <v>0</v>
      </c>
      <c r="R109" s="12"/>
      <c r="S109" s="12"/>
      <c r="T109" s="12"/>
      <c r="U109" s="12"/>
      <c r="V109" s="12"/>
      <c r="W109" s="12"/>
      <c r="X109" s="12"/>
      <c r="Y109" s="12"/>
      <c r="Z109" s="117" t="s">
        <v>1413</v>
      </c>
      <c r="AA109" s="121">
        <f>COUNTIF('M&amp;E_ESP_FINAL'!$CR$6:$CR60,"*Contamos con acciones informales para emergencias*")</f>
        <v>0</v>
      </c>
      <c r="AB109" s="123" t="str">
        <f t="shared" si="32"/>
        <v>#DIV/0!</v>
      </c>
      <c r="AC109" s="121">
        <f>COUNTIF('M&amp;E_ESP_FINAL'!$CS$6:$CS60,"*Contamos con acciones informales para emergencias*")</f>
        <v>0</v>
      </c>
      <c r="AD109" s="123" t="str">
        <f t="shared" si="33"/>
        <v>#DIV/0!</v>
      </c>
      <c r="AE109" s="12"/>
      <c r="AF109" s="12"/>
      <c r="AG109" s="12"/>
      <c r="AH109" s="12"/>
    </row>
    <row r="110" ht="15.75" customHeight="1">
      <c r="A110" s="12"/>
      <c r="B110" s="12"/>
      <c r="C110" s="12"/>
      <c r="D110" s="12"/>
      <c r="E110" s="12"/>
      <c r="F110" s="12"/>
      <c r="G110" s="12"/>
      <c r="H110" s="12"/>
      <c r="I110" s="12"/>
      <c r="J110" s="12"/>
      <c r="K110" s="12"/>
      <c r="L110" s="12"/>
      <c r="M110" s="12"/>
      <c r="N110" s="19" t="s">
        <v>1416</v>
      </c>
      <c r="O110" s="12"/>
      <c r="P110" s="12"/>
      <c r="Q110" s="12"/>
      <c r="R110" s="12"/>
      <c r="S110" s="12"/>
      <c r="T110" s="12"/>
      <c r="U110" s="12"/>
      <c r="V110" s="12"/>
      <c r="W110" s="12"/>
      <c r="X110" s="12"/>
      <c r="Y110" s="12"/>
      <c r="Z110" s="117" t="s">
        <v>220</v>
      </c>
      <c r="AA110" s="121">
        <f>COUNTIF('M&amp;E_ESP_FINAL'!$CR$6:$CR60,"*Contamos con un plan de continuidad del negocio, pero necesita actualización*")</f>
        <v>0</v>
      </c>
      <c r="AB110" s="123" t="str">
        <f t="shared" si="32"/>
        <v>#DIV/0!</v>
      </c>
      <c r="AC110" s="121">
        <f>COUNTIF('M&amp;E_ESP_FINAL'!$CS$6:$CS60,"*Contamos con un plan de continuidad del negocio, pero necesita actualización*")</f>
        <v>0</v>
      </c>
      <c r="AD110" s="123" t="str">
        <f t="shared" si="33"/>
        <v>#DIV/0!</v>
      </c>
      <c r="AE110" s="12"/>
      <c r="AF110" s="12"/>
      <c r="AG110" s="12"/>
      <c r="AH110" s="12"/>
    </row>
    <row r="111" ht="15.75" customHeight="1">
      <c r="A111" s="12"/>
      <c r="B111" s="12"/>
      <c r="C111" s="12"/>
      <c r="D111" s="12"/>
      <c r="E111" s="12"/>
      <c r="F111" s="12"/>
      <c r="G111" s="12"/>
      <c r="H111" s="12"/>
      <c r="I111" s="12"/>
      <c r="J111" s="12"/>
      <c r="K111" s="12"/>
      <c r="L111" s="12"/>
      <c r="M111" s="12"/>
      <c r="N111" s="12"/>
      <c r="O111" s="96" t="s">
        <v>42</v>
      </c>
      <c r="P111" s="18"/>
      <c r="Q111" s="98" t="s">
        <v>43</v>
      </c>
      <c r="R111" s="18"/>
      <c r="S111" s="12"/>
      <c r="T111" s="12"/>
      <c r="U111" s="12"/>
      <c r="V111" s="12"/>
      <c r="W111" s="12"/>
      <c r="X111" s="12"/>
      <c r="Y111" s="12"/>
      <c r="Z111" s="117" t="s">
        <v>243</v>
      </c>
      <c r="AA111" s="121">
        <f>COUNTIF('M&amp;E_ESP_FINAL'!$CR$6:$CR60,"*Contamos con un plan de continuidad del negocio actualizado que se revisa y comunica al personal")</f>
        <v>0</v>
      </c>
      <c r="AB111" s="123" t="str">
        <f t="shared" si="32"/>
        <v>#DIV/0!</v>
      </c>
      <c r="AC111" s="121">
        <f>COUNTIF('M&amp;E_ESP_FINAL'!$CS$6:$CS60,"*Contamos con un plan de continuidad del negocio actualizado que se revisa y comunica al personal*")</f>
        <v>0</v>
      </c>
      <c r="AD111" s="123" t="str">
        <f t="shared" si="33"/>
        <v>#DIV/0!</v>
      </c>
      <c r="AE111" s="12"/>
      <c r="AF111" s="12"/>
      <c r="AG111" s="12"/>
      <c r="AH111" s="12"/>
    </row>
    <row r="112" ht="15.75" customHeight="1">
      <c r="A112" s="12"/>
      <c r="B112" s="12"/>
      <c r="C112" s="12"/>
      <c r="D112" s="12"/>
      <c r="E112" s="12"/>
      <c r="F112" s="12"/>
      <c r="G112" s="12"/>
      <c r="H112" s="12"/>
      <c r="I112" s="12"/>
      <c r="J112" s="12"/>
      <c r="K112" s="12"/>
      <c r="L112" s="12"/>
      <c r="M112" s="12"/>
      <c r="N112" s="117" t="s">
        <v>1419</v>
      </c>
      <c r="O112" s="28">
        <f>COUNTIF('M&amp;E_ESP_FINAL'!$BH$6:$BH60,"*Muy baja*")</f>
        <v>0</v>
      </c>
      <c r="P112" s="182" t="str">
        <f t="shared" ref="P112:P116" si="34">O112/$O$117</f>
        <v>#DIV/0!</v>
      </c>
      <c r="Q112" s="28">
        <f>COUNTIF('M&amp;E_ESP_FINAL'!$BI$6:$BI60,"*Muy baja*")</f>
        <v>0</v>
      </c>
      <c r="R112" s="95" t="str">
        <f t="shared" ref="R112:R116" si="35">Q112/$Q$117</f>
        <v>#DIV/0!</v>
      </c>
      <c r="S112" s="12"/>
      <c r="T112" s="12"/>
      <c r="U112" s="12"/>
      <c r="V112" s="12"/>
      <c r="W112" s="12"/>
      <c r="X112" s="12"/>
      <c r="Y112" s="12"/>
      <c r="Z112" s="12"/>
      <c r="AA112" s="65">
        <f>SUM(AA108:AA111)</f>
        <v>0</v>
      </c>
      <c r="AB112" s="12"/>
      <c r="AC112" s="12">
        <f>SUM(AC108:AC111)</f>
        <v>0</v>
      </c>
      <c r="AD112" s="12"/>
      <c r="AE112" s="12"/>
      <c r="AF112" s="12"/>
      <c r="AG112" s="12"/>
      <c r="AH112" s="12"/>
    </row>
    <row r="113" ht="15.75" customHeight="1">
      <c r="A113" s="12"/>
      <c r="B113" s="12"/>
      <c r="C113" s="12"/>
      <c r="D113" s="12"/>
      <c r="E113" s="12"/>
      <c r="F113" s="12"/>
      <c r="G113" s="12"/>
      <c r="H113" s="12"/>
      <c r="I113" s="12"/>
      <c r="J113" s="12"/>
      <c r="K113" s="12"/>
      <c r="L113" s="12"/>
      <c r="M113" s="12"/>
      <c r="N113" s="117" t="s">
        <v>300</v>
      </c>
      <c r="O113" s="28">
        <f>COUNTIF('M&amp;E_ESP_FINAL'!$BH$6:$BH60,"*Baja*")</f>
        <v>0</v>
      </c>
      <c r="P113" s="182" t="str">
        <f t="shared" si="34"/>
        <v>#DIV/0!</v>
      </c>
      <c r="Q113" s="28">
        <f>COUNTIF('M&amp;E_ESP_FINAL'!$BI$6:$BI60,"*Baja*")</f>
        <v>0</v>
      </c>
      <c r="R113" s="95" t="str">
        <f t="shared" si="35"/>
        <v>#DIV/0!</v>
      </c>
      <c r="S113" s="12"/>
      <c r="T113" s="12"/>
      <c r="U113" s="12"/>
      <c r="V113" s="12"/>
      <c r="W113" s="12"/>
      <c r="X113" s="12"/>
      <c r="Y113" s="12"/>
      <c r="Z113" s="12"/>
      <c r="AA113" s="12"/>
      <c r="AB113" s="12"/>
      <c r="AC113" s="12"/>
      <c r="AD113" s="12"/>
      <c r="AE113" s="12"/>
      <c r="AF113" s="12"/>
      <c r="AG113" s="12"/>
      <c r="AH113" s="12"/>
    </row>
    <row r="114" ht="15.75" customHeight="1">
      <c r="A114" s="12"/>
      <c r="B114" s="12"/>
      <c r="C114" s="12"/>
      <c r="D114" s="12"/>
      <c r="E114" s="12"/>
      <c r="F114" s="12"/>
      <c r="G114" s="12"/>
      <c r="H114" s="12"/>
      <c r="I114" s="12"/>
      <c r="J114" s="12"/>
      <c r="K114" s="12"/>
      <c r="L114" s="12"/>
      <c r="M114" s="12"/>
      <c r="N114" s="117" t="s">
        <v>304</v>
      </c>
      <c r="O114" s="114">
        <f>COUNTIF('M&amp;E_ESP_FINAL'!$BH$6:$BH60,"*Media*")</f>
        <v>0</v>
      </c>
      <c r="P114" s="95" t="str">
        <f t="shared" si="34"/>
        <v>#DIV/0!</v>
      </c>
      <c r="Q114" s="28">
        <f>COUNTIF('M&amp;E_ESP_FINAL'!$BI$6:$BI60,"*Media*")</f>
        <v>0</v>
      </c>
      <c r="R114" s="95" t="str">
        <f t="shared" si="35"/>
        <v>#DIV/0!</v>
      </c>
      <c r="S114" s="12"/>
      <c r="T114" s="12"/>
      <c r="U114" s="12"/>
      <c r="V114" s="12"/>
      <c r="W114" s="12"/>
      <c r="X114" s="12"/>
      <c r="Y114" s="12"/>
      <c r="Z114" s="183" t="s">
        <v>1425</v>
      </c>
      <c r="AA114" s="17"/>
      <c r="AB114" s="17"/>
      <c r="AC114" s="17"/>
      <c r="AD114" s="17"/>
      <c r="AE114" s="17"/>
      <c r="AF114" s="17"/>
      <c r="AG114" s="17"/>
      <c r="AH114" s="18"/>
    </row>
    <row r="115" ht="15.75" customHeight="1">
      <c r="A115" s="12"/>
      <c r="B115" s="12"/>
      <c r="C115" s="12"/>
      <c r="D115" s="12"/>
      <c r="E115" s="12"/>
      <c r="F115" s="12"/>
      <c r="G115" s="12"/>
      <c r="H115" s="12"/>
      <c r="I115" s="12"/>
      <c r="J115" s="12"/>
      <c r="K115" s="12"/>
      <c r="L115" s="12"/>
      <c r="M115" s="12"/>
      <c r="N115" s="117" t="s">
        <v>329</v>
      </c>
      <c r="O115" s="28">
        <f>COUNTIF('M&amp;E_ESP_FINAL'!$BH$6:$BH60,"*Alta*")</f>
        <v>0</v>
      </c>
      <c r="P115" s="95" t="str">
        <f t="shared" si="34"/>
        <v>#DIV/0!</v>
      </c>
      <c r="Q115" s="28">
        <f>COUNTIF('M&amp;E_ESP_FINAL'!$BI$6:$BI60,"*Alta*")</f>
        <v>0</v>
      </c>
      <c r="R115" s="95" t="str">
        <f t="shared" si="35"/>
        <v>#DIV/0!</v>
      </c>
      <c r="S115" s="12"/>
      <c r="T115" s="12"/>
      <c r="U115" s="12"/>
      <c r="V115" s="12"/>
      <c r="W115" s="12"/>
      <c r="X115" s="12"/>
      <c r="Y115" s="12"/>
      <c r="Z115" s="19" t="s">
        <v>1428</v>
      </c>
      <c r="AA115" s="12"/>
      <c r="AB115" s="12"/>
      <c r="AC115" s="12"/>
      <c r="AD115" s="12"/>
      <c r="AE115" s="12"/>
      <c r="AF115" s="12"/>
      <c r="AG115" s="12"/>
      <c r="AH115" s="12"/>
    </row>
    <row r="116" ht="15.75" customHeight="1">
      <c r="A116" s="12"/>
      <c r="B116" s="12"/>
      <c r="C116" s="12"/>
      <c r="D116" s="12"/>
      <c r="E116" s="12"/>
      <c r="F116" s="12"/>
      <c r="G116" s="12"/>
      <c r="H116" s="12"/>
      <c r="I116" s="12"/>
      <c r="J116" s="12"/>
      <c r="K116" s="12"/>
      <c r="L116" s="12"/>
      <c r="M116" s="12"/>
      <c r="N116" s="117" t="s">
        <v>365</v>
      </c>
      <c r="O116" s="28">
        <f>COUNTIF('M&amp;E_ESP_FINAL'!$BH$6:$BH60,"*Muy alta*")</f>
        <v>0</v>
      </c>
      <c r="P116" s="95" t="str">
        <f t="shared" si="34"/>
        <v>#DIV/0!</v>
      </c>
      <c r="Q116" s="28">
        <f>COUNTIF('M&amp;E_ESP_FINAL'!$BI$6:$BI60,"*Muy alta*")</f>
        <v>0</v>
      </c>
      <c r="R116" s="95" t="str">
        <f t="shared" si="35"/>
        <v>#DIV/0!</v>
      </c>
      <c r="S116" s="12"/>
      <c r="T116" s="12"/>
      <c r="U116" s="12"/>
      <c r="V116" s="12"/>
      <c r="W116" s="12"/>
      <c r="X116" s="12"/>
      <c r="Y116" s="12"/>
      <c r="Z116" s="12"/>
      <c r="AA116" s="12"/>
      <c r="AB116" s="12"/>
      <c r="AC116" s="12"/>
      <c r="AD116" s="12"/>
      <c r="AE116" s="12"/>
      <c r="AF116" s="12"/>
      <c r="AG116" s="12"/>
      <c r="AH116" s="12"/>
    </row>
    <row r="117" ht="15.75" customHeight="1">
      <c r="A117" s="12"/>
      <c r="B117" s="12"/>
      <c r="C117" s="12"/>
      <c r="D117" s="12"/>
      <c r="E117" s="12"/>
      <c r="F117" s="12"/>
      <c r="G117" s="12"/>
      <c r="H117" s="12"/>
      <c r="I117" s="12"/>
      <c r="J117" s="12"/>
      <c r="K117" s="12"/>
      <c r="L117" s="12"/>
      <c r="M117" s="12"/>
      <c r="N117" s="12"/>
      <c r="O117" s="65">
        <f>SUM(O112:O116)</f>
        <v>0</v>
      </c>
      <c r="P117" s="12"/>
      <c r="Q117" s="65">
        <f>SUM(Q112:Q116)</f>
        <v>0</v>
      </c>
      <c r="R117" s="12"/>
      <c r="S117" s="12"/>
      <c r="T117" s="12"/>
      <c r="U117" s="12"/>
      <c r="V117" s="12"/>
      <c r="W117" s="12"/>
      <c r="X117" s="12"/>
      <c r="Y117" s="12"/>
      <c r="Z117" s="12"/>
      <c r="AA117" s="157" t="s">
        <v>42</v>
      </c>
      <c r="AB117" s="157"/>
      <c r="AC117" s="60" t="s">
        <v>43</v>
      </c>
      <c r="AD117" s="60"/>
      <c r="AE117" s="12"/>
      <c r="AF117" s="12"/>
      <c r="AG117" s="12"/>
      <c r="AH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17" t="s">
        <v>1430</v>
      </c>
      <c r="AA118" s="121">
        <f>COUNTIF('M&amp;E_ESP_FINAL'!$CT$6:$CT60,"*Sí, contamos con un sistema formal de gestión de residuos sólidos*")</f>
        <v>0</v>
      </c>
      <c r="AB118" s="123" t="str">
        <f t="shared" ref="AB118:AB121" si="36">AA118/$AA$122</f>
        <v>#DIV/0!</v>
      </c>
      <c r="AC118" s="121">
        <f>COUNTIF('M&amp;E_ESP_FINAL'!$CU$6:$CU60,"*Sí, contamos con un sistema formal de gestión de residuos sólidos*")</f>
        <v>0</v>
      </c>
      <c r="AD118" s="123" t="str">
        <f t="shared" ref="AD118:AD121" si="37">AC118/$AC$122</f>
        <v>#DIV/0!</v>
      </c>
      <c r="AE118" s="12"/>
      <c r="AF118" s="12"/>
      <c r="AG118" s="12"/>
      <c r="AH118" s="12"/>
    </row>
    <row r="119" ht="15.75" customHeight="1">
      <c r="A119" s="12"/>
      <c r="B119" s="12"/>
      <c r="C119" s="12"/>
      <c r="D119" s="12"/>
      <c r="E119" s="12"/>
      <c r="F119" s="12"/>
      <c r="G119" s="12"/>
      <c r="H119" s="12"/>
      <c r="I119" s="12"/>
      <c r="J119" s="12"/>
      <c r="K119" s="12"/>
      <c r="L119" s="12"/>
      <c r="M119" s="12"/>
      <c r="N119" s="19" t="s">
        <v>1431</v>
      </c>
      <c r="O119" s="12"/>
      <c r="P119" s="12"/>
      <c r="Q119" s="12"/>
      <c r="R119" s="12"/>
      <c r="S119" s="12"/>
      <c r="T119" s="12"/>
      <c r="U119" s="12"/>
      <c r="V119" s="12"/>
      <c r="W119" s="12"/>
      <c r="X119" s="12"/>
      <c r="Y119" s="12"/>
      <c r="Z119" s="117" t="s">
        <v>1432</v>
      </c>
      <c r="AA119" s="121">
        <f>COUNTIF('M&amp;E_ESP_FINAL'!$CT$6:$CT60,"*Sí, realizamos algunas prácticas básicas*")</f>
        <v>0</v>
      </c>
      <c r="AB119" s="123" t="str">
        <f t="shared" si="36"/>
        <v>#DIV/0!</v>
      </c>
      <c r="AC119" s="121">
        <f>COUNTIF('M&amp;E_ESP_FINAL'!$CU$6:$CU60,"*Sí, realizamos algunas prácticas básicas*")</f>
        <v>0</v>
      </c>
      <c r="AD119" s="123" t="str">
        <f t="shared" si="37"/>
        <v>#DIV/0!</v>
      </c>
      <c r="AE119" s="12"/>
      <c r="AF119" s="12"/>
      <c r="AG119" s="12"/>
      <c r="AH119" s="12"/>
    </row>
    <row r="120" ht="15.75" customHeight="1">
      <c r="A120" s="12"/>
      <c r="B120" s="12"/>
      <c r="C120" s="12"/>
      <c r="D120" s="12"/>
      <c r="E120" s="12"/>
      <c r="F120" s="12"/>
      <c r="G120" s="12"/>
      <c r="H120" s="12"/>
      <c r="I120" s="12"/>
      <c r="J120" s="12"/>
      <c r="K120" s="12"/>
      <c r="L120" s="12"/>
      <c r="M120" s="12"/>
      <c r="N120" s="12"/>
      <c r="O120" s="96" t="s">
        <v>42</v>
      </c>
      <c r="P120" s="18"/>
      <c r="Q120" s="98" t="s">
        <v>43</v>
      </c>
      <c r="R120" s="18"/>
      <c r="S120" s="12"/>
      <c r="T120" s="12"/>
      <c r="U120" s="12"/>
      <c r="V120" s="12"/>
      <c r="W120" s="12"/>
      <c r="X120" s="12"/>
      <c r="Y120" s="12"/>
      <c r="Z120" s="130" t="s">
        <v>1433</v>
      </c>
      <c r="AA120" s="121">
        <f>COUNTIF('M&amp;E_ESP_FINAL'!$CT$6:$CT60,"*No, no contamos con prácticas específicas*")</f>
        <v>0</v>
      </c>
      <c r="AB120" s="123" t="str">
        <f t="shared" si="36"/>
        <v>#DIV/0!</v>
      </c>
      <c r="AC120" s="121">
        <f>COUNTIF('M&amp;E_ESP_FINAL'!$CU$6:$CU60,"*No, no contamos con prácticas específicas*")</f>
        <v>0</v>
      </c>
      <c r="AD120" s="123" t="str">
        <f t="shared" si="37"/>
        <v>#DIV/0!</v>
      </c>
      <c r="AE120" s="12"/>
      <c r="AF120" s="12"/>
      <c r="AG120" s="12"/>
      <c r="AH120" s="12"/>
    </row>
    <row r="121" ht="15.75" customHeight="1">
      <c r="A121" s="12"/>
      <c r="B121" s="12"/>
      <c r="C121" s="12"/>
      <c r="D121" s="12"/>
      <c r="E121" s="12"/>
      <c r="F121" s="12"/>
      <c r="G121" s="12"/>
      <c r="H121" s="12"/>
      <c r="I121" s="12"/>
      <c r="J121" s="12"/>
      <c r="K121" s="12"/>
      <c r="L121" s="12"/>
      <c r="M121" s="12"/>
      <c r="N121" s="117" t="s">
        <v>1434</v>
      </c>
      <c r="O121" s="121">
        <f>COUNTIF('M&amp;E_ESP_FINAL'!$BJ$6:$BJ60,"*Sí, utilizamos criterios demográficos*")</f>
        <v>0</v>
      </c>
      <c r="P121" s="123" t="str">
        <f t="shared" ref="P121:P124" si="38">O121/$O$125</f>
        <v>#DIV/0!</v>
      </c>
      <c r="Q121" s="121">
        <f>COUNTIF('M&amp;E_ESP_FINAL'!$BK$6:$BK60,"*Sí, utilizamos criterios demográficos*")</f>
        <v>0</v>
      </c>
      <c r="R121" s="123" t="str">
        <f t="shared" ref="R121:R124" si="39">Q121/$Q$125</f>
        <v>#DIV/0!</v>
      </c>
      <c r="S121" s="12"/>
      <c r="T121" s="12"/>
      <c r="U121" s="12"/>
      <c r="V121" s="12"/>
      <c r="W121" s="12"/>
      <c r="X121" s="12"/>
      <c r="Y121" s="12"/>
      <c r="Z121" s="117" t="s">
        <v>244</v>
      </c>
      <c r="AA121" s="121">
        <f>COUNTIF('M&amp;E_ESP_FINAL'!$CT$6:$CT60,"*No aplica*")</f>
        <v>0</v>
      </c>
      <c r="AB121" s="123" t="str">
        <f t="shared" si="36"/>
        <v>#DIV/0!</v>
      </c>
      <c r="AC121" s="121">
        <f>COUNTIF('M&amp;E_ESP_FINAL'!$CU$6:$CU60,"*No aplica*")</f>
        <v>0</v>
      </c>
      <c r="AD121" s="123" t="str">
        <f t="shared" si="37"/>
        <v>#DIV/0!</v>
      </c>
      <c r="AE121" s="12"/>
      <c r="AF121" s="12"/>
      <c r="AG121" s="12"/>
      <c r="AH121" s="12"/>
    </row>
    <row r="122" ht="15.75" customHeight="1">
      <c r="A122" s="12"/>
      <c r="B122" s="12"/>
      <c r="C122" s="12"/>
      <c r="D122" s="12"/>
      <c r="E122" s="12"/>
      <c r="F122" s="12"/>
      <c r="G122" s="12"/>
      <c r="H122" s="12"/>
      <c r="I122" s="12"/>
      <c r="J122" s="12"/>
      <c r="K122" s="12"/>
      <c r="L122" s="12"/>
      <c r="M122" s="12"/>
      <c r="N122" s="117" t="s">
        <v>1435</v>
      </c>
      <c r="O122" s="121">
        <f>COUNTIF('M&amp;E_ESP_FINAL'!$BJ$6:$BJ60,"*Sí, utilizamos algunos de estos criterios*")</f>
        <v>0</v>
      </c>
      <c r="P122" s="123" t="str">
        <f t="shared" si="38"/>
        <v>#DIV/0!</v>
      </c>
      <c r="Q122" s="121">
        <f>COUNTIF('M&amp;E_ESP_FINAL'!$BK$6:$BK60,"*Sí, utilizamos algunos de estos criterios*")</f>
        <v>0</v>
      </c>
      <c r="R122" s="123" t="str">
        <f t="shared" si="39"/>
        <v>#DIV/0!</v>
      </c>
      <c r="S122" s="12"/>
      <c r="T122" s="12"/>
      <c r="U122" s="12"/>
      <c r="V122" s="12"/>
      <c r="W122" s="12"/>
      <c r="X122" s="12"/>
      <c r="Y122" s="12"/>
      <c r="Z122" s="12"/>
      <c r="AA122" s="65">
        <f>SUM(AA118:AA121)</f>
        <v>0</v>
      </c>
      <c r="AB122" s="12"/>
      <c r="AC122" s="65">
        <f>SUM(AC118:AC121)</f>
        <v>0</v>
      </c>
      <c r="AD122" s="12"/>
      <c r="AE122" s="12"/>
      <c r="AF122" s="12"/>
      <c r="AG122" s="12"/>
      <c r="AH122" s="12"/>
    </row>
    <row r="123" ht="15.75" customHeight="1">
      <c r="A123" s="12"/>
      <c r="B123" s="12"/>
      <c r="C123" s="12"/>
      <c r="D123" s="12"/>
      <c r="E123" s="12"/>
      <c r="F123" s="12"/>
      <c r="G123" s="12"/>
      <c r="H123" s="12"/>
      <c r="I123" s="12"/>
      <c r="J123" s="12"/>
      <c r="K123" s="12"/>
      <c r="L123" s="12"/>
      <c r="M123" s="12"/>
      <c r="N123" s="117" t="s">
        <v>1436</v>
      </c>
      <c r="O123" s="121">
        <f>COUNTIF('M&amp;E_ESP_FINAL'!$BJ$6:$BJ60,"*No, no segmentamos el mercado*")</f>
        <v>0</v>
      </c>
      <c r="P123" s="123" t="str">
        <f t="shared" si="38"/>
        <v>#DIV/0!</v>
      </c>
      <c r="Q123" s="121">
        <f>COUNTIF('M&amp;E_ESP_FINAL'!$BK$6:$BK60,"*No, no segmentamos el mercado*")</f>
        <v>0</v>
      </c>
      <c r="R123" s="123" t="str">
        <f t="shared" si="39"/>
        <v>#DIV/0!</v>
      </c>
      <c r="S123" s="12"/>
      <c r="T123" s="12"/>
      <c r="U123" s="12"/>
      <c r="V123" s="12"/>
      <c r="W123" s="12"/>
      <c r="X123" s="12"/>
      <c r="Y123" s="12"/>
      <c r="Z123" s="19" t="s">
        <v>1437</v>
      </c>
      <c r="AA123" s="12"/>
      <c r="AB123" s="12"/>
      <c r="AC123" s="12"/>
      <c r="AD123" s="12"/>
      <c r="AE123" s="12"/>
      <c r="AF123" s="12"/>
      <c r="AG123" s="12"/>
      <c r="AH123" s="12"/>
    </row>
    <row r="124" ht="15.75" customHeight="1">
      <c r="A124" s="12"/>
      <c r="B124" s="12"/>
      <c r="C124" s="12"/>
      <c r="D124" s="12"/>
      <c r="E124" s="12"/>
      <c r="F124" s="12"/>
      <c r="G124" s="12"/>
      <c r="H124" s="12"/>
      <c r="I124" s="12"/>
      <c r="J124" s="12"/>
      <c r="K124" s="12"/>
      <c r="L124" s="12"/>
      <c r="M124" s="12"/>
      <c r="N124" s="117" t="s">
        <v>1438</v>
      </c>
      <c r="O124" s="121">
        <f>COUNTIF('M&amp;E_ESP_FINAL'!$BJ$6:$BJ60,"*No aplica*")</f>
        <v>0</v>
      </c>
      <c r="P124" s="123" t="str">
        <f t="shared" si="38"/>
        <v>#DIV/0!</v>
      </c>
      <c r="Q124" s="121">
        <f>COUNTIF('M&amp;E_ESP_FINAL'!$BK$6:$BK60,"*No aplica*")</f>
        <v>0</v>
      </c>
      <c r="R124" s="123" t="str">
        <f t="shared" si="39"/>
        <v>#DIV/0!</v>
      </c>
      <c r="S124" s="12"/>
      <c r="T124" s="12"/>
      <c r="U124" s="12"/>
      <c r="V124" s="12"/>
      <c r="W124" s="12"/>
      <c r="X124" s="12"/>
      <c r="Y124" s="12"/>
      <c r="Z124" s="12"/>
      <c r="AA124" s="12"/>
      <c r="AB124" s="12"/>
      <c r="AC124" s="12"/>
      <c r="AD124" s="12"/>
      <c r="AE124" s="12"/>
      <c r="AF124" s="12"/>
      <c r="AG124" s="12"/>
      <c r="AH124" s="12"/>
    </row>
    <row r="125" ht="15.75" customHeight="1">
      <c r="A125" s="12"/>
      <c r="B125" s="12"/>
      <c r="C125" s="12"/>
      <c r="D125" s="12"/>
      <c r="E125" s="12"/>
      <c r="F125" s="12"/>
      <c r="G125" s="12"/>
      <c r="H125" s="12"/>
      <c r="I125" s="12"/>
      <c r="J125" s="12"/>
      <c r="K125" s="12"/>
      <c r="L125" s="12"/>
      <c r="M125" s="12"/>
      <c r="N125" s="12"/>
      <c r="O125" s="65">
        <f>SUM(O121:O124)</f>
        <v>0</v>
      </c>
      <c r="P125" s="12"/>
      <c r="Q125" s="65">
        <f>SUM(Q121:Q124)</f>
        <v>0</v>
      </c>
      <c r="R125" s="12"/>
      <c r="S125" s="12"/>
      <c r="T125" s="12"/>
      <c r="U125" s="12"/>
      <c r="V125" s="12"/>
      <c r="W125" s="12"/>
      <c r="X125" s="12"/>
      <c r="Y125" s="12"/>
      <c r="Z125" s="12"/>
      <c r="AA125" s="157" t="s">
        <v>42</v>
      </c>
      <c r="AB125" s="157"/>
      <c r="AC125" s="60" t="s">
        <v>43</v>
      </c>
      <c r="AD125" s="60"/>
      <c r="AE125" s="12"/>
      <c r="AF125" s="12"/>
      <c r="AG125" s="12"/>
      <c r="AH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17" t="s">
        <v>165</v>
      </c>
      <c r="AA126" s="121">
        <f>COUNTIF('M&amp;E_ESP_FINAL'!$CV$6:$CV60,"*Sí, mantenemos control del consumo de agua y energía*")</f>
        <v>0</v>
      </c>
      <c r="AB126" s="123" t="str">
        <f t="shared" ref="AB126:AB129" si="40">AA126/$AA$130</f>
        <v>#DIV/0!</v>
      </c>
      <c r="AC126" s="121">
        <f>COUNTIF('M&amp;E_ESP_FINAL'!$CN$6:$CN60,"*Sí, mantenemos control del consumo de agua y energía*")</f>
        <v>0</v>
      </c>
      <c r="AD126" s="123" t="str">
        <f t="shared" ref="AD126:AD129" si="41">AC126/$AC$130</f>
        <v>#DIV/0!</v>
      </c>
      <c r="AE126" s="12"/>
      <c r="AF126" s="12"/>
      <c r="AG126" s="12"/>
      <c r="AH126" s="12"/>
    </row>
    <row r="127" ht="15.75" customHeight="1">
      <c r="A127" s="12"/>
      <c r="B127" s="12"/>
      <c r="C127" s="12"/>
      <c r="D127" s="12"/>
      <c r="E127" s="12"/>
      <c r="F127" s="12"/>
      <c r="G127" s="12"/>
      <c r="H127" s="12"/>
      <c r="I127" s="12"/>
      <c r="J127" s="12"/>
      <c r="K127" s="12"/>
      <c r="L127" s="12"/>
      <c r="M127" s="12"/>
      <c r="N127" s="19" t="s">
        <v>1439</v>
      </c>
      <c r="O127" s="12"/>
      <c r="P127" s="12"/>
      <c r="Q127" s="12"/>
      <c r="R127" s="12"/>
      <c r="S127" s="12"/>
      <c r="T127" s="12"/>
      <c r="U127" s="12"/>
      <c r="V127" s="12"/>
      <c r="W127" s="12"/>
      <c r="X127" s="12"/>
      <c r="Y127" s="12"/>
      <c r="Z127" s="117" t="s">
        <v>194</v>
      </c>
      <c r="AA127" s="121">
        <f>COUNTIF('M&amp;E_ESP_FINAL'!$CV$6:$CV60,"*Sí, mantenemos control solo del consumo de agua*")</f>
        <v>0</v>
      </c>
      <c r="AB127" s="123" t="str">
        <f t="shared" si="40"/>
        <v>#DIV/0!</v>
      </c>
      <c r="AC127" s="121">
        <f>COUNTIF('M&amp;E_ESP_FINAL'!$CN$6:$CN60,"*Sí, mantenemos control solo del consumo de agua*")</f>
        <v>0</v>
      </c>
      <c r="AD127" s="123" t="str">
        <f t="shared" si="41"/>
        <v>#DIV/0!</v>
      </c>
      <c r="AE127" s="12"/>
      <c r="AF127" s="12"/>
      <c r="AG127" s="12"/>
      <c r="AH127" s="12"/>
    </row>
    <row r="128" ht="15.75" customHeight="1">
      <c r="A128" s="12"/>
      <c r="B128" s="12"/>
      <c r="C128" s="12"/>
      <c r="D128" s="12"/>
      <c r="E128" s="12"/>
      <c r="F128" s="12"/>
      <c r="G128" s="12"/>
      <c r="H128" s="12"/>
      <c r="I128" s="12"/>
      <c r="J128" s="12"/>
      <c r="K128" s="12"/>
      <c r="L128" s="12"/>
      <c r="M128" s="12"/>
      <c r="N128" s="12"/>
      <c r="O128" s="157" t="s">
        <v>42</v>
      </c>
      <c r="P128" s="157"/>
      <c r="Q128" s="60" t="s">
        <v>43</v>
      </c>
      <c r="R128" s="60"/>
      <c r="S128" s="12"/>
      <c r="T128" s="12"/>
      <c r="U128" s="12"/>
      <c r="V128" s="12"/>
      <c r="W128" s="12"/>
      <c r="X128" s="12"/>
      <c r="Y128" s="12"/>
      <c r="Z128" s="117" t="s">
        <v>222</v>
      </c>
      <c r="AA128" s="121">
        <f>COUNTIF('M&amp;E_ESP_FINAL'!$CV$6:$CV60,"*Sí, mantenemos control solo del consumo de energía*")</f>
        <v>0</v>
      </c>
      <c r="AB128" s="123" t="str">
        <f t="shared" si="40"/>
        <v>#DIV/0!</v>
      </c>
      <c r="AC128" s="121">
        <f>COUNTIF('M&amp;E_ESP_FINAL'!$CN$6:$CN60,"*Sí, mantenemos control solo del consumo de energía*")</f>
        <v>0</v>
      </c>
      <c r="AD128" s="123" t="str">
        <f t="shared" si="41"/>
        <v>#DIV/0!</v>
      </c>
      <c r="AE128" s="12"/>
      <c r="AF128" s="12"/>
      <c r="AG128" s="12"/>
      <c r="AH128" s="12"/>
    </row>
    <row r="129" ht="15.75" customHeight="1">
      <c r="A129" s="12"/>
      <c r="B129" s="12"/>
      <c r="C129" s="12"/>
      <c r="D129" s="12"/>
      <c r="E129" s="12"/>
      <c r="F129" s="12"/>
      <c r="G129" s="12"/>
      <c r="H129" s="12"/>
      <c r="I129" s="12"/>
      <c r="J129" s="12"/>
      <c r="K129" s="12"/>
      <c r="L129" s="12"/>
      <c r="M129" s="12"/>
      <c r="N129" s="99" t="s">
        <v>1440</v>
      </c>
      <c r="O129" s="121">
        <f>COUNTIF('M&amp;E_ESP_FINAL'!$BL$6:$BL60,"*No, el negocio no cuenta*")</f>
        <v>0</v>
      </c>
      <c r="P129" s="123" t="str">
        <f t="shared" ref="P129:P133" si="42">O129/$O$134</f>
        <v>#DIV/0!</v>
      </c>
      <c r="Q129" s="121">
        <f>COUNTIF('M&amp;E_ESP_FINAL'!$BM$6:$BM60,"*No, el negocio no cuenta*")</f>
        <v>0</v>
      </c>
      <c r="R129" s="123" t="str">
        <f t="shared" ref="R129:R133" si="43">Q129/$Q$134</f>
        <v>#DIV/0!</v>
      </c>
      <c r="S129" s="12"/>
      <c r="T129" s="12"/>
      <c r="U129" s="12"/>
      <c r="V129" s="12"/>
      <c r="W129" s="12"/>
      <c r="X129" s="12"/>
      <c r="Y129" s="12"/>
      <c r="Z129" s="117" t="s">
        <v>246</v>
      </c>
      <c r="AA129" s="121">
        <f>COUNTIF('M&amp;E_ESP_FINAL'!$CV$6:$CV60,"*No, no mantenemos control del consumo de agua ni de energía*")</f>
        <v>0</v>
      </c>
      <c r="AB129" s="123" t="str">
        <f t="shared" si="40"/>
        <v>#DIV/0!</v>
      </c>
      <c r="AC129" s="121">
        <f>COUNTIF('M&amp;E_ESP_FINAL'!$CN$6:$CN60,"*No, no mantenemos control del consumo de agua ni de energía*")</f>
        <v>0</v>
      </c>
      <c r="AD129" s="123" t="str">
        <f t="shared" si="41"/>
        <v>#DIV/0!</v>
      </c>
      <c r="AE129" s="12"/>
      <c r="AF129" s="12"/>
      <c r="AG129" s="12"/>
      <c r="AH129" s="12"/>
    </row>
    <row r="130" ht="58.5" customHeight="1">
      <c r="A130" s="12"/>
      <c r="B130" s="12"/>
      <c r="C130" s="12"/>
      <c r="D130" s="12"/>
      <c r="E130" s="12"/>
      <c r="F130" s="12"/>
      <c r="G130" s="12"/>
      <c r="H130" s="12"/>
      <c r="I130" s="12"/>
      <c r="J130" s="12"/>
      <c r="K130" s="12"/>
      <c r="L130" s="12"/>
      <c r="M130" s="12"/>
      <c r="N130" s="99" t="s">
        <v>1441</v>
      </c>
      <c r="O130" s="121">
        <f>COUNTIF('M&amp;E_ESP_FINAL'!$BL$6:$BL60,"*Sí, contamos con algunos elementos*")</f>
        <v>0</v>
      </c>
      <c r="P130" s="123" t="str">
        <f t="shared" si="42"/>
        <v>#DIV/0!</v>
      </c>
      <c r="Q130" s="121">
        <f>COUNTIF('M&amp;E_ESP_FINAL'!$BM$6:$BM60,"*Sí, contamos con algunos elementos*")</f>
        <v>0</v>
      </c>
      <c r="R130" s="123" t="str">
        <f t="shared" si="43"/>
        <v>#DIV/0!</v>
      </c>
      <c r="S130" s="12"/>
      <c r="T130" s="12"/>
      <c r="U130" s="12"/>
      <c r="V130" s="12"/>
      <c r="W130" s="12"/>
      <c r="X130" s="12"/>
      <c r="Y130" s="12"/>
      <c r="Z130" s="12"/>
      <c r="AA130" s="65">
        <f>SUM(AA126:AA129)</f>
        <v>0</v>
      </c>
      <c r="AB130" s="12"/>
      <c r="AC130" s="65">
        <f>SUM(AC126:AC129)</f>
        <v>0</v>
      </c>
      <c r="AD130" s="12"/>
      <c r="AE130" s="12"/>
      <c r="AF130" s="12"/>
      <c r="AG130" s="12"/>
      <c r="AH130" s="12"/>
    </row>
    <row r="131" ht="15.75" customHeight="1">
      <c r="A131" s="12"/>
      <c r="B131" s="12"/>
      <c r="C131" s="12"/>
      <c r="D131" s="12"/>
      <c r="E131" s="12"/>
      <c r="F131" s="12"/>
      <c r="G131" s="12"/>
      <c r="H131" s="12"/>
      <c r="I131" s="12"/>
      <c r="J131" s="12"/>
      <c r="K131" s="12"/>
      <c r="L131" s="12"/>
      <c r="M131" s="12"/>
      <c r="N131" s="117" t="s">
        <v>1442</v>
      </c>
      <c r="O131" s="121">
        <f>COUNTIF('M&amp;E_ESP_FINAL'!$BL$6:$BL60,"*Sí, contamos con varios elementos*")</f>
        <v>0</v>
      </c>
      <c r="P131" s="123" t="str">
        <f t="shared" si="42"/>
        <v>#DIV/0!</v>
      </c>
      <c r="Q131" s="121">
        <f>COUNTIF('M&amp;E_ESP_FINAL'!$BM$6:$BM60,"*Sí, contamos con varios elementos*")</f>
        <v>0</v>
      </c>
      <c r="R131" s="123" t="str">
        <f t="shared" si="43"/>
        <v>#DIV/0!</v>
      </c>
      <c r="S131" s="12"/>
      <c r="T131" s="12"/>
      <c r="U131" s="12"/>
      <c r="V131" s="12"/>
      <c r="W131" s="12"/>
      <c r="X131" s="12"/>
      <c r="Y131" s="12"/>
      <c r="Z131" s="12"/>
      <c r="AA131" s="12"/>
      <c r="AB131" s="12"/>
      <c r="AC131" s="12"/>
      <c r="AD131" s="12"/>
      <c r="AE131" s="12"/>
      <c r="AF131" s="12"/>
      <c r="AG131" s="12"/>
      <c r="AH131" s="12"/>
    </row>
    <row r="132" ht="15.75" customHeight="1">
      <c r="A132" s="12"/>
      <c r="B132" s="12"/>
      <c r="C132" s="12"/>
      <c r="D132" s="12"/>
      <c r="E132" s="12"/>
      <c r="F132" s="12"/>
      <c r="G132" s="12"/>
      <c r="H132" s="12"/>
      <c r="I132" s="12"/>
      <c r="J132" s="12"/>
      <c r="K132" s="12"/>
      <c r="L132" s="12"/>
      <c r="M132" s="12"/>
      <c r="N132" s="117" t="s">
        <v>1443</v>
      </c>
      <c r="O132" s="121">
        <f>COUNTIF('M&amp;E_ESP_FINAL'!$BL$6:$BL60,"*Sí, contamos con una identidad visual*")</f>
        <v>0</v>
      </c>
      <c r="P132" s="123" t="str">
        <f t="shared" si="42"/>
        <v>#DIV/0!</v>
      </c>
      <c r="Q132" s="121">
        <f>COUNTIF('M&amp;E_ESP_FINAL'!$BM$6:$BM60,"*Sí, contamos con una identidad visual*")</f>
        <v>0</v>
      </c>
      <c r="R132" s="123" t="str">
        <f t="shared" si="43"/>
        <v>#DIV/0!</v>
      </c>
      <c r="S132" s="12"/>
      <c r="T132" s="12"/>
      <c r="U132" s="12"/>
      <c r="V132" s="12"/>
      <c r="W132" s="12"/>
      <c r="X132" s="12"/>
      <c r="Y132" s="12"/>
      <c r="Z132" s="12"/>
      <c r="AA132" s="12"/>
      <c r="AB132" s="12"/>
      <c r="AC132" s="12"/>
      <c r="AD132" s="12"/>
      <c r="AE132" s="12"/>
      <c r="AF132" s="12"/>
      <c r="AG132" s="12"/>
      <c r="AH132" s="12"/>
    </row>
    <row r="133" ht="15.75" customHeight="1">
      <c r="A133" s="12"/>
      <c r="B133" s="12"/>
      <c r="C133" s="12"/>
      <c r="D133" s="12"/>
      <c r="E133" s="12"/>
      <c r="F133" s="12"/>
      <c r="G133" s="12"/>
      <c r="H133" s="12"/>
      <c r="I133" s="12"/>
      <c r="J133" s="12"/>
      <c r="K133" s="12"/>
      <c r="L133" s="12"/>
      <c r="M133" s="12"/>
      <c r="N133" s="117" t="s">
        <v>1444</v>
      </c>
      <c r="O133" s="121">
        <f>COUNTIF('M&amp;E_ESP_FINAL'!$BL$6:$BL60,"*Sí, contamos con una identidad visual completa y además*")</f>
        <v>0</v>
      </c>
      <c r="P133" s="123" t="str">
        <f t="shared" si="42"/>
        <v>#DIV/0!</v>
      </c>
      <c r="Q133" s="121">
        <f>COUNTIF('M&amp;E_ESP_FINAL'!$BM$6:$BM60,"*Sí, contamos con una identidad visual completa y además*")</f>
        <v>0</v>
      </c>
      <c r="R133" s="123" t="str">
        <f t="shared" si="43"/>
        <v>#DIV/0!</v>
      </c>
      <c r="S133" s="12"/>
      <c r="T133" s="12"/>
      <c r="U133" s="12"/>
      <c r="V133" s="12"/>
      <c r="W133" s="12"/>
      <c r="X133" s="12"/>
      <c r="Y133" s="12"/>
      <c r="Z133" s="12"/>
      <c r="AA133" s="12"/>
      <c r="AB133" s="12"/>
      <c r="AC133" s="12"/>
      <c r="AD133" s="12"/>
      <c r="AE133" s="12"/>
      <c r="AF133" s="12"/>
      <c r="AG133" s="12"/>
      <c r="AH133" s="12"/>
    </row>
    <row r="134" ht="15.75" customHeight="1">
      <c r="A134" s="12"/>
      <c r="B134" s="12"/>
      <c r="C134" s="12"/>
      <c r="D134" s="12"/>
      <c r="E134" s="12"/>
      <c r="F134" s="12"/>
      <c r="G134" s="12"/>
      <c r="H134" s="12"/>
      <c r="I134" s="12"/>
      <c r="J134" s="12"/>
      <c r="K134" s="12"/>
      <c r="L134" s="12"/>
      <c r="M134" s="12"/>
      <c r="N134" s="12"/>
      <c r="O134" s="65">
        <f>SUM(O129:O133)</f>
        <v>0</v>
      </c>
      <c r="P134" s="65"/>
      <c r="Q134" s="65">
        <f>SUM(Q129:Q133)</f>
        <v>0</v>
      </c>
      <c r="R134" s="12"/>
      <c r="S134" s="12"/>
      <c r="T134" s="12"/>
      <c r="U134" s="12"/>
      <c r="V134" s="12"/>
      <c r="W134" s="12"/>
      <c r="X134" s="12"/>
      <c r="Y134" s="12"/>
      <c r="Z134" s="12"/>
      <c r="AA134" s="12"/>
      <c r="AB134" s="12"/>
      <c r="AC134" s="12"/>
      <c r="AD134" s="12"/>
      <c r="AE134" s="12"/>
      <c r="AF134" s="12"/>
      <c r="AG134" s="12"/>
      <c r="AH134" s="12"/>
    </row>
    <row r="135" ht="15.75" customHeight="1">
      <c r="A135" s="12"/>
      <c r="B135" s="12"/>
      <c r="C135" s="12"/>
      <c r="D135" s="12"/>
      <c r="E135" s="12"/>
      <c r="F135" s="12"/>
      <c r="G135" s="12"/>
      <c r="H135" s="12"/>
      <c r="I135" s="12"/>
      <c r="J135" s="12"/>
      <c r="K135" s="12"/>
      <c r="L135" s="12"/>
      <c r="M135" s="12"/>
      <c r="N135" s="12"/>
      <c r="O135" s="12"/>
      <c r="P135" s="184"/>
      <c r="Q135" s="184"/>
      <c r="R135" s="184"/>
      <c r="S135" s="184"/>
      <c r="T135" s="184"/>
      <c r="U135" s="184"/>
      <c r="V135" s="184"/>
      <c r="W135" s="12"/>
      <c r="X135" s="12"/>
      <c r="Y135" s="12"/>
      <c r="Z135" s="12"/>
      <c r="AA135" s="12"/>
      <c r="AB135" s="12"/>
      <c r="AC135" s="12"/>
      <c r="AD135" s="12"/>
      <c r="AE135" s="12"/>
      <c r="AF135" s="12"/>
      <c r="AG135" s="12"/>
      <c r="AH135" s="12"/>
    </row>
    <row r="136" ht="15.75" customHeight="1">
      <c r="A136" s="12"/>
      <c r="B136" s="12"/>
      <c r="C136" s="12"/>
      <c r="D136" s="12"/>
      <c r="E136" s="12"/>
      <c r="F136" s="12"/>
      <c r="G136" s="12"/>
      <c r="H136" s="12"/>
      <c r="I136" s="12"/>
      <c r="J136" s="12"/>
      <c r="K136" s="12"/>
      <c r="L136" s="12"/>
      <c r="M136" s="12"/>
      <c r="N136" s="185" t="s">
        <v>1445</v>
      </c>
      <c r="O136" s="17"/>
      <c r="P136" s="17"/>
      <c r="Q136" s="17"/>
      <c r="R136" s="17"/>
      <c r="S136" s="17"/>
      <c r="T136" s="17"/>
      <c r="U136" s="17"/>
      <c r="V136" s="18"/>
      <c r="W136" s="12"/>
      <c r="X136" s="12"/>
      <c r="Y136" s="12"/>
      <c r="Z136" s="12"/>
      <c r="AA136" s="12"/>
      <c r="AB136" s="12"/>
      <c r="AC136" s="12"/>
      <c r="AD136" s="12"/>
      <c r="AE136" s="12"/>
      <c r="AF136" s="12"/>
      <c r="AG136" s="12"/>
      <c r="AH136" s="12"/>
    </row>
    <row r="137" ht="15.75" customHeight="1">
      <c r="A137" s="12"/>
      <c r="B137" s="12"/>
      <c r="C137" s="12"/>
      <c r="D137" s="12"/>
      <c r="E137" s="12"/>
      <c r="F137" s="12"/>
      <c r="G137" s="12"/>
      <c r="H137" s="12"/>
      <c r="I137" s="12"/>
      <c r="J137" s="12"/>
      <c r="K137" s="12"/>
      <c r="L137" s="12"/>
      <c r="M137" s="12"/>
      <c r="N137" s="19" t="s">
        <v>1446</v>
      </c>
      <c r="O137" s="12"/>
      <c r="P137" s="12"/>
      <c r="Q137" s="12"/>
      <c r="R137" s="12"/>
      <c r="S137" s="12"/>
      <c r="T137" s="12"/>
      <c r="U137" s="12"/>
      <c r="V137" s="12"/>
      <c r="W137" s="12"/>
      <c r="X137" s="12"/>
      <c r="Y137" s="12"/>
      <c r="Z137" s="12"/>
      <c r="AA137" s="12"/>
      <c r="AB137" s="12"/>
      <c r="AC137" s="12"/>
      <c r="AD137" s="12"/>
      <c r="AE137" s="12"/>
      <c r="AF137" s="12"/>
      <c r="AG137" s="12"/>
      <c r="AH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row>
    <row r="139" ht="15.75" customHeight="1">
      <c r="A139" s="12"/>
      <c r="B139" s="12"/>
      <c r="C139" s="12"/>
      <c r="D139" s="12"/>
      <c r="E139" s="12"/>
      <c r="F139" s="12"/>
      <c r="G139" s="12"/>
      <c r="H139" s="12"/>
      <c r="I139" s="12"/>
      <c r="J139" s="12"/>
      <c r="K139" s="12"/>
      <c r="L139" s="12"/>
      <c r="M139" s="12"/>
      <c r="N139" s="12"/>
      <c r="O139" s="157" t="s">
        <v>42</v>
      </c>
      <c r="P139" s="157"/>
      <c r="Q139" s="60" t="s">
        <v>43</v>
      </c>
      <c r="R139" s="60"/>
      <c r="S139" s="12"/>
      <c r="T139" s="12"/>
      <c r="U139" s="12"/>
      <c r="V139" s="12"/>
      <c r="W139" s="12"/>
      <c r="X139" s="12"/>
      <c r="Y139" s="12"/>
      <c r="Z139" s="12"/>
      <c r="AA139" s="12"/>
      <c r="AB139" s="12"/>
      <c r="AC139" s="12"/>
      <c r="AD139" s="12"/>
      <c r="AE139" s="12"/>
      <c r="AF139" s="12"/>
      <c r="AG139" s="12"/>
      <c r="AH139" s="12"/>
    </row>
    <row r="140" ht="15.75" customHeight="1">
      <c r="A140" s="12"/>
      <c r="B140" s="12"/>
      <c r="C140" s="12"/>
      <c r="D140" s="12"/>
      <c r="E140" s="12"/>
      <c r="F140" s="12"/>
      <c r="G140" s="12"/>
      <c r="H140" s="12"/>
      <c r="I140" s="12"/>
      <c r="J140" s="12"/>
      <c r="K140" s="12"/>
      <c r="L140" s="12"/>
      <c r="M140" s="12"/>
      <c r="N140" s="117" t="s">
        <v>1447</v>
      </c>
      <c r="O140" s="28">
        <f>COUNTIF('M&amp;E_ESP_FINAL'!$BN$6:$BN60,"*Inexistentes*")</f>
        <v>0</v>
      </c>
      <c r="P140" s="186" t="str">
        <f t="shared" ref="P140:P143" si="44">O140/$O$144</f>
        <v>#DIV/0!</v>
      </c>
      <c r="Q140" s="28">
        <f>COUNTIF('M&amp;E_ESP_FINAL'!$BO$6:$BO60,"*Inexistentes*")</f>
        <v>0</v>
      </c>
      <c r="R140" s="182" t="str">
        <f t="shared" ref="R140:R143" si="45">Q140/$Q$144</f>
        <v>#DIV/0!</v>
      </c>
      <c r="S140" s="12"/>
      <c r="T140" s="12"/>
      <c r="U140" s="12"/>
      <c r="V140" s="12"/>
      <c r="W140" s="12"/>
      <c r="X140" s="12"/>
      <c r="Y140" s="12"/>
      <c r="Z140" s="12"/>
      <c r="AA140" s="12"/>
      <c r="AB140" s="12"/>
      <c r="AC140" s="12"/>
      <c r="AD140" s="12"/>
      <c r="AE140" s="12"/>
      <c r="AF140" s="12"/>
      <c r="AG140" s="12"/>
      <c r="AH140" s="12"/>
    </row>
    <row r="141" ht="15.75" customHeight="1">
      <c r="A141" s="12"/>
      <c r="B141" s="12"/>
      <c r="C141" s="12"/>
      <c r="D141" s="12"/>
      <c r="E141" s="12"/>
      <c r="F141" s="12"/>
      <c r="G141" s="12"/>
      <c r="H141" s="12"/>
      <c r="I141" s="12"/>
      <c r="J141" s="12"/>
      <c r="K141" s="12"/>
      <c r="L141" s="12"/>
      <c r="M141" s="12"/>
      <c r="N141" s="117" t="s">
        <v>1448</v>
      </c>
      <c r="O141" s="28">
        <f>COUNTIF('M&amp;E_ESP_FINAL'!$BN$6:$BN60,"*Básicos*")</f>
        <v>0</v>
      </c>
      <c r="P141" s="186" t="str">
        <f t="shared" si="44"/>
        <v>#DIV/0!</v>
      </c>
      <c r="Q141" s="28">
        <f>COUNTIF('M&amp;E_ESP_FINAL'!$BO$6:$BO60,"*Básicos*")</f>
        <v>0</v>
      </c>
      <c r="R141" s="182" t="str">
        <f t="shared" si="45"/>
        <v>#DIV/0!</v>
      </c>
      <c r="S141" s="12"/>
      <c r="T141" s="12"/>
      <c r="U141" s="12"/>
      <c r="V141" s="12"/>
      <c r="W141" s="12"/>
      <c r="X141" s="12"/>
      <c r="Y141" s="12"/>
      <c r="Z141" s="12"/>
      <c r="AA141" s="12"/>
      <c r="AB141" s="12"/>
      <c r="AC141" s="12"/>
      <c r="AD141" s="12"/>
      <c r="AE141" s="12"/>
      <c r="AF141" s="12"/>
      <c r="AG141" s="12"/>
      <c r="AH141" s="12"/>
    </row>
    <row r="142" ht="15.75" customHeight="1">
      <c r="A142" s="12"/>
      <c r="B142" s="12"/>
      <c r="C142" s="12"/>
      <c r="D142" s="12"/>
      <c r="E142" s="12"/>
      <c r="F142" s="12"/>
      <c r="G142" s="12"/>
      <c r="H142" s="12"/>
      <c r="I142" s="12"/>
      <c r="J142" s="12"/>
      <c r="K142" s="12"/>
      <c r="L142" s="12"/>
      <c r="M142" s="12"/>
      <c r="N142" s="117" t="s">
        <v>1449</v>
      </c>
      <c r="O142" s="28">
        <f>COUNTIF('M&amp;E_ESP_FINAL'!$BN$6:$BN60,"*Intermedios*")</f>
        <v>0</v>
      </c>
      <c r="P142" s="95" t="str">
        <f t="shared" si="44"/>
        <v>#DIV/0!</v>
      </c>
      <c r="Q142" s="114">
        <f>COUNTIF('M&amp;E_ESP_FINAL'!$BO$6:$BO60,"*Intermedios*")</f>
        <v>0</v>
      </c>
      <c r="R142" s="95" t="str">
        <f t="shared" si="45"/>
        <v>#DIV/0!</v>
      </c>
      <c r="S142" s="12"/>
      <c r="T142" s="12"/>
      <c r="U142" s="12"/>
      <c r="V142" s="12"/>
      <c r="W142" s="12"/>
      <c r="X142" s="12"/>
      <c r="Y142" s="12"/>
      <c r="Z142" s="12"/>
      <c r="AA142" s="12"/>
      <c r="AB142" s="12"/>
      <c r="AC142" s="12"/>
      <c r="AD142" s="12"/>
      <c r="AE142" s="12"/>
      <c r="AF142" s="12"/>
      <c r="AG142" s="12"/>
      <c r="AH142" s="12"/>
    </row>
    <row r="143" ht="15.75" customHeight="1">
      <c r="A143" s="12"/>
      <c r="B143" s="12"/>
      <c r="C143" s="12"/>
      <c r="D143" s="12"/>
      <c r="E143" s="12"/>
      <c r="F143" s="12"/>
      <c r="G143" s="12"/>
      <c r="H143" s="12"/>
      <c r="I143" s="12"/>
      <c r="J143" s="12"/>
      <c r="K143" s="12"/>
      <c r="L143" s="12"/>
      <c r="M143" s="12"/>
      <c r="N143" s="117" t="s">
        <v>1450</v>
      </c>
      <c r="O143" s="28">
        <f>COUNTIF('M&amp;E_ESP_FINAL'!$BN$6:$BN60,"*Avanzados*")</f>
        <v>0</v>
      </c>
      <c r="P143" s="95" t="str">
        <f t="shared" si="44"/>
        <v>#DIV/0!</v>
      </c>
      <c r="Q143" s="28">
        <f>COUNTIF('M&amp;E_ESP_FINAL'!$BO$6:$BO60,"*Avanzados*")</f>
        <v>0</v>
      </c>
      <c r="R143" s="95" t="str">
        <f t="shared" si="45"/>
        <v>#DIV/0!</v>
      </c>
      <c r="S143" s="12"/>
      <c r="T143" s="12"/>
      <c r="U143" s="12"/>
      <c r="V143" s="12"/>
      <c r="W143" s="12"/>
      <c r="X143" s="12"/>
      <c r="Y143" s="12"/>
      <c r="Z143" s="12"/>
      <c r="AA143" s="12"/>
      <c r="AB143" s="12"/>
      <c r="AC143" s="12"/>
      <c r="AD143" s="12"/>
      <c r="AE143" s="12"/>
      <c r="AF143" s="12"/>
      <c r="AG143" s="12"/>
      <c r="AH143" s="12"/>
    </row>
    <row r="144" ht="15.75" customHeight="1">
      <c r="A144" s="12"/>
      <c r="B144" s="12"/>
      <c r="C144" s="12"/>
      <c r="D144" s="12"/>
      <c r="E144" s="12"/>
      <c r="F144" s="12"/>
      <c r="G144" s="12"/>
      <c r="H144" s="12"/>
      <c r="I144" s="12"/>
      <c r="J144" s="12"/>
      <c r="K144" s="12"/>
      <c r="L144" s="12"/>
      <c r="M144" s="12"/>
      <c r="N144" s="12"/>
      <c r="O144" s="65">
        <f>SUM(O140:O143)</f>
        <v>0</v>
      </c>
      <c r="P144" s="65"/>
      <c r="Q144" s="65">
        <f>SUM(Q140:Q143)</f>
        <v>0</v>
      </c>
      <c r="R144" s="12"/>
      <c r="S144" s="12"/>
      <c r="T144" s="12"/>
      <c r="U144" s="12"/>
      <c r="V144" s="12"/>
      <c r="W144" s="12"/>
      <c r="X144" s="12"/>
      <c r="Y144" s="12"/>
      <c r="Z144" s="12"/>
      <c r="AA144" s="12"/>
      <c r="AB144" s="12"/>
      <c r="AC144" s="12"/>
      <c r="AD144" s="12"/>
      <c r="AE144" s="12"/>
      <c r="AF144" s="12"/>
      <c r="AG144" s="12"/>
      <c r="AH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row>
    <row r="146" ht="15.75" customHeight="1">
      <c r="A146" s="12"/>
      <c r="B146" s="12"/>
      <c r="C146" s="12"/>
      <c r="D146" s="12"/>
      <c r="E146" s="12"/>
      <c r="F146" s="12"/>
      <c r="G146" s="12"/>
      <c r="H146" s="12"/>
      <c r="I146" s="12"/>
      <c r="J146" s="12"/>
      <c r="K146" s="12"/>
      <c r="L146" s="12"/>
      <c r="M146" s="12"/>
      <c r="N146" s="19" t="s">
        <v>1451</v>
      </c>
      <c r="O146" s="12"/>
      <c r="P146" s="12"/>
      <c r="Q146" s="12"/>
      <c r="R146" s="12"/>
      <c r="S146" s="12"/>
      <c r="T146" s="12"/>
      <c r="U146" s="12"/>
      <c r="V146" s="12"/>
      <c r="W146" s="12"/>
      <c r="X146" s="12"/>
      <c r="Y146" s="12"/>
      <c r="Z146" s="12"/>
      <c r="AA146" s="12"/>
      <c r="AB146" s="12"/>
      <c r="AC146" s="12"/>
      <c r="AD146" s="12"/>
      <c r="AE146" s="12"/>
      <c r="AF146" s="12"/>
      <c r="AG146" s="12"/>
      <c r="AH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row>
    <row r="148" ht="15.75" customHeight="1">
      <c r="A148" s="12"/>
      <c r="B148" s="12"/>
      <c r="C148" s="12"/>
      <c r="D148" s="12"/>
      <c r="E148" s="12"/>
      <c r="F148" s="12"/>
      <c r="G148" s="12"/>
      <c r="H148" s="12"/>
      <c r="I148" s="12"/>
      <c r="J148" s="12"/>
      <c r="K148" s="12"/>
      <c r="L148" s="12"/>
      <c r="M148" s="12"/>
      <c r="N148" s="12"/>
      <c r="O148" s="157" t="s">
        <v>42</v>
      </c>
      <c r="P148" s="157"/>
      <c r="Q148" s="60" t="s">
        <v>43</v>
      </c>
      <c r="R148" s="60"/>
      <c r="S148" s="12"/>
      <c r="T148" s="12"/>
      <c r="U148" s="12"/>
      <c r="V148" s="12"/>
      <c r="W148" s="12"/>
      <c r="X148" s="12"/>
      <c r="Y148" s="12"/>
      <c r="Z148" s="12"/>
      <c r="AA148" s="12"/>
      <c r="AB148" s="12"/>
      <c r="AC148" s="12"/>
      <c r="AD148" s="12"/>
      <c r="AE148" s="12"/>
      <c r="AF148" s="12"/>
      <c r="AG148" s="12"/>
      <c r="AH148" s="12"/>
    </row>
    <row r="149" ht="15.75" customHeight="1">
      <c r="A149" s="12"/>
      <c r="B149" s="12"/>
      <c r="C149" s="12"/>
      <c r="D149" s="12"/>
      <c r="E149" s="12"/>
      <c r="F149" s="12"/>
      <c r="G149" s="12"/>
      <c r="H149" s="12"/>
      <c r="I149" s="12"/>
      <c r="J149" s="12"/>
      <c r="K149" s="12"/>
      <c r="L149" s="12"/>
      <c r="M149" s="12"/>
      <c r="N149" s="117" t="s">
        <v>168</v>
      </c>
      <c r="O149" s="28">
        <f>COUNTIF('M&amp;E_ESP_FINAL'!$BP$6:$BP60,"*No*")</f>
        <v>0</v>
      </c>
      <c r="P149" s="95" t="str">
        <f t="shared" ref="P149:P151" si="46">O149/$O$152</f>
        <v>#DIV/0!</v>
      </c>
      <c r="Q149" s="28">
        <f>COUNTIF('M&amp;E_ESP_FINAL'!$BQ$6:$BQ60,"*No*")</f>
        <v>0</v>
      </c>
      <c r="R149" s="95" t="str">
        <f t="shared" ref="R149:R151" si="47">Q149/$Q$152</f>
        <v>#DIV/0!</v>
      </c>
      <c r="S149" s="12"/>
      <c r="T149" s="12"/>
      <c r="U149" s="12"/>
      <c r="V149" s="12"/>
      <c r="W149" s="12"/>
      <c r="X149" s="12"/>
      <c r="Y149" s="12"/>
      <c r="Z149" s="12"/>
      <c r="AA149" s="12"/>
      <c r="AB149" s="12"/>
      <c r="AC149" s="12"/>
      <c r="AD149" s="12"/>
      <c r="AE149" s="12"/>
      <c r="AF149" s="12"/>
      <c r="AG149" s="12"/>
      <c r="AH149" s="12"/>
    </row>
    <row r="150" ht="15.75" customHeight="1">
      <c r="A150" s="12"/>
      <c r="B150" s="12"/>
      <c r="C150" s="12"/>
      <c r="D150" s="12"/>
      <c r="E150" s="12"/>
      <c r="F150" s="12"/>
      <c r="G150" s="12"/>
      <c r="H150" s="12"/>
      <c r="I150" s="12"/>
      <c r="J150" s="12"/>
      <c r="K150" s="12"/>
      <c r="L150" s="12"/>
      <c r="M150" s="12"/>
      <c r="N150" s="117" t="s">
        <v>198</v>
      </c>
      <c r="O150" s="28">
        <f>COUNTIF('M&amp;E_ESP_FINAL'!$BP$6:$BP60,"*Parcialmente*")</f>
        <v>0</v>
      </c>
      <c r="P150" s="95" t="str">
        <f t="shared" si="46"/>
        <v>#DIV/0!</v>
      </c>
      <c r="Q150" s="28">
        <f>COUNTIF('M&amp;E_ESP_FINAL'!$BQ$6:$BQ60,"*Parcialmente*")</f>
        <v>0</v>
      </c>
      <c r="R150" s="95" t="str">
        <f t="shared" si="47"/>
        <v>#DIV/0!</v>
      </c>
      <c r="S150" s="12"/>
      <c r="T150" s="12"/>
      <c r="U150" s="12"/>
      <c r="V150" s="12"/>
      <c r="W150" s="12"/>
      <c r="X150" s="12"/>
      <c r="Y150" s="12"/>
      <c r="Z150" s="12"/>
      <c r="AA150" s="12"/>
      <c r="AB150" s="12"/>
      <c r="AC150" s="12"/>
      <c r="AD150" s="12"/>
      <c r="AE150" s="12"/>
      <c r="AF150" s="12"/>
      <c r="AG150" s="12"/>
      <c r="AH150" s="12"/>
    </row>
    <row r="151" ht="15.75" customHeight="1">
      <c r="A151" s="12"/>
      <c r="B151" s="12"/>
      <c r="C151" s="12"/>
      <c r="D151" s="12"/>
      <c r="E151" s="12"/>
      <c r="F151" s="12"/>
      <c r="G151" s="12"/>
      <c r="H151" s="12"/>
      <c r="I151" s="12"/>
      <c r="J151" s="12"/>
      <c r="K151" s="12"/>
      <c r="L151" s="12"/>
      <c r="M151" s="12"/>
      <c r="N151" s="117" t="s">
        <v>132</v>
      </c>
      <c r="O151" s="28">
        <f>COUNTIF('M&amp;E_ESP_FINAL'!$BP$6:$BP60,"*Sí*")</f>
        <v>0</v>
      </c>
      <c r="P151" s="95" t="str">
        <f t="shared" si="46"/>
        <v>#DIV/0!</v>
      </c>
      <c r="Q151" s="28">
        <f>COUNTIF('M&amp;E_ESP_FINAL'!$BQ$6:$BQ60,"*Sí*")</f>
        <v>0</v>
      </c>
      <c r="R151" s="95" t="str">
        <f t="shared" si="47"/>
        <v>#DIV/0!</v>
      </c>
      <c r="S151" s="12"/>
      <c r="T151" s="12"/>
      <c r="U151" s="12"/>
      <c r="V151" s="12"/>
      <c r="W151" s="12"/>
      <c r="X151" s="12"/>
      <c r="Y151" s="12"/>
      <c r="Z151" s="12"/>
      <c r="AA151" s="12"/>
      <c r="AB151" s="12"/>
      <c r="AC151" s="12"/>
      <c r="AD151" s="12"/>
      <c r="AE151" s="12"/>
      <c r="AF151" s="12"/>
      <c r="AG151" s="12"/>
      <c r="AH151" s="12"/>
    </row>
    <row r="152" ht="15.75" customHeight="1">
      <c r="A152" s="12"/>
      <c r="B152" s="12"/>
      <c r="C152" s="12"/>
      <c r="D152" s="12"/>
      <c r="E152" s="12"/>
      <c r="F152" s="12"/>
      <c r="G152" s="12"/>
      <c r="H152" s="12"/>
      <c r="I152" s="12"/>
      <c r="J152" s="12"/>
      <c r="K152" s="12"/>
      <c r="L152" s="12"/>
      <c r="M152" s="12"/>
      <c r="N152" s="12"/>
      <c r="O152" s="65">
        <f>SUM(O149:O151)</f>
        <v>0</v>
      </c>
      <c r="P152" s="65"/>
      <c r="Q152" s="65">
        <f>SUM(Q149:Q151)</f>
        <v>0</v>
      </c>
      <c r="R152" s="12"/>
      <c r="S152" s="12"/>
      <c r="T152" s="12"/>
      <c r="U152" s="12"/>
      <c r="V152" s="12"/>
      <c r="W152" s="12"/>
      <c r="X152" s="12"/>
      <c r="Y152" s="12"/>
      <c r="Z152" s="12"/>
      <c r="AA152" s="12"/>
      <c r="AB152" s="12"/>
      <c r="AC152" s="12"/>
      <c r="AD152" s="12"/>
      <c r="AE152" s="12"/>
      <c r="AF152" s="12"/>
      <c r="AG152" s="12"/>
      <c r="AH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row>
    <row r="154" ht="15.75" customHeight="1">
      <c r="A154" s="12"/>
      <c r="B154" s="12"/>
      <c r="C154" s="12"/>
      <c r="D154" s="12"/>
      <c r="E154" s="12"/>
      <c r="F154" s="12"/>
      <c r="G154" s="12"/>
      <c r="H154" s="12"/>
      <c r="I154" s="12"/>
      <c r="J154" s="12"/>
      <c r="K154" s="12"/>
      <c r="L154" s="12"/>
      <c r="M154" s="12"/>
      <c r="N154" s="19" t="s">
        <v>1452</v>
      </c>
      <c r="O154" s="12"/>
      <c r="P154" s="12"/>
      <c r="Q154" s="12"/>
      <c r="R154" s="12"/>
      <c r="S154" s="12"/>
      <c r="T154" s="12"/>
      <c r="U154" s="12"/>
      <c r="V154" s="12"/>
      <c r="W154" s="12"/>
      <c r="X154" s="12"/>
      <c r="Y154" s="12"/>
      <c r="Z154" s="12"/>
      <c r="AA154" s="12"/>
      <c r="AB154" s="12"/>
      <c r="AC154" s="12"/>
      <c r="AD154" s="12"/>
      <c r="AE154" s="12"/>
      <c r="AF154" s="12"/>
      <c r="AG154" s="12"/>
      <c r="AH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row>
    <row r="156" ht="15.75" customHeight="1">
      <c r="A156" s="12"/>
      <c r="B156" s="12"/>
      <c r="C156" s="12"/>
      <c r="D156" s="12"/>
      <c r="E156" s="12"/>
      <c r="F156" s="12"/>
      <c r="G156" s="12"/>
      <c r="H156" s="12"/>
      <c r="I156" s="12"/>
      <c r="J156" s="12"/>
      <c r="K156" s="12"/>
      <c r="L156" s="12"/>
      <c r="M156" s="12"/>
      <c r="N156" s="12"/>
      <c r="O156" s="12"/>
      <c r="P156" s="157" t="s">
        <v>42</v>
      </c>
      <c r="Q156" s="157"/>
      <c r="R156" s="60" t="s">
        <v>43</v>
      </c>
      <c r="S156" s="60"/>
      <c r="T156" s="12"/>
      <c r="U156" s="12"/>
      <c r="V156" s="12"/>
      <c r="W156" s="12"/>
      <c r="X156" s="12"/>
      <c r="Y156" s="12"/>
      <c r="Z156" s="12"/>
      <c r="AA156" s="12"/>
      <c r="AB156" s="12"/>
      <c r="AC156" s="12"/>
      <c r="AD156" s="12"/>
      <c r="AE156" s="12"/>
      <c r="AF156" s="12"/>
      <c r="AG156" s="12"/>
      <c r="AH156" s="12"/>
    </row>
    <row r="157" ht="15.75" customHeight="1">
      <c r="A157" s="12"/>
      <c r="B157" s="12"/>
      <c r="C157" s="12"/>
      <c r="D157" s="12"/>
      <c r="E157" s="12"/>
      <c r="F157" s="12"/>
      <c r="G157" s="12"/>
      <c r="H157" s="12"/>
      <c r="I157" s="12"/>
      <c r="J157" s="12"/>
      <c r="K157" s="12"/>
      <c r="L157" s="12"/>
      <c r="M157" s="12"/>
      <c r="N157" s="12"/>
      <c r="O157" s="117" t="s">
        <v>132</v>
      </c>
      <c r="P157" s="28">
        <f>COUNTIF('M&amp;E_ESP_FINAL'!$BR$6:$BR60,"*Sí*")</f>
        <v>0</v>
      </c>
      <c r="Q157" s="95" t="str">
        <f t="shared" ref="Q157:Q158" si="48">P157/$P$159</f>
        <v>#DIV/0!</v>
      </c>
      <c r="R157" s="28">
        <f>COUNTIF('M&amp;E_ESP_FINAL'!$BS$6:$BS60,"*Sí*")</f>
        <v>0</v>
      </c>
      <c r="S157" s="95" t="str">
        <f t="shared" ref="S157:S158" si="49">R157/$R$159</f>
        <v>#DIV/0!</v>
      </c>
      <c r="T157" s="12"/>
      <c r="U157" s="12"/>
      <c r="V157" s="12"/>
      <c r="W157" s="12"/>
      <c r="X157" s="12"/>
      <c r="Y157" s="12"/>
      <c r="Z157" s="12"/>
      <c r="AA157" s="12"/>
      <c r="AB157" s="12"/>
      <c r="AC157" s="12"/>
      <c r="AD157" s="12"/>
      <c r="AE157" s="12"/>
      <c r="AF157" s="12"/>
      <c r="AG157" s="12"/>
      <c r="AH157" s="12"/>
    </row>
    <row r="158" ht="15.75" customHeight="1">
      <c r="A158" s="12"/>
      <c r="B158" s="12"/>
      <c r="C158" s="12"/>
      <c r="D158" s="12"/>
      <c r="E158" s="12"/>
      <c r="F158" s="12"/>
      <c r="G158" s="12"/>
      <c r="H158" s="12"/>
      <c r="I158" s="12"/>
      <c r="J158" s="12"/>
      <c r="K158" s="12"/>
      <c r="L158" s="12"/>
      <c r="M158" s="12"/>
      <c r="N158" s="12"/>
      <c r="O158" s="117" t="s">
        <v>168</v>
      </c>
      <c r="P158" s="28">
        <f>COUNTIF('M&amp;E_ESP_FINAL'!$BR$6:$BR60,"*No*")</f>
        <v>0</v>
      </c>
      <c r="Q158" s="95" t="str">
        <f t="shared" si="48"/>
        <v>#DIV/0!</v>
      </c>
      <c r="R158" s="28">
        <f>COUNTIF('M&amp;E_ESP_FINAL'!$BS$6:$BS60,"*No*")</f>
        <v>0</v>
      </c>
      <c r="S158" s="95" t="str">
        <f t="shared" si="49"/>
        <v>#DIV/0!</v>
      </c>
      <c r="T158" s="12"/>
      <c r="U158" s="12"/>
      <c r="V158" s="12"/>
      <c r="W158" s="12"/>
      <c r="X158" s="12"/>
      <c r="Y158" s="12"/>
      <c r="Z158" s="12"/>
      <c r="AA158" s="12"/>
      <c r="AB158" s="12"/>
      <c r="AC158" s="12"/>
      <c r="AD158" s="12"/>
      <c r="AE158" s="12"/>
      <c r="AF158" s="12"/>
      <c r="AG158" s="12"/>
      <c r="AH158" s="12"/>
    </row>
    <row r="159" ht="15.75" customHeight="1">
      <c r="A159" s="12"/>
      <c r="B159" s="12"/>
      <c r="C159" s="12"/>
      <c r="D159" s="12"/>
      <c r="E159" s="12"/>
      <c r="F159" s="12"/>
      <c r="G159" s="12"/>
      <c r="H159" s="12"/>
      <c r="I159" s="12"/>
      <c r="J159" s="12"/>
      <c r="K159" s="12"/>
      <c r="L159" s="12"/>
      <c r="M159" s="12"/>
      <c r="N159" s="12"/>
      <c r="O159" s="12"/>
      <c r="P159" s="65">
        <f>SUM(P157:P158)</f>
        <v>0</v>
      </c>
      <c r="Q159" s="65"/>
      <c r="R159" s="65">
        <f>SUM(R157:R158)</f>
        <v>0</v>
      </c>
      <c r="S159" s="12"/>
      <c r="T159" s="12"/>
      <c r="U159" s="12"/>
      <c r="V159" s="12"/>
      <c r="W159" s="12"/>
      <c r="X159" s="12"/>
      <c r="Y159" s="12"/>
      <c r="Z159" s="12"/>
      <c r="AA159" s="12"/>
      <c r="AB159" s="12"/>
      <c r="AC159" s="12"/>
      <c r="AD159" s="12"/>
      <c r="AE159" s="12"/>
      <c r="AF159" s="12"/>
      <c r="AG159" s="12"/>
      <c r="AH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row>
    <row r="161" ht="15.75" customHeight="1">
      <c r="A161" s="12"/>
      <c r="B161" s="12"/>
      <c r="C161" s="12"/>
      <c r="D161" s="12"/>
      <c r="E161" s="12"/>
      <c r="F161" s="12"/>
      <c r="G161" s="12"/>
      <c r="H161" s="12"/>
      <c r="I161" s="12"/>
      <c r="J161" s="12"/>
      <c r="K161" s="12"/>
      <c r="L161" s="12"/>
      <c r="M161" s="12"/>
      <c r="N161" s="19" t="s">
        <v>1453</v>
      </c>
      <c r="O161" s="12"/>
      <c r="P161" s="12"/>
      <c r="Q161" s="12"/>
      <c r="R161" s="12"/>
      <c r="S161" s="12"/>
      <c r="T161" s="12"/>
      <c r="U161" s="12"/>
      <c r="V161" s="12"/>
      <c r="W161" s="12"/>
      <c r="X161" s="12"/>
      <c r="Y161" s="12"/>
      <c r="Z161" s="12"/>
      <c r="AA161" s="12"/>
      <c r="AB161" s="12"/>
      <c r="AC161" s="12"/>
      <c r="AD161" s="12"/>
      <c r="AE161" s="12"/>
      <c r="AF161" s="12"/>
      <c r="AG161" s="12"/>
      <c r="AH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row>
    <row r="163" ht="15.75" customHeight="1">
      <c r="A163" s="12"/>
      <c r="B163" s="12"/>
      <c r="C163" s="12"/>
      <c r="D163" s="12"/>
      <c r="E163" s="12"/>
      <c r="F163" s="12"/>
      <c r="G163" s="12"/>
      <c r="H163" s="12"/>
      <c r="I163" s="12"/>
      <c r="J163" s="12"/>
      <c r="K163" s="12"/>
      <c r="L163" s="12"/>
      <c r="M163" s="12"/>
      <c r="N163" s="12"/>
      <c r="O163" s="157" t="s">
        <v>42</v>
      </c>
      <c r="P163" s="157"/>
      <c r="Q163" s="60" t="s">
        <v>43</v>
      </c>
      <c r="R163" s="60"/>
      <c r="S163" s="12"/>
      <c r="T163" s="12"/>
      <c r="U163" s="12"/>
      <c r="V163" s="12"/>
      <c r="W163" s="12"/>
      <c r="X163" s="12"/>
      <c r="Y163" s="12"/>
      <c r="Z163" s="12"/>
      <c r="AA163" s="12"/>
      <c r="AB163" s="12"/>
      <c r="AC163" s="12"/>
      <c r="AD163" s="12"/>
      <c r="AE163" s="12"/>
      <c r="AF163" s="12"/>
      <c r="AG163" s="12"/>
      <c r="AH163" s="12"/>
    </row>
    <row r="164" ht="15.75" customHeight="1">
      <c r="A164" s="12"/>
      <c r="B164" s="12"/>
      <c r="C164" s="12"/>
      <c r="D164" s="12"/>
      <c r="E164" s="12"/>
      <c r="F164" s="12"/>
      <c r="G164" s="12"/>
      <c r="H164" s="12"/>
      <c r="I164" s="12"/>
      <c r="J164" s="12"/>
      <c r="K164" s="12"/>
      <c r="L164" s="12"/>
      <c r="M164" s="12"/>
      <c r="N164" s="117" t="s">
        <v>1454</v>
      </c>
      <c r="O164" s="121">
        <f>COUNTIF('M&amp;E_ESP_FINAL'!$BT$6:$BT60,"*Sí, cuenta*")</f>
        <v>0</v>
      </c>
      <c r="P164" s="123" t="str">
        <f t="shared" ref="P164:P166" si="50">O164/$O$15</f>
        <v>#DIV/0!</v>
      </c>
      <c r="Q164" s="121">
        <f>COUNTIF('M&amp;E_ESP_FINAL'!$BU$6:$BU60,"*Sí, cuenta*")</f>
        <v>0</v>
      </c>
      <c r="R164" s="123" t="str">
        <f t="shared" ref="R164:R166" si="51">Q164/$Q$167</f>
        <v>#DIV/0!</v>
      </c>
      <c r="S164" s="12"/>
      <c r="T164" s="12"/>
      <c r="U164" s="12"/>
      <c r="V164" s="12"/>
      <c r="W164" s="12"/>
      <c r="X164" s="12"/>
      <c r="Y164" s="12"/>
      <c r="Z164" s="12"/>
      <c r="AA164" s="12"/>
      <c r="AB164" s="12"/>
      <c r="AC164" s="12"/>
      <c r="AD164" s="12"/>
      <c r="AE164" s="12"/>
      <c r="AF164" s="12"/>
      <c r="AG164" s="12"/>
      <c r="AH164" s="12"/>
    </row>
    <row r="165" ht="15.75" customHeight="1">
      <c r="A165" s="12"/>
      <c r="B165" s="12"/>
      <c r="C165" s="12"/>
      <c r="D165" s="12"/>
      <c r="E165" s="12"/>
      <c r="F165" s="12"/>
      <c r="G165" s="12"/>
      <c r="H165" s="12"/>
      <c r="I165" s="12"/>
      <c r="J165" s="12"/>
      <c r="K165" s="12"/>
      <c r="L165" s="12"/>
      <c r="M165" s="12"/>
      <c r="N165" s="117" t="s">
        <v>1455</v>
      </c>
      <c r="O165" s="121">
        <f>COUNTIF('M&amp;E_ESP_FINAL'!$BT$6:$BT60,"*No tiene cuenta negociorial*")</f>
        <v>0</v>
      </c>
      <c r="P165" s="123" t="str">
        <f t="shared" si="50"/>
        <v>#DIV/0!</v>
      </c>
      <c r="Q165" s="121">
        <f>COUNTIF('M&amp;E_ESP_FINAL'!$BU$6:$BU60,"*No tiene cuenta negociorial*")</f>
        <v>0</v>
      </c>
      <c r="R165" s="123" t="str">
        <f t="shared" si="51"/>
        <v>#DIV/0!</v>
      </c>
      <c r="S165" s="12"/>
      <c r="T165" s="12"/>
      <c r="U165" s="12"/>
      <c r="V165" s="12"/>
      <c r="W165" s="12"/>
      <c r="X165" s="12"/>
      <c r="Y165" s="12"/>
      <c r="Z165" s="12"/>
      <c r="AA165" s="12"/>
      <c r="AB165" s="12"/>
      <c r="AC165" s="12"/>
      <c r="AD165" s="12"/>
      <c r="AE165" s="12"/>
      <c r="AF165" s="12"/>
      <c r="AG165" s="12"/>
      <c r="AH165" s="12"/>
    </row>
    <row r="166" ht="15.75" customHeight="1">
      <c r="A166" s="12"/>
      <c r="B166" s="12"/>
      <c r="C166" s="12"/>
      <c r="D166" s="12"/>
      <c r="E166" s="12"/>
      <c r="F166" s="12"/>
      <c r="G166" s="12"/>
      <c r="H166" s="12"/>
      <c r="I166" s="12"/>
      <c r="J166" s="12"/>
      <c r="K166" s="12"/>
      <c r="L166" s="12"/>
      <c r="M166" s="12"/>
      <c r="N166" s="117" t="s">
        <v>1456</v>
      </c>
      <c r="O166" s="121">
        <f>COUNTIF('M&amp;E_ESP_FINAL'!$BT$6:$BT60,"*No utiliza ninguna cuenta *")</f>
        <v>0</v>
      </c>
      <c r="P166" s="123" t="str">
        <f t="shared" si="50"/>
        <v>#DIV/0!</v>
      </c>
      <c r="Q166" s="121">
        <f>COUNTIF('M&amp;E_ESP_FINAL'!$BU$6:$BU60,"*No utiliza ninguna cuenta*")</f>
        <v>0</v>
      </c>
      <c r="R166" s="123" t="str">
        <f t="shared" si="51"/>
        <v>#DIV/0!</v>
      </c>
      <c r="S166" s="12"/>
      <c r="T166" s="12"/>
      <c r="U166" s="12"/>
      <c r="V166" s="12"/>
      <c r="W166" s="12"/>
      <c r="X166" s="12"/>
      <c r="Y166" s="12"/>
      <c r="Z166" s="12"/>
      <c r="AA166" s="12"/>
      <c r="AB166" s="12"/>
      <c r="AC166" s="12"/>
      <c r="AD166" s="12"/>
      <c r="AE166" s="12"/>
      <c r="AF166" s="12"/>
      <c r="AG166" s="12"/>
      <c r="AH166" s="12"/>
    </row>
    <row r="167" ht="15.75" customHeight="1">
      <c r="A167" s="12"/>
      <c r="B167" s="12"/>
      <c r="C167" s="12"/>
      <c r="D167" s="12"/>
      <c r="E167" s="12"/>
      <c r="F167" s="12"/>
      <c r="G167" s="12"/>
      <c r="H167" s="12"/>
      <c r="I167" s="12"/>
      <c r="J167" s="12"/>
      <c r="K167" s="12"/>
      <c r="L167" s="12"/>
      <c r="M167" s="12"/>
      <c r="N167" s="12"/>
      <c r="O167" s="65">
        <f>SUM(O164:O166)</f>
        <v>0</v>
      </c>
      <c r="P167" s="65"/>
      <c r="Q167" s="65">
        <f>SUM(Q164:Q166)</f>
        <v>0</v>
      </c>
      <c r="R167" s="12"/>
      <c r="S167" s="12"/>
      <c r="T167" s="12"/>
      <c r="U167" s="12"/>
      <c r="V167" s="12"/>
      <c r="W167" s="12"/>
      <c r="X167" s="12"/>
      <c r="Y167" s="12"/>
      <c r="Z167" s="12"/>
      <c r="AA167" s="12"/>
      <c r="AB167" s="12"/>
      <c r="AC167" s="12"/>
      <c r="AD167" s="12"/>
      <c r="AE167" s="12"/>
      <c r="AF167" s="12"/>
      <c r="AG167" s="12"/>
      <c r="AH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row>
    <row r="170" ht="15.75" customHeight="1">
      <c r="A170" s="12"/>
      <c r="B170" s="12"/>
      <c r="C170" s="12"/>
      <c r="D170" s="12"/>
      <c r="E170" s="12"/>
      <c r="F170" s="12"/>
      <c r="G170" s="12"/>
      <c r="H170" s="12"/>
      <c r="I170" s="12"/>
      <c r="J170" s="12"/>
      <c r="K170" s="12"/>
      <c r="L170" s="12"/>
      <c r="M170" s="12"/>
      <c r="N170" s="19" t="s">
        <v>1457</v>
      </c>
      <c r="O170" s="12"/>
      <c r="P170" s="12"/>
      <c r="Q170" s="12"/>
      <c r="R170" s="12"/>
      <c r="S170" s="12"/>
      <c r="T170" s="12"/>
      <c r="U170" s="12"/>
      <c r="V170" s="12"/>
      <c r="W170" s="12"/>
      <c r="X170" s="12"/>
      <c r="Y170" s="12"/>
      <c r="Z170" s="12"/>
      <c r="AA170" s="12"/>
      <c r="AB170" s="12"/>
      <c r="AC170" s="12"/>
      <c r="AD170" s="12"/>
      <c r="AE170" s="12"/>
      <c r="AF170" s="12"/>
      <c r="AG170" s="12"/>
      <c r="AH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row>
    <row r="172" ht="15.75" customHeight="1">
      <c r="A172" s="12"/>
      <c r="B172" s="12"/>
      <c r="C172" s="12"/>
      <c r="D172" s="12"/>
      <c r="E172" s="12"/>
      <c r="F172" s="12"/>
      <c r="G172" s="12"/>
      <c r="H172" s="12"/>
      <c r="I172" s="12"/>
      <c r="J172" s="12"/>
      <c r="K172" s="12"/>
      <c r="L172" s="12"/>
      <c r="M172" s="12"/>
      <c r="N172" s="12"/>
      <c r="O172" s="157" t="s">
        <v>42</v>
      </c>
      <c r="P172" s="157"/>
      <c r="Q172" s="60" t="s">
        <v>43</v>
      </c>
      <c r="R172" s="60"/>
      <c r="S172" s="12"/>
      <c r="T172" s="12"/>
      <c r="U172" s="12"/>
      <c r="V172" s="12"/>
      <c r="W172" s="12"/>
      <c r="X172" s="12"/>
      <c r="Y172" s="12"/>
      <c r="Z172" s="12"/>
      <c r="AA172" s="12"/>
      <c r="AB172" s="12"/>
      <c r="AC172" s="12"/>
      <c r="AD172" s="12"/>
      <c r="AE172" s="12"/>
      <c r="AF172" s="12"/>
      <c r="AG172" s="12"/>
      <c r="AH172" s="12"/>
    </row>
    <row r="173" ht="15.75" customHeight="1">
      <c r="A173" s="12"/>
      <c r="B173" s="12"/>
      <c r="C173" s="12"/>
      <c r="D173" s="12"/>
      <c r="E173" s="12"/>
      <c r="F173" s="12"/>
      <c r="G173" s="12"/>
      <c r="H173" s="12"/>
      <c r="I173" s="12"/>
      <c r="J173" s="12"/>
      <c r="K173" s="12"/>
      <c r="L173" s="12"/>
      <c r="M173" s="12"/>
      <c r="N173" s="117" t="s">
        <v>1458</v>
      </c>
      <c r="O173" s="121">
        <f>COUNTIF('M&amp;E_ESP_FINAL'!$BV$6:$BV60,"*Préstamos informales*")</f>
        <v>0</v>
      </c>
      <c r="P173" s="123" t="str">
        <f t="shared" ref="P173:P179" si="52">O173/$O$180</f>
        <v>#DIV/0!</v>
      </c>
      <c r="Q173" s="121">
        <f>COUNTIF('M&amp;E_ESP_FINAL'!$BW$6:$BW60,"*Préstamos informales*")</f>
        <v>0</v>
      </c>
      <c r="R173" s="123" t="str">
        <f t="shared" ref="R173:R179" si="53">Q173/$Q$180</f>
        <v>#DIV/0!</v>
      </c>
      <c r="S173" s="12"/>
      <c r="T173" s="12"/>
      <c r="U173" s="12"/>
      <c r="V173" s="12"/>
      <c r="W173" s="12"/>
      <c r="X173" s="12"/>
      <c r="Y173" s="12"/>
      <c r="Z173" s="12"/>
      <c r="AA173" s="12"/>
      <c r="AB173" s="12"/>
      <c r="AC173" s="12"/>
      <c r="AD173" s="12"/>
      <c r="AE173" s="12"/>
      <c r="AF173" s="12"/>
      <c r="AG173" s="12"/>
      <c r="AH173" s="12"/>
    </row>
    <row r="174" ht="15.75" customHeight="1">
      <c r="A174" s="12"/>
      <c r="B174" s="12"/>
      <c r="C174" s="12"/>
      <c r="D174" s="12"/>
      <c r="E174" s="12"/>
      <c r="F174" s="12"/>
      <c r="G174" s="12"/>
      <c r="H174" s="12"/>
      <c r="I174" s="12"/>
      <c r="J174" s="12"/>
      <c r="K174" s="12"/>
      <c r="L174" s="12"/>
      <c r="M174" s="12"/>
      <c r="N174" s="117" t="s">
        <v>1459</v>
      </c>
      <c r="O174" s="121">
        <f>COUNTIF('M&amp;E_ESP_FINAL'!$BV$6:$BV60,"*Fondos familiares*")</f>
        <v>0</v>
      </c>
      <c r="P174" s="123" t="str">
        <f t="shared" si="52"/>
        <v>#DIV/0!</v>
      </c>
      <c r="Q174" s="121">
        <f>COUNTIF('M&amp;E_ESP_FINAL'!$BW$6:$BW60,"*Fondos familiares*")</f>
        <v>0</v>
      </c>
      <c r="R174" s="123" t="str">
        <f t="shared" si="53"/>
        <v>#DIV/0!</v>
      </c>
      <c r="S174" s="12"/>
      <c r="T174" s="12"/>
      <c r="U174" s="12"/>
      <c r="V174" s="12"/>
      <c r="W174" s="12"/>
      <c r="X174" s="12"/>
      <c r="Y174" s="12"/>
      <c r="Z174" s="12"/>
      <c r="AA174" s="12"/>
      <c r="AB174" s="12"/>
      <c r="AC174" s="12"/>
      <c r="AD174" s="12"/>
      <c r="AE174" s="12"/>
      <c r="AF174" s="12"/>
      <c r="AG174" s="12"/>
      <c r="AH174" s="12"/>
    </row>
    <row r="175" ht="15.75" customHeight="1">
      <c r="A175" s="12"/>
      <c r="B175" s="12"/>
      <c r="C175" s="12"/>
      <c r="D175" s="12"/>
      <c r="E175" s="12"/>
      <c r="F175" s="12"/>
      <c r="G175" s="12"/>
      <c r="H175" s="12"/>
      <c r="I175" s="12"/>
      <c r="J175" s="12"/>
      <c r="K175" s="12"/>
      <c r="L175" s="12"/>
      <c r="M175" s="12"/>
      <c r="N175" s="117" t="s">
        <v>210</v>
      </c>
      <c r="O175" s="121">
        <f>COUNTIF('M&amp;E_ESP_FINAL'!$BV$6:$BV60,"*Préstamo bancario*")</f>
        <v>0</v>
      </c>
      <c r="P175" s="123" t="str">
        <f t="shared" si="52"/>
        <v>#DIV/0!</v>
      </c>
      <c r="Q175" s="121">
        <f>COUNTIF('M&amp;E_ESP_FINAL'!$BW$6:$BW60,"*Préstamo bancario*")</f>
        <v>0</v>
      </c>
      <c r="R175" s="123" t="str">
        <f t="shared" si="53"/>
        <v>#DIV/0!</v>
      </c>
      <c r="S175" s="12"/>
      <c r="T175" s="12"/>
      <c r="U175" s="12"/>
      <c r="V175" s="12"/>
      <c r="W175" s="12"/>
      <c r="X175" s="12"/>
      <c r="Y175" s="12"/>
      <c r="Z175" s="12"/>
      <c r="AA175" s="12"/>
      <c r="AB175" s="12"/>
      <c r="AC175" s="12"/>
      <c r="AD175" s="12"/>
      <c r="AE175" s="12"/>
      <c r="AF175" s="12"/>
      <c r="AG175" s="12"/>
      <c r="AH175" s="12"/>
    </row>
    <row r="176" ht="15.75" customHeight="1">
      <c r="A176" s="12"/>
      <c r="B176" s="12"/>
      <c r="C176" s="12"/>
      <c r="D176" s="12"/>
      <c r="E176" s="12"/>
      <c r="F176" s="12"/>
      <c r="G176" s="12"/>
      <c r="H176" s="12"/>
      <c r="I176" s="12"/>
      <c r="J176" s="12"/>
      <c r="K176" s="12"/>
      <c r="L176" s="12"/>
      <c r="M176" s="12"/>
      <c r="N176" s="117" t="s">
        <v>233</v>
      </c>
      <c r="O176" s="121">
        <f>COUNTIF('M&amp;E_ESP_FINAL'!$BV$6:$BV60,"*Inversión privada*")</f>
        <v>0</v>
      </c>
      <c r="P176" s="123" t="str">
        <f t="shared" si="52"/>
        <v>#DIV/0!</v>
      </c>
      <c r="Q176" s="121">
        <f>COUNTIF('M&amp;E_ESP_FINAL'!$BW$6:$BW60,"*Inversión privada*")</f>
        <v>0</v>
      </c>
      <c r="R176" s="123" t="str">
        <f t="shared" si="53"/>
        <v>#DIV/0!</v>
      </c>
      <c r="S176" s="12"/>
      <c r="T176" s="12"/>
      <c r="U176" s="12"/>
      <c r="V176" s="12"/>
      <c r="W176" s="12"/>
      <c r="X176" s="12"/>
      <c r="Y176" s="12"/>
      <c r="Z176" s="12"/>
      <c r="AA176" s="12"/>
      <c r="AB176" s="12"/>
      <c r="AC176" s="12"/>
      <c r="AD176" s="12"/>
      <c r="AE176" s="12"/>
      <c r="AF176" s="12"/>
      <c r="AG176" s="12"/>
      <c r="AH176" s="12"/>
    </row>
    <row r="177" ht="15.75" customHeight="1">
      <c r="A177" s="12"/>
      <c r="B177" s="12"/>
      <c r="C177" s="12"/>
      <c r="D177" s="12"/>
      <c r="E177" s="12"/>
      <c r="F177" s="12"/>
      <c r="G177" s="12"/>
      <c r="H177" s="12"/>
      <c r="I177" s="12"/>
      <c r="J177" s="12"/>
      <c r="K177" s="12"/>
      <c r="L177" s="12"/>
      <c r="M177" s="12"/>
      <c r="N177" s="117" t="s">
        <v>254</v>
      </c>
      <c r="O177" s="121">
        <f>COUNTIF('M&amp;E_ESP_FINAL'!$BV$6:$BV60,"*Remesas familiares*")</f>
        <v>0</v>
      </c>
      <c r="P177" s="123" t="str">
        <f t="shared" si="52"/>
        <v>#DIV/0!</v>
      </c>
      <c r="Q177" s="121">
        <f>COUNTIF('M&amp;E_ESP_FINAL'!$BW$6:$BW60,"*Remesas familiares*")</f>
        <v>0</v>
      </c>
      <c r="R177" s="123" t="str">
        <f t="shared" si="53"/>
        <v>#DIV/0!</v>
      </c>
      <c r="S177" s="12"/>
      <c r="T177" s="12"/>
      <c r="U177" s="12"/>
      <c r="V177" s="12"/>
      <c r="W177" s="12"/>
      <c r="X177" s="12"/>
      <c r="Y177" s="12"/>
      <c r="Z177" s="12"/>
      <c r="AA177" s="12"/>
      <c r="AB177" s="12"/>
      <c r="AC177" s="12"/>
      <c r="AD177" s="12"/>
      <c r="AE177" s="12"/>
      <c r="AF177" s="12"/>
      <c r="AG177" s="12"/>
      <c r="AH177" s="12"/>
    </row>
    <row r="178" ht="15.75" customHeight="1">
      <c r="A178" s="12"/>
      <c r="B178" s="12"/>
      <c r="C178" s="12"/>
      <c r="D178" s="12"/>
      <c r="E178" s="12"/>
      <c r="F178" s="12"/>
      <c r="G178" s="12"/>
      <c r="H178" s="12"/>
      <c r="I178" s="12"/>
      <c r="J178" s="12"/>
      <c r="K178" s="12"/>
      <c r="L178" s="12"/>
      <c r="M178" s="12"/>
      <c r="N178" s="117" t="s">
        <v>264</v>
      </c>
      <c r="O178" s="121">
        <f>COUNTIF('M&amp;E_ESP_FINAL'!$BV$6:$BV60,"*Donaciones*")</f>
        <v>0</v>
      </c>
      <c r="P178" s="123" t="str">
        <f t="shared" si="52"/>
        <v>#DIV/0!</v>
      </c>
      <c r="Q178" s="121">
        <f>COUNTIF('M&amp;E_ESP_FINAL'!$BW$6:$BW60,"*Donaciones*")</f>
        <v>0</v>
      </c>
      <c r="R178" s="123" t="str">
        <f t="shared" si="53"/>
        <v>#DIV/0!</v>
      </c>
      <c r="S178" s="12"/>
      <c r="T178" s="12"/>
      <c r="U178" s="12"/>
      <c r="V178" s="12"/>
      <c r="W178" s="12"/>
      <c r="X178" s="12"/>
      <c r="Y178" s="12"/>
      <c r="Z178" s="12"/>
      <c r="AA178" s="12"/>
      <c r="AB178" s="12"/>
      <c r="AC178" s="12"/>
      <c r="AD178" s="12"/>
      <c r="AE178" s="12"/>
      <c r="AF178" s="12"/>
      <c r="AG178" s="12"/>
      <c r="AH178" s="12"/>
    </row>
    <row r="179" ht="15.75" customHeight="1">
      <c r="A179" s="12"/>
      <c r="B179" s="12"/>
      <c r="C179" s="12"/>
      <c r="D179" s="12"/>
      <c r="E179" s="12"/>
      <c r="F179" s="12"/>
      <c r="G179" s="12"/>
      <c r="H179" s="12"/>
      <c r="I179" s="12"/>
      <c r="J179" s="12"/>
      <c r="K179" s="12"/>
      <c r="L179" s="12"/>
      <c r="M179" s="12"/>
      <c r="N179" s="117" t="s">
        <v>1460</v>
      </c>
      <c r="O179" s="121">
        <f>COUNTIF('M&amp;E_ESP_FINAL'!$BV$6:$BV60,"*No he recibido*")</f>
        <v>0</v>
      </c>
      <c r="P179" s="123" t="str">
        <f t="shared" si="52"/>
        <v>#DIV/0!</v>
      </c>
      <c r="Q179" s="121">
        <f>COUNTIF('M&amp;E_ESP_FINAL'!$BW$6:$BW60,"*No he recibido*")</f>
        <v>0</v>
      </c>
      <c r="R179" s="123" t="str">
        <f t="shared" si="53"/>
        <v>#DIV/0!</v>
      </c>
      <c r="S179" s="12"/>
      <c r="T179" s="12"/>
      <c r="U179" s="12"/>
      <c r="V179" s="12"/>
      <c r="W179" s="12"/>
      <c r="X179" s="12"/>
      <c r="Y179" s="12"/>
      <c r="Z179" s="12"/>
      <c r="AA179" s="12"/>
      <c r="AB179" s="12"/>
      <c r="AC179" s="12"/>
      <c r="AD179" s="12"/>
      <c r="AE179" s="12"/>
      <c r="AF179" s="12"/>
      <c r="AG179" s="12"/>
      <c r="AH179" s="12"/>
    </row>
    <row r="180" ht="15.75" customHeight="1">
      <c r="A180" s="12"/>
      <c r="B180" s="12"/>
      <c r="C180" s="12"/>
      <c r="D180" s="12"/>
      <c r="E180" s="12"/>
      <c r="F180" s="12"/>
      <c r="G180" s="12"/>
      <c r="H180" s="12"/>
      <c r="I180" s="12"/>
      <c r="J180" s="12"/>
      <c r="K180" s="12"/>
      <c r="L180" s="12"/>
      <c r="M180" s="12"/>
      <c r="N180" s="12"/>
      <c r="O180" s="19">
        <f>SUM(O173:O179)</f>
        <v>0</v>
      </c>
      <c r="P180" s="12"/>
      <c r="Q180" s="19">
        <f>SUM(Q173:Q179)</f>
        <v>0</v>
      </c>
      <c r="R180" s="12"/>
      <c r="S180" s="12"/>
      <c r="T180" s="12"/>
      <c r="U180" s="12"/>
      <c r="V180" s="12"/>
      <c r="W180" s="12"/>
      <c r="X180" s="12"/>
      <c r="Y180" s="12"/>
      <c r="Z180" s="12"/>
      <c r="AA180" s="12"/>
      <c r="AB180" s="12"/>
      <c r="AC180" s="12"/>
      <c r="AD180" s="12"/>
      <c r="AE180" s="12"/>
      <c r="AF180" s="12"/>
      <c r="AG180" s="12"/>
      <c r="AH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row>
  </sheetData>
  <mergeCells count="102">
    <mergeCell ref="B54:G54"/>
    <mergeCell ref="B55:G55"/>
    <mergeCell ref="B56:G56"/>
    <mergeCell ref="O56:P56"/>
    <mergeCell ref="Q56:R56"/>
    <mergeCell ref="Z56:AH56"/>
    <mergeCell ref="B57:G57"/>
    <mergeCell ref="B58:G58"/>
    <mergeCell ref="B59:G59"/>
    <mergeCell ref="AA59:AB59"/>
    <mergeCell ref="AC59:AD59"/>
    <mergeCell ref="B60:G60"/>
    <mergeCell ref="O60:P60"/>
    <mergeCell ref="Q60:R60"/>
    <mergeCell ref="B61:G61"/>
    <mergeCell ref="B62:G62"/>
    <mergeCell ref="B63:G63"/>
    <mergeCell ref="B64:G64"/>
    <mergeCell ref="O64:P64"/>
    <mergeCell ref="Q64:R64"/>
    <mergeCell ref="B65:G65"/>
    <mergeCell ref="B68:H69"/>
    <mergeCell ref="AA68:AB68"/>
    <mergeCell ref="AC68:AD68"/>
    <mergeCell ref="O69:P69"/>
    <mergeCell ref="Q69:R69"/>
    <mergeCell ref="C73:D73"/>
    <mergeCell ref="E73:F73"/>
    <mergeCell ref="AA78:AB78"/>
    <mergeCell ref="AA90:AB90"/>
    <mergeCell ref="AC90:AD90"/>
    <mergeCell ref="AA98:AB98"/>
    <mergeCell ref="AC98:AD98"/>
    <mergeCell ref="AA107:AB107"/>
    <mergeCell ref="AC107:AD107"/>
    <mergeCell ref="AC78:AD78"/>
    <mergeCell ref="C79:D79"/>
    <mergeCell ref="E79:F79"/>
    <mergeCell ref="B86:I86"/>
    <mergeCell ref="Z86:AH86"/>
    <mergeCell ref="C87:D87"/>
    <mergeCell ref="E87:F87"/>
    <mergeCell ref="O111:P111"/>
    <mergeCell ref="Q111:R111"/>
    <mergeCell ref="Z114:AH114"/>
    <mergeCell ref="O120:P120"/>
    <mergeCell ref="Q120:R120"/>
    <mergeCell ref="N136:V136"/>
    <mergeCell ref="H93:I93"/>
    <mergeCell ref="J93:K93"/>
    <mergeCell ref="O96:P96"/>
    <mergeCell ref="Q96:R96"/>
    <mergeCell ref="B101:I101"/>
    <mergeCell ref="O101:P101"/>
    <mergeCell ref="Q101:R101"/>
    <mergeCell ref="C2:F2"/>
    <mergeCell ref="C4:J5"/>
    <mergeCell ref="B10:H10"/>
    <mergeCell ref="N10:V10"/>
    <mergeCell ref="Z10:AH10"/>
    <mergeCell ref="O13:P13"/>
    <mergeCell ref="Q13:R13"/>
    <mergeCell ref="AA14:AB14"/>
    <mergeCell ref="AC14:AD14"/>
    <mergeCell ref="O18:P18"/>
    <mergeCell ref="Q18:R18"/>
    <mergeCell ref="Q23:R23"/>
    <mergeCell ref="AA24:AB24"/>
    <mergeCell ref="AC24:AD24"/>
    <mergeCell ref="O23:P23"/>
    <mergeCell ref="O28:P28"/>
    <mergeCell ref="Q28:R28"/>
    <mergeCell ref="O33:P33"/>
    <mergeCell ref="Q33:R33"/>
    <mergeCell ref="AA34:AB34"/>
    <mergeCell ref="AC34:AD34"/>
    <mergeCell ref="B41:G41"/>
    <mergeCell ref="AA41:AB41"/>
    <mergeCell ref="AC41:AD41"/>
    <mergeCell ref="O42:P42"/>
    <mergeCell ref="Q42:R42"/>
    <mergeCell ref="B33:I33"/>
    <mergeCell ref="B37:G37"/>
    <mergeCell ref="B38:G38"/>
    <mergeCell ref="O38:P38"/>
    <mergeCell ref="Q38:R38"/>
    <mergeCell ref="B39:G39"/>
    <mergeCell ref="B40:G40"/>
    <mergeCell ref="B45:G45"/>
    <mergeCell ref="B46:G46"/>
    <mergeCell ref="B47:G47"/>
    <mergeCell ref="N47:V47"/>
    <mergeCell ref="B48:G48"/>
    <mergeCell ref="AA49:AB49"/>
    <mergeCell ref="AC49:AD49"/>
    <mergeCell ref="B49:G49"/>
    <mergeCell ref="B50:G50"/>
    <mergeCell ref="O50:P50"/>
    <mergeCell ref="Q50:R50"/>
    <mergeCell ref="B51:G51"/>
    <mergeCell ref="B52:G52"/>
    <mergeCell ref="B53:G5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2" width="17.29"/>
    <col customWidth="1" min="3" max="3" width="20.71"/>
    <col customWidth="1" min="4" max="4" width="21.29"/>
    <col customWidth="1" min="5" max="5" width="12.71"/>
    <col customWidth="1" min="6" max="6" width="22.71"/>
    <col customWidth="1" min="7" max="7" width="15.14"/>
    <col customWidth="1" min="8" max="8" width="11.29"/>
    <col customWidth="1" min="9" max="9" width="18.71"/>
    <col customWidth="1" min="10" max="10" width="16.0"/>
    <col customWidth="1" min="11" max="11" width="8.86"/>
    <col customWidth="1" min="12" max="12" width="11.0"/>
    <col customWidth="1" min="13" max="15" width="8.86"/>
    <col customWidth="1" min="16" max="16" width="17.86"/>
    <col customWidth="1" min="17" max="18" width="10.43"/>
    <col customWidth="1" min="19" max="20" width="14.0"/>
    <col customWidth="1" min="21" max="22" width="13.43"/>
    <col customWidth="1" min="23" max="41" width="13.71"/>
    <col customWidth="1" min="42" max="45" width="15.86"/>
    <col customWidth="1" min="46" max="46" width="18.86"/>
    <col customWidth="1" min="47" max="47" width="16.29"/>
    <col customWidth="1" min="48" max="49" width="16.71"/>
    <col customWidth="1" min="50" max="59" width="16.29"/>
    <col customWidth="1" min="60" max="61" width="20.43"/>
    <col customWidth="1" min="62" max="65" width="16.29"/>
    <col customWidth="1" min="66" max="69" width="15.86"/>
    <col customWidth="1" min="70" max="75" width="16.29"/>
    <col customWidth="1" min="76" max="77" width="10.43"/>
    <col customWidth="1" min="78" max="79" width="15.43"/>
    <col customWidth="1" min="80" max="81" width="18.14"/>
    <col customWidth="1" min="82" max="83" width="16.14"/>
    <col customWidth="1" min="84" max="85" width="9.71"/>
    <col customWidth="1" min="86" max="87" width="10.29"/>
    <col customWidth="1" min="88" max="89" width="14.0"/>
    <col customWidth="1" min="90" max="91" width="13.0"/>
    <col customWidth="1" min="92" max="93" width="10.86"/>
    <col customWidth="1" min="94" max="95" width="12.43"/>
    <col customWidth="1" min="96" max="97" width="11.29"/>
    <col customWidth="1" min="98" max="99" width="12.71"/>
    <col customWidth="1" min="100" max="101" width="11.29"/>
  </cols>
  <sheetData>
    <row r="1" ht="16.5" hidden="1" customHeight="1">
      <c r="G1" s="4"/>
      <c r="H1" s="4"/>
      <c r="T1" s="7"/>
      <c r="U1" s="7"/>
      <c r="V1" s="7"/>
      <c r="W1" s="7"/>
      <c r="X1" s="7"/>
      <c r="Y1" s="7"/>
    </row>
    <row r="2" ht="216.0" customHeight="1">
      <c r="A2" s="1"/>
      <c r="B2" s="10" t="s">
        <v>2</v>
      </c>
      <c r="C2" s="3"/>
      <c r="D2" s="3"/>
      <c r="E2" s="5" t="s">
        <v>3</v>
      </c>
      <c r="F2" s="3"/>
      <c r="G2" s="6" t="s">
        <v>4</v>
      </c>
      <c r="H2" s="8"/>
      <c r="I2" s="1"/>
      <c r="J2" s="1"/>
      <c r="K2" s="1"/>
      <c r="L2" s="1"/>
      <c r="M2" s="1"/>
      <c r="N2" s="1"/>
      <c r="O2" s="1"/>
      <c r="P2" s="1"/>
      <c r="Q2" s="1"/>
      <c r="R2" s="1"/>
      <c r="S2" s="1"/>
      <c r="T2" s="9"/>
      <c r="U2" s="9"/>
      <c r="V2" s="9"/>
      <c r="W2" s="9" t="s">
        <v>5</v>
      </c>
      <c r="X2" s="9"/>
      <c r="Y2" s="9"/>
      <c r="Z2" s="1"/>
      <c r="AA2" s="1"/>
      <c r="AB2" s="1"/>
      <c r="AC2" s="1"/>
      <c r="AD2" s="1"/>
      <c r="AE2" s="1"/>
      <c r="AF2" s="1"/>
      <c r="AG2" s="1"/>
      <c r="AH2" s="14" t="s">
        <v>7</v>
      </c>
      <c r="AI2" s="3"/>
      <c r="AJ2" s="5" t="s">
        <v>8</v>
      </c>
      <c r="AK2" s="3"/>
      <c r="AL2" s="1"/>
      <c r="AM2" s="1"/>
      <c r="AN2" s="1"/>
      <c r="AO2" s="1"/>
      <c r="AP2" s="9" t="s">
        <v>9</v>
      </c>
      <c r="AQ2" s="9" t="s">
        <v>9</v>
      </c>
      <c r="AR2" s="13" t="s">
        <v>11</v>
      </c>
      <c r="AS2" s="3"/>
      <c r="AT2" s="13" t="s">
        <v>12</v>
      </c>
      <c r="AU2" s="3"/>
      <c r="AV2" s="5" t="s">
        <v>13</v>
      </c>
      <c r="AW2" s="3"/>
      <c r="AX2" s="1"/>
      <c r="AY2" s="1"/>
      <c r="AZ2" s="1"/>
      <c r="BA2" s="1"/>
      <c r="BB2" s="5" t="s">
        <v>15</v>
      </c>
      <c r="BC2" s="3"/>
      <c r="BD2" s="9"/>
      <c r="BE2" s="9"/>
      <c r="BF2" s="1"/>
      <c r="BG2" s="1"/>
      <c r="BH2" s="15"/>
      <c r="BI2" s="3"/>
      <c r="BJ2" s="1"/>
      <c r="BK2" s="1"/>
      <c r="BL2" s="1"/>
      <c r="BM2" s="1"/>
      <c r="BN2" s="1"/>
      <c r="BO2" s="1"/>
      <c r="BP2" s="1"/>
      <c r="BQ2" s="1"/>
      <c r="BR2" s="1"/>
      <c r="BS2" s="1"/>
      <c r="BT2" s="1"/>
      <c r="BU2" s="1"/>
      <c r="BV2" s="1"/>
      <c r="BW2" s="1"/>
      <c r="BX2" s="1"/>
      <c r="BY2" s="1"/>
      <c r="BZ2" s="1"/>
      <c r="CA2" s="1"/>
      <c r="CB2" s="1"/>
      <c r="CC2" s="1"/>
      <c r="CD2" s="1"/>
      <c r="CE2" s="1"/>
      <c r="CF2" s="1"/>
      <c r="CG2" s="1"/>
      <c r="CH2" s="1"/>
      <c r="CI2" s="1"/>
      <c r="CJ2" s="11" t="s">
        <v>14</v>
      </c>
      <c r="CK2" s="3"/>
      <c r="CL2" s="1"/>
      <c r="CM2" s="1"/>
      <c r="CN2" s="1"/>
      <c r="CO2" s="1"/>
      <c r="CP2" s="1"/>
      <c r="CQ2" s="1"/>
      <c r="CR2" s="1"/>
      <c r="CS2" s="1"/>
      <c r="CT2" s="9"/>
      <c r="CU2" s="1"/>
      <c r="CV2" s="1"/>
      <c r="CW2" s="1"/>
    </row>
    <row r="3">
      <c r="A3" s="25"/>
      <c r="B3" s="26" t="s">
        <v>23</v>
      </c>
      <c r="C3" s="27"/>
      <c r="D3" s="29" t="s">
        <v>24</v>
      </c>
      <c r="E3" s="30"/>
      <c r="F3" s="30"/>
      <c r="G3" s="31"/>
      <c r="H3" s="33" t="s">
        <v>25</v>
      </c>
      <c r="I3" s="30"/>
      <c r="J3" s="30"/>
      <c r="K3" s="30"/>
      <c r="L3" s="30"/>
      <c r="M3" s="30"/>
      <c r="N3" s="30"/>
      <c r="O3" s="30"/>
      <c r="P3" s="30"/>
      <c r="Q3" s="30"/>
      <c r="R3" s="30"/>
      <c r="S3" s="30"/>
      <c r="T3" s="30"/>
      <c r="U3" s="30"/>
      <c r="V3" s="30"/>
      <c r="W3" s="30"/>
      <c r="X3" s="30"/>
      <c r="Y3" s="34"/>
      <c r="Z3" s="35" t="s">
        <v>27</v>
      </c>
      <c r="AA3" s="30"/>
      <c r="AB3" s="30"/>
      <c r="AC3" s="30"/>
      <c r="AD3" s="30"/>
      <c r="AE3" s="30"/>
      <c r="AF3" s="30"/>
      <c r="AG3" s="30"/>
      <c r="AH3" s="30"/>
      <c r="AI3" s="30"/>
      <c r="AJ3" s="30"/>
      <c r="AK3" s="30"/>
      <c r="AL3" s="30"/>
      <c r="AM3" s="34"/>
      <c r="AN3" s="36" t="s">
        <v>29</v>
      </c>
      <c r="AO3" s="30"/>
      <c r="AP3" s="30"/>
      <c r="AQ3" s="30"/>
      <c r="AR3" s="30"/>
      <c r="AS3" s="30"/>
      <c r="AT3" s="30"/>
      <c r="AU3" s="30"/>
      <c r="AV3" s="30"/>
      <c r="AW3" s="30"/>
      <c r="AX3" s="30"/>
      <c r="AY3" s="30"/>
      <c r="AZ3" s="30"/>
      <c r="BA3" s="30"/>
      <c r="BB3" s="30"/>
      <c r="BC3" s="30"/>
      <c r="BD3" s="30"/>
      <c r="BE3" s="30"/>
      <c r="BF3" s="30"/>
      <c r="BG3" s="30"/>
      <c r="BH3" s="30"/>
      <c r="BI3" s="30"/>
      <c r="BJ3" s="30"/>
      <c r="BK3" s="30"/>
      <c r="BL3" s="30"/>
      <c r="BM3" s="31"/>
      <c r="BN3" s="37" t="s">
        <v>32</v>
      </c>
      <c r="BO3" s="30"/>
      <c r="BP3" s="30"/>
      <c r="BQ3" s="30"/>
      <c r="BR3" s="30"/>
      <c r="BS3" s="30"/>
      <c r="BT3" s="30"/>
      <c r="BU3" s="30"/>
      <c r="BV3" s="30"/>
      <c r="BW3" s="31"/>
      <c r="BX3" s="38" t="s">
        <v>34</v>
      </c>
      <c r="BY3" s="30"/>
      <c r="BZ3" s="30"/>
      <c r="CA3" s="30"/>
      <c r="CB3" s="30"/>
      <c r="CC3" s="30"/>
      <c r="CD3" s="30"/>
      <c r="CE3" s="30"/>
      <c r="CF3" s="30"/>
      <c r="CG3" s="31"/>
      <c r="CH3" s="39" t="s">
        <v>35</v>
      </c>
      <c r="CI3" s="30"/>
      <c r="CJ3" s="30"/>
      <c r="CK3" s="30"/>
      <c r="CL3" s="30"/>
      <c r="CM3" s="34"/>
      <c r="CN3" s="40" t="s">
        <v>36</v>
      </c>
      <c r="CO3" s="30"/>
      <c r="CP3" s="30"/>
      <c r="CQ3" s="30"/>
      <c r="CR3" s="30"/>
      <c r="CS3" s="34"/>
      <c r="CT3" s="41" t="s">
        <v>37</v>
      </c>
      <c r="CU3" s="42"/>
      <c r="CV3" s="42"/>
      <c r="CW3" s="43"/>
    </row>
    <row r="4">
      <c r="A4" s="44"/>
      <c r="B4" s="45"/>
      <c r="C4" s="45"/>
      <c r="D4" s="46"/>
      <c r="E4" s="48"/>
      <c r="F4" s="49"/>
      <c r="G4" s="50"/>
      <c r="H4" s="51"/>
      <c r="I4" s="52"/>
      <c r="J4" s="51"/>
      <c r="K4" s="51"/>
      <c r="L4" s="51"/>
      <c r="M4" s="51"/>
      <c r="N4" s="51"/>
      <c r="O4" s="51"/>
      <c r="P4" s="51"/>
      <c r="Q4" s="52"/>
      <c r="R4" s="54" t="s">
        <v>43</v>
      </c>
      <c r="S4" s="51"/>
      <c r="T4" s="54" t="s">
        <v>43</v>
      </c>
      <c r="U4" s="56"/>
      <c r="V4" s="54" t="s">
        <v>43</v>
      </c>
      <c r="W4" s="57"/>
      <c r="X4" s="54" t="s">
        <v>43</v>
      </c>
      <c r="Y4" s="57"/>
      <c r="Z4" s="51"/>
      <c r="AA4" s="55" t="s">
        <v>43</v>
      </c>
      <c r="AB4" s="58"/>
      <c r="AC4" s="55" t="s">
        <v>43</v>
      </c>
      <c r="AD4" s="51"/>
      <c r="AE4" s="54" t="s">
        <v>43</v>
      </c>
      <c r="AF4" s="57"/>
      <c r="AG4" s="54" t="s">
        <v>43</v>
      </c>
      <c r="AH4" s="61"/>
      <c r="AI4" s="54" t="s">
        <v>43</v>
      </c>
      <c r="AJ4" s="51"/>
      <c r="AK4" s="54" t="s">
        <v>43</v>
      </c>
      <c r="AL4" s="63"/>
      <c r="AM4" s="59" t="s">
        <v>43</v>
      </c>
      <c r="AN4" s="52"/>
      <c r="AO4" s="60" t="s">
        <v>43</v>
      </c>
      <c r="AP4" s="64"/>
      <c r="AQ4" s="62" t="s">
        <v>43</v>
      </c>
      <c r="AR4" s="66"/>
      <c r="AS4" s="62" t="s">
        <v>43</v>
      </c>
      <c r="AT4" s="68"/>
      <c r="AU4" s="62" t="s">
        <v>43</v>
      </c>
      <c r="AV4" s="69"/>
      <c r="AW4" s="62" t="s">
        <v>43</v>
      </c>
      <c r="AX4" s="69"/>
      <c r="AY4" s="62" t="s">
        <v>43</v>
      </c>
      <c r="AZ4" s="64"/>
      <c r="BA4" s="67" t="s">
        <v>43</v>
      </c>
      <c r="BB4" s="70"/>
      <c r="BC4" s="60" t="s">
        <v>43</v>
      </c>
      <c r="BD4" s="70"/>
      <c r="BE4" s="60" t="s">
        <v>43</v>
      </c>
      <c r="BF4" s="70"/>
      <c r="BG4" s="60" t="s">
        <v>43</v>
      </c>
      <c r="BH4" s="70"/>
      <c r="BI4" s="60" t="s">
        <v>43</v>
      </c>
      <c r="BJ4" s="70"/>
      <c r="BK4" s="60" t="s">
        <v>43</v>
      </c>
      <c r="BL4" s="70"/>
      <c r="BM4" s="60" t="s">
        <v>43</v>
      </c>
      <c r="BN4" s="64"/>
      <c r="BO4" s="60" t="s">
        <v>43</v>
      </c>
      <c r="BP4" s="71"/>
      <c r="BQ4" s="60" t="s">
        <v>43</v>
      </c>
      <c r="BR4" s="70"/>
      <c r="BS4" s="60" t="s">
        <v>43</v>
      </c>
      <c r="BT4" s="70"/>
      <c r="BU4" s="60" t="s">
        <v>43</v>
      </c>
      <c r="BV4" s="68"/>
      <c r="BW4" s="60" t="s">
        <v>43</v>
      </c>
      <c r="BX4" s="75"/>
      <c r="BY4" s="73" t="s">
        <v>43</v>
      </c>
      <c r="BZ4" s="75"/>
      <c r="CA4" s="73" t="s">
        <v>43</v>
      </c>
      <c r="CB4" s="77"/>
      <c r="CC4" s="73" t="s">
        <v>43</v>
      </c>
      <c r="CD4" s="63"/>
      <c r="CE4" s="73" t="s">
        <v>43</v>
      </c>
      <c r="CF4" s="63"/>
      <c r="CG4" s="73" t="s">
        <v>43</v>
      </c>
      <c r="CH4" s="63"/>
      <c r="CI4" s="59" t="s">
        <v>43</v>
      </c>
      <c r="CJ4" s="63"/>
      <c r="CK4" s="59" t="s">
        <v>43</v>
      </c>
      <c r="CL4" s="63"/>
      <c r="CM4" s="59" t="s">
        <v>43</v>
      </c>
      <c r="CN4" s="79"/>
      <c r="CO4" s="62" t="s">
        <v>43</v>
      </c>
      <c r="CP4" s="79"/>
      <c r="CQ4" s="62" t="s">
        <v>43</v>
      </c>
      <c r="CR4" s="79"/>
      <c r="CS4" s="62" t="s">
        <v>43</v>
      </c>
      <c r="CT4" s="79"/>
      <c r="CU4" s="62" t="s">
        <v>43</v>
      </c>
      <c r="CV4" s="79"/>
      <c r="CW4" s="55" t="s">
        <v>43</v>
      </c>
    </row>
    <row r="5">
      <c r="A5" s="7"/>
      <c r="B5" s="82" t="s">
        <v>52</v>
      </c>
      <c r="C5" s="82" t="s">
        <v>53</v>
      </c>
      <c r="D5" s="84" t="s">
        <v>54</v>
      </c>
      <c r="E5" s="85" t="s">
        <v>55</v>
      </c>
      <c r="F5" s="82" t="s">
        <v>57</v>
      </c>
      <c r="G5" s="82" t="s">
        <v>59</v>
      </c>
      <c r="H5" s="89" t="s">
        <v>60</v>
      </c>
      <c r="I5" s="90" t="s">
        <v>62</v>
      </c>
      <c r="J5" s="84" t="s">
        <v>63</v>
      </c>
      <c r="K5" s="91" t="s">
        <v>65</v>
      </c>
      <c r="L5" s="91" t="s">
        <v>66</v>
      </c>
      <c r="M5" s="91" t="s">
        <v>67</v>
      </c>
      <c r="N5" s="91" t="s">
        <v>68</v>
      </c>
      <c r="O5" s="91" t="s">
        <v>70</v>
      </c>
      <c r="P5" s="85" t="s">
        <v>71</v>
      </c>
      <c r="Q5" s="82" t="s">
        <v>72</v>
      </c>
      <c r="R5" s="91" t="s">
        <v>72</v>
      </c>
      <c r="S5" s="91" t="s">
        <v>73</v>
      </c>
      <c r="T5" s="91" t="s">
        <v>73</v>
      </c>
      <c r="U5" s="84" t="s">
        <v>75</v>
      </c>
      <c r="V5" s="84" t="s">
        <v>75</v>
      </c>
      <c r="W5" s="84" t="s">
        <v>76</v>
      </c>
      <c r="X5" s="84" t="s">
        <v>76</v>
      </c>
      <c r="Y5" s="84" t="s">
        <v>77</v>
      </c>
      <c r="Z5" s="91" t="s">
        <v>79</v>
      </c>
      <c r="AA5" s="91" t="s">
        <v>79</v>
      </c>
      <c r="AB5" s="91" t="s">
        <v>80</v>
      </c>
      <c r="AC5" s="91" t="s">
        <v>80</v>
      </c>
      <c r="AD5" s="91" t="s">
        <v>81</v>
      </c>
      <c r="AE5" s="91" t="s">
        <v>81</v>
      </c>
      <c r="AF5" s="91" t="s">
        <v>82</v>
      </c>
      <c r="AG5" s="91" t="s">
        <v>82</v>
      </c>
      <c r="AH5" s="91" t="s">
        <v>83</v>
      </c>
      <c r="AI5" s="91" t="s">
        <v>83</v>
      </c>
      <c r="AJ5" s="84" t="s">
        <v>84</v>
      </c>
      <c r="AK5" s="84" t="s">
        <v>84</v>
      </c>
      <c r="AL5" s="82" t="s">
        <v>85</v>
      </c>
      <c r="AM5" s="99" t="s">
        <v>85</v>
      </c>
      <c r="AN5" s="80" t="s">
        <v>86</v>
      </c>
      <c r="AO5" s="80" t="s">
        <v>86</v>
      </c>
      <c r="AP5" s="80" t="s">
        <v>87</v>
      </c>
      <c r="AQ5" s="84" t="s">
        <v>87</v>
      </c>
      <c r="AR5" s="91" t="s">
        <v>88</v>
      </c>
      <c r="AS5" s="91" t="s">
        <v>88</v>
      </c>
      <c r="AT5" s="82" t="s">
        <v>89</v>
      </c>
      <c r="AU5" s="99" t="s">
        <v>90</v>
      </c>
      <c r="AV5" s="82" t="s">
        <v>91</v>
      </c>
      <c r="AW5" s="82" t="s">
        <v>91</v>
      </c>
      <c r="AX5" s="99" t="s">
        <v>92</v>
      </c>
      <c r="AY5" s="99" t="s">
        <v>92</v>
      </c>
      <c r="AZ5" s="82" t="s">
        <v>93</v>
      </c>
      <c r="BA5" s="82" t="s">
        <v>93</v>
      </c>
      <c r="BB5" s="97" t="s">
        <v>96</v>
      </c>
      <c r="BC5" s="97" t="s">
        <v>96</v>
      </c>
      <c r="BD5" s="97" t="s">
        <v>97</v>
      </c>
      <c r="BE5" s="97" t="s">
        <v>98</v>
      </c>
      <c r="BF5" s="80" t="s">
        <v>113</v>
      </c>
      <c r="BG5" s="82" t="s">
        <v>99</v>
      </c>
      <c r="BH5" s="102" t="s">
        <v>100</v>
      </c>
      <c r="BI5" s="102" t="s">
        <v>100</v>
      </c>
      <c r="BJ5" s="82" t="s">
        <v>101</v>
      </c>
      <c r="BK5" s="99" t="s">
        <v>101</v>
      </c>
      <c r="BL5" s="82" t="s">
        <v>102</v>
      </c>
      <c r="BM5" s="104" t="s">
        <v>102</v>
      </c>
      <c r="BN5" s="82" t="s">
        <v>104</v>
      </c>
      <c r="BO5" s="102" t="s">
        <v>104</v>
      </c>
      <c r="BP5" s="102" t="s">
        <v>105</v>
      </c>
      <c r="BQ5" s="102" t="s">
        <v>105</v>
      </c>
      <c r="BR5" s="82" t="s">
        <v>106</v>
      </c>
      <c r="BS5" s="82" t="s">
        <v>106</v>
      </c>
      <c r="BT5" s="82" t="s">
        <v>107</v>
      </c>
      <c r="BU5" s="82" t="s">
        <v>107</v>
      </c>
      <c r="BV5" s="80" t="s">
        <v>126</v>
      </c>
      <c r="BW5" s="80" t="s">
        <v>126</v>
      </c>
      <c r="BX5" s="84" t="s">
        <v>109</v>
      </c>
      <c r="BY5" s="84" t="s">
        <v>109</v>
      </c>
      <c r="BZ5" s="88" t="s">
        <v>110</v>
      </c>
      <c r="CA5" s="111" t="s">
        <v>110</v>
      </c>
      <c r="CB5" s="91" t="s">
        <v>111</v>
      </c>
      <c r="CC5" s="91" t="s">
        <v>111</v>
      </c>
      <c r="CD5" s="82" t="s">
        <v>112</v>
      </c>
      <c r="CE5" s="82" t="s">
        <v>112</v>
      </c>
      <c r="CF5" s="82" t="s">
        <v>114</v>
      </c>
      <c r="CG5" s="89" t="s">
        <v>114</v>
      </c>
      <c r="CH5" s="82" t="s">
        <v>115</v>
      </c>
      <c r="CI5" s="94" t="s">
        <v>115</v>
      </c>
      <c r="CJ5" s="82" t="s">
        <v>116</v>
      </c>
      <c r="CK5" s="82" t="s">
        <v>116</v>
      </c>
      <c r="CL5" s="80" t="s">
        <v>117</v>
      </c>
      <c r="CM5" s="80" t="s">
        <v>117</v>
      </c>
      <c r="CN5" s="102" t="s">
        <v>118</v>
      </c>
      <c r="CO5" s="99" t="s">
        <v>118</v>
      </c>
      <c r="CP5" s="82" t="s">
        <v>119</v>
      </c>
      <c r="CQ5" s="102" t="s">
        <v>119</v>
      </c>
      <c r="CR5" s="80" t="s">
        <v>120</v>
      </c>
      <c r="CS5" s="99" t="s">
        <v>120</v>
      </c>
      <c r="CT5" s="82" t="s">
        <v>123</v>
      </c>
      <c r="CU5" s="82" t="s">
        <v>123</v>
      </c>
      <c r="CV5" s="94" t="s">
        <v>124</v>
      </c>
      <c r="CW5" s="82" t="s">
        <v>124</v>
      </c>
    </row>
    <row r="6" ht="180.0" customHeight="1">
      <c r="A6" s="12" t="s">
        <v>128</v>
      </c>
      <c r="B6" s="114" t="s">
        <v>129</v>
      </c>
      <c r="C6" s="115" t="s">
        <v>20</v>
      </c>
      <c r="D6" s="116" t="s">
        <v>78</v>
      </c>
      <c r="E6" s="103"/>
      <c r="F6" s="28" t="s">
        <v>131</v>
      </c>
      <c r="G6" s="28" t="s">
        <v>132</v>
      </c>
      <c r="H6" s="106"/>
      <c r="I6" s="119" t="s">
        <v>133</v>
      </c>
      <c r="J6" s="120"/>
      <c r="K6" s="122"/>
      <c r="L6" s="122"/>
      <c r="M6" s="122" t="s">
        <v>134</v>
      </c>
      <c r="N6" s="122" t="s">
        <v>135</v>
      </c>
      <c r="O6" s="122" t="s">
        <v>136</v>
      </c>
      <c r="P6" s="103"/>
      <c r="Q6" s="28" t="s">
        <v>132</v>
      </c>
      <c r="R6" s="28" t="s">
        <v>132</v>
      </c>
      <c r="S6" s="28" t="s">
        <v>132</v>
      </c>
      <c r="T6" s="28" t="s">
        <v>132</v>
      </c>
      <c r="U6" s="28" t="s">
        <v>132</v>
      </c>
      <c r="V6" s="103" t="s">
        <v>132</v>
      </c>
      <c r="W6" s="124" t="s">
        <v>137</v>
      </c>
      <c r="X6" s="124" t="s">
        <v>137</v>
      </c>
      <c r="Y6" s="124" t="s">
        <v>138</v>
      </c>
      <c r="Z6" s="28"/>
      <c r="AA6" s="28"/>
      <c r="AB6" s="28"/>
      <c r="AC6" s="28"/>
      <c r="AD6" s="28"/>
      <c r="AE6" s="28"/>
      <c r="AF6" s="28"/>
      <c r="AG6" s="28"/>
      <c r="AH6" s="28"/>
      <c r="AI6" s="28"/>
      <c r="AJ6" s="28"/>
      <c r="AK6" s="103"/>
      <c r="AL6" s="28" t="s">
        <v>132</v>
      </c>
      <c r="AM6" s="103" t="s">
        <v>132</v>
      </c>
      <c r="AN6" s="28" t="s">
        <v>132</v>
      </c>
      <c r="AO6" s="28" t="s">
        <v>132</v>
      </c>
      <c r="AP6" s="110"/>
      <c r="AQ6" s="110"/>
      <c r="AR6" s="28"/>
      <c r="AS6" s="103"/>
      <c r="AT6" s="28"/>
      <c r="AU6" s="28"/>
      <c r="AV6" s="28"/>
      <c r="AW6" s="28"/>
      <c r="AX6" s="28" t="s">
        <v>141</v>
      </c>
      <c r="AY6" s="103" t="s">
        <v>141</v>
      </c>
      <c r="AZ6" s="126" t="s">
        <v>142</v>
      </c>
      <c r="BA6" s="126" t="s">
        <v>142</v>
      </c>
      <c r="BB6" s="126" t="s">
        <v>142</v>
      </c>
      <c r="BC6" s="126" t="s">
        <v>142</v>
      </c>
      <c r="BD6" s="28"/>
      <c r="BE6" s="103"/>
      <c r="BF6" s="122" t="s">
        <v>143</v>
      </c>
      <c r="BG6" s="120" t="s">
        <v>143</v>
      </c>
      <c r="BH6" s="120" t="s">
        <v>144</v>
      </c>
      <c r="BI6" s="120" t="s">
        <v>144</v>
      </c>
      <c r="BJ6" s="122" t="s">
        <v>145</v>
      </c>
      <c r="BK6" s="117" t="s">
        <v>145</v>
      </c>
      <c r="BL6" s="82" t="s">
        <v>146</v>
      </c>
      <c r="BM6" s="82" t="s">
        <v>146</v>
      </c>
      <c r="BN6" s="122" t="s">
        <v>148</v>
      </c>
      <c r="BO6" s="120" t="s">
        <v>148</v>
      </c>
      <c r="BP6" s="122" t="s">
        <v>149</v>
      </c>
      <c r="BQ6" s="122" t="s">
        <v>149</v>
      </c>
      <c r="BR6" s="28" t="s">
        <v>141</v>
      </c>
      <c r="BS6" s="28" t="s">
        <v>141</v>
      </c>
      <c r="BT6" s="122" t="s">
        <v>151</v>
      </c>
      <c r="BU6" s="122" t="s">
        <v>151</v>
      </c>
      <c r="BV6" s="127" t="s">
        <v>152</v>
      </c>
      <c r="BW6" s="127" t="s">
        <v>152</v>
      </c>
      <c r="BX6" s="120" t="s">
        <v>153</v>
      </c>
      <c r="BY6" s="120" t="s">
        <v>153</v>
      </c>
      <c r="BZ6" s="122" t="s">
        <v>154</v>
      </c>
      <c r="CA6" s="122" t="s">
        <v>154</v>
      </c>
      <c r="CB6" s="120" t="s">
        <v>155</v>
      </c>
      <c r="CC6" s="122" t="s">
        <v>155</v>
      </c>
      <c r="CD6" s="122" t="s">
        <v>156</v>
      </c>
      <c r="CE6" s="122" t="s">
        <v>156</v>
      </c>
      <c r="CF6" s="122" t="s">
        <v>157</v>
      </c>
      <c r="CG6" s="122" t="s">
        <v>157</v>
      </c>
      <c r="CH6" s="117" t="s">
        <v>158</v>
      </c>
      <c r="CI6" s="117" t="s">
        <v>158</v>
      </c>
      <c r="CJ6" s="122" t="s">
        <v>159</v>
      </c>
      <c r="CK6" s="122" t="s">
        <v>159</v>
      </c>
      <c r="CL6" s="122" t="s">
        <v>161</v>
      </c>
      <c r="CM6" s="122" t="s">
        <v>161</v>
      </c>
      <c r="CN6" s="28" t="s">
        <v>141</v>
      </c>
      <c r="CO6" s="28" t="s">
        <v>141</v>
      </c>
      <c r="CP6" s="122" t="s">
        <v>162</v>
      </c>
      <c r="CQ6" s="117" t="s">
        <v>162</v>
      </c>
      <c r="CR6" s="122" t="s">
        <v>163</v>
      </c>
      <c r="CS6" s="122" t="s">
        <v>163</v>
      </c>
      <c r="CT6" s="122" t="s">
        <v>164</v>
      </c>
      <c r="CU6" s="122" t="s">
        <v>164</v>
      </c>
      <c r="CV6" s="122" t="s">
        <v>165</v>
      </c>
      <c r="CW6" s="122" t="s">
        <v>165</v>
      </c>
    </row>
    <row r="7">
      <c r="A7" s="12"/>
      <c r="B7" s="12"/>
      <c r="C7" s="28" t="s">
        <v>28</v>
      </c>
      <c r="D7" s="28" t="s">
        <v>103</v>
      </c>
      <c r="E7" s="12"/>
      <c r="F7" s="28" t="s">
        <v>167</v>
      </c>
      <c r="G7" s="28" t="s">
        <v>168</v>
      </c>
      <c r="H7" s="12"/>
      <c r="I7" s="119" t="s">
        <v>169</v>
      </c>
      <c r="J7" s="12"/>
      <c r="K7" s="12"/>
      <c r="L7" s="12"/>
      <c r="M7" s="12"/>
      <c r="N7" s="12"/>
      <c r="O7" s="12"/>
      <c r="P7" s="12"/>
      <c r="Q7" s="28" t="s">
        <v>168</v>
      </c>
      <c r="R7" s="28" t="s">
        <v>168</v>
      </c>
      <c r="S7" s="116" t="s">
        <v>168</v>
      </c>
      <c r="T7" s="116" t="s">
        <v>168</v>
      </c>
      <c r="U7" s="28" t="s">
        <v>168</v>
      </c>
      <c r="V7" s="103" t="s">
        <v>168</v>
      </c>
      <c r="W7" s="124" t="s">
        <v>170</v>
      </c>
      <c r="X7" s="124" t="s">
        <v>170</v>
      </c>
      <c r="Y7" s="129" t="s">
        <v>171</v>
      </c>
      <c r="Z7" s="12"/>
      <c r="AA7" s="12"/>
      <c r="AB7" s="12"/>
      <c r="AC7" s="12"/>
      <c r="AD7" s="12"/>
      <c r="AE7" s="12"/>
      <c r="AF7" s="12"/>
      <c r="AG7" s="12"/>
      <c r="AH7" s="12"/>
      <c r="AI7" s="12"/>
      <c r="AJ7" s="12"/>
      <c r="AK7" s="12"/>
      <c r="AL7" s="28" t="s">
        <v>168</v>
      </c>
      <c r="AM7" s="103" t="s">
        <v>168</v>
      </c>
      <c r="AN7" s="28" t="s">
        <v>168</v>
      </c>
      <c r="AO7" s="28" t="s">
        <v>168</v>
      </c>
      <c r="AP7" s="12"/>
      <c r="AQ7" s="12"/>
      <c r="AR7" s="12"/>
      <c r="AS7" s="12"/>
      <c r="AT7" s="12"/>
      <c r="AU7" s="12"/>
      <c r="AV7" s="12"/>
      <c r="AW7" s="12"/>
      <c r="AX7" s="28" t="s">
        <v>168</v>
      </c>
      <c r="AY7" s="103" t="s">
        <v>168</v>
      </c>
      <c r="AZ7" s="121" t="s">
        <v>173</v>
      </c>
      <c r="BA7" s="121" t="s">
        <v>173</v>
      </c>
      <c r="BB7" s="121" t="s">
        <v>173</v>
      </c>
      <c r="BC7" s="121" t="s">
        <v>173</v>
      </c>
      <c r="BD7" s="12"/>
      <c r="BE7" s="12"/>
      <c r="BF7" s="122" t="s">
        <v>174</v>
      </c>
      <c r="BG7" s="120" t="s">
        <v>174</v>
      </c>
      <c r="BH7" s="120" t="s">
        <v>175</v>
      </c>
      <c r="BI7" s="120" t="s">
        <v>175</v>
      </c>
      <c r="BJ7" s="130" t="s">
        <v>176</v>
      </c>
      <c r="BK7" s="130" t="s">
        <v>176</v>
      </c>
      <c r="BL7" s="82" t="s">
        <v>177</v>
      </c>
      <c r="BM7" s="82" t="s">
        <v>177</v>
      </c>
      <c r="BN7" s="122" t="s">
        <v>178</v>
      </c>
      <c r="BO7" s="120" t="s">
        <v>178</v>
      </c>
      <c r="BP7" s="127" t="s">
        <v>179</v>
      </c>
      <c r="BQ7" s="127" t="s">
        <v>179</v>
      </c>
      <c r="BR7" s="28" t="s">
        <v>168</v>
      </c>
      <c r="BS7" s="28" t="s">
        <v>168</v>
      </c>
      <c r="BT7" s="122" t="s">
        <v>180</v>
      </c>
      <c r="BU7" s="122" t="s">
        <v>180</v>
      </c>
      <c r="BV7" s="122" t="s">
        <v>181</v>
      </c>
      <c r="BW7" s="122" t="s">
        <v>181</v>
      </c>
      <c r="BX7" s="120" t="s">
        <v>182</v>
      </c>
      <c r="BY7" s="120" t="s">
        <v>182</v>
      </c>
      <c r="BZ7" s="122" t="s">
        <v>183</v>
      </c>
      <c r="CA7" s="122" t="s">
        <v>183</v>
      </c>
      <c r="CB7" s="120" t="s">
        <v>184</v>
      </c>
      <c r="CC7" s="122" t="s">
        <v>184</v>
      </c>
      <c r="CD7" s="122" t="s">
        <v>185</v>
      </c>
      <c r="CE7" s="122" t="s">
        <v>185</v>
      </c>
      <c r="CF7" s="122" t="s">
        <v>186</v>
      </c>
      <c r="CG7" s="122" t="s">
        <v>186</v>
      </c>
      <c r="CH7" s="117" t="s">
        <v>188</v>
      </c>
      <c r="CI7" s="117" t="s">
        <v>188</v>
      </c>
      <c r="CJ7" s="122" t="s">
        <v>189</v>
      </c>
      <c r="CK7" s="122" t="s">
        <v>189</v>
      </c>
      <c r="CL7" s="122" t="s">
        <v>190</v>
      </c>
      <c r="CM7" s="122" t="s">
        <v>190</v>
      </c>
      <c r="CN7" s="28" t="s">
        <v>168</v>
      </c>
      <c r="CO7" s="28" t="s">
        <v>168</v>
      </c>
      <c r="CP7" s="122" t="s">
        <v>191</v>
      </c>
      <c r="CQ7" s="117" t="s">
        <v>191</v>
      </c>
      <c r="CR7" s="122" t="s">
        <v>192</v>
      </c>
      <c r="CS7" s="122" t="s">
        <v>192</v>
      </c>
      <c r="CT7" s="122" t="s">
        <v>193</v>
      </c>
      <c r="CU7" s="122" t="s">
        <v>193</v>
      </c>
      <c r="CV7" s="122" t="s">
        <v>194</v>
      </c>
      <c r="CW7" s="122" t="s">
        <v>194</v>
      </c>
    </row>
    <row r="8">
      <c r="A8" s="12"/>
      <c r="B8" s="12"/>
      <c r="C8" s="28" t="s">
        <v>33</v>
      </c>
      <c r="D8" s="116" t="s">
        <v>127</v>
      </c>
      <c r="E8" s="12"/>
      <c r="F8" s="28" t="s">
        <v>195</v>
      </c>
      <c r="G8" s="12"/>
      <c r="H8" s="12"/>
      <c r="I8" s="119" t="s">
        <v>197</v>
      </c>
      <c r="J8" s="12"/>
      <c r="K8" s="12"/>
      <c r="L8" s="12"/>
      <c r="M8" s="12"/>
      <c r="N8" s="12"/>
      <c r="O8" s="12"/>
      <c r="P8" s="12"/>
      <c r="Q8" s="12"/>
      <c r="R8" s="12"/>
      <c r="S8" s="28" t="s">
        <v>198</v>
      </c>
      <c r="T8" s="28" t="s">
        <v>198</v>
      </c>
      <c r="U8" s="7"/>
      <c r="V8" s="7"/>
      <c r="W8" s="124" t="s">
        <v>199</v>
      </c>
      <c r="X8" s="131" t="s">
        <v>199</v>
      </c>
      <c r="Y8" s="124" t="s">
        <v>200</v>
      </c>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1" t="s">
        <v>202</v>
      </c>
      <c r="BA8" s="121" t="s">
        <v>202</v>
      </c>
      <c r="BB8" s="121" t="s">
        <v>202</v>
      </c>
      <c r="BC8" s="121" t="s">
        <v>202</v>
      </c>
      <c r="BD8" s="12"/>
      <c r="BE8" s="12"/>
      <c r="BF8" s="122" t="s">
        <v>203</v>
      </c>
      <c r="BG8" s="120" t="s">
        <v>203</v>
      </c>
      <c r="BH8" s="120" t="s">
        <v>204</v>
      </c>
      <c r="BI8" s="120" t="s">
        <v>204</v>
      </c>
      <c r="BJ8" s="122" t="s">
        <v>205</v>
      </c>
      <c r="BK8" s="117" t="s">
        <v>205</v>
      </c>
      <c r="BL8" s="122" t="s">
        <v>206</v>
      </c>
      <c r="BM8" s="122" t="s">
        <v>206</v>
      </c>
      <c r="BN8" s="122" t="s">
        <v>207</v>
      </c>
      <c r="BO8" s="132" t="s">
        <v>207</v>
      </c>
      <c r="BP8" s="127" t="s">
        <v>208</v>
      </c>
      <c r="BQ8" s="127" t="s">
        <v>208</v>
      </c>
      <c r="BR8" s="12"/>
      <c r="BS8" s="12"/>
      <c r="BT8" s="122" t="s">
        <v>209</v>
      </c>
      <c r="BU8" s="122" t="s">
        <v>209</v>
      </c>
      <c r="BV8" s="133" t="s">
        <v>210</v>
      </c>
      <c r="BW8" s="133" t="s">
        <v>210</v>
      </c>
      <c r="BX8" s="120" t="s">
        <v>211</v>
      </c>
      <c r="BY8" s="120" t="s">
        <v>211</v>
      </c>
      <c r="BZ8" s="122" t="s">
        <v>212</v>
      </c>
      <c r="CA8" s="122" t="s">
        <v>212</v>
      </c>
      <c r="CB8" s="120" t="s">
        <v>213</v>
      </c>
      <c r="CC8" s="122" t="s">
        <v>213</v>
      </c>
      <c r="CD8" s="122" t="s">
        <v>214</v>
      </c>
      <c r="CE8" s="122" t="s">
        <v>214</v>
      </c>
      <c r="CF8" s="122" t="s">
        <v>215</v>
      </c>
      <c r="CG8" s="122" t="s">
        <v>215</v>
      </c>
      <c r="CH8" s="122" t="s">
        <v>216</v>
      </c>
      <c r="CI8" s="134" t="s">
        <v>216</v>
      </c>
      <c r="CJ8" s="122" t="s">
        <v>217</v>
      </c>
      <c r="CK8" s="122" t="s">
        <v>217</v>
      </c>
      <c r="CL8" s="122" t="s">
        <v>218</v>
      </c>
      <c r="CM8" s="122" t="s">
        <v>218</v>
      </c>
      <c r="CN8" s="12"/>
      <c r="CO8" s="12"/>
      <c r="CP8" s="122" t="s">
        <v>219</v>
      </c>
      <c r="CQ8" s="117" t="s">
        <v>219</v>
      </c>
      <c r="CR8" s="122" t="s">
        <v>220</v>
      </c>
      <c r="CS8" s="122" t="s">
        <v>220</v>
      </c>
      <c r="CT8" s="127" t="s">
        <v>221</v>
      </c>
      <c r="CU8" s="127" t="s">
        <v>221</v>
      </c>
      <c r="CV8" s="122" t="s">
        <v>222</v>
      </c>
      <c r="CW8" s="122" t="s">
        <v>222</v>
      </c>
    </row>
    <row r="9">
      <c r="A9" s="12"/>
      <c r="B9" s="12"/>
      <c r="C9" s="135" t="s">
        <v>41</v>
      </c>
      <c r="D9" s="28" t="s">
        <v>139</v>
      </c>
      <c r="E9" s="12"/>
      <c r="F9" s="28" t="s">
        <v>223</v>
      </c>
      <c r="G9" s="12"/>
      <c r="H9" s="12"/>
      <c r="I9" s="136" t="s">
        <v>224</v>
      </c>
      <c r="J9" s="12"/>
      <c r="K9" s="12"/>
      <c r="L9" s="12"/>
      <c r="M9" s="12"/>
      <c r="N9" s="12"/>
      <c r="O9" s="12"/>
      <c r="P9" s="12"/>
      <c r="Q9" s="12"/>
      <c r="R9" s="12"/>
      <c r="S9" s="114" t="s">
        <v>225</v>
      </c>
      <c r="T9" s="114" t="s">
        <v>225</v>
      </c>
      <c r="U9" s="7"/>
      <c r="V9" s="7"/>
      <c r="W9" s="137" t="s">
        <v>226</v>
      </c>
      <c r="X9" s="124" t="s">
        <v>226</v>
      </c>
      <c r="Y9" s="138"/>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1" t="s">
        <v>227</v>
      </c>
      <c r="BA9" s="121" t="s">
        <v>227</v>
      </c>
      <c r="BB9" s="121" t="s">
        <v>227</v>
      </c>
      <c r="BC9" s="121" t="s">
        <v>227</v>
      </c>
      <c r="BD9" s="12"/>
      <c r="BE9" s="12"/>
      <c r="BF9" s="122" t="s">
        <v>228</v>
      </c>
      <c r="BG9" s="120" t="s">
        <v>228</v>
      </c>
      <c r="BH9" s="120" t="s">
        <v>229</v>
      </c>
      <c r="BI9" s="120" t="s">
        <v>229</v>
      </c>
      <c r="BJ9" s="122" t="s">
        <v>230</v>
      </c>
      <c r="BK9" s="117" t="s">
        <v>230</v>
      </c>
      <c r="BL9" s="122" t="s">
        <v>231</v>
      </c>
      <c r="BM9" s="122" t="s">
        <v>231</v>
      </c>
      <c r="BN9" s="117" t="s">
        <v>232</v>
      </c>
      <c r="BO9" s="122" t="s">
        <v>232</v>
      </c>
      <c r="BP9" s="24"/>
      <c r="BQ9" s="24"/>
      <c r="BR9" s="12"/>
      <c r="BS9" s="12"/>
      <c r="BT9" s="12"/>
      <c r="BU9" s="12"/>
      <c r="BV9" s="122" t="s">
        <v>233</v>
      </c>
      <c r="BW9" s="122" t="s">
        <v>233</v>
      </c>
      <c r="BX9" s="120" t="s">
        <v>234</v>
      </c>
      <c r="BY9" s="120" t="s">
        <v>234</v>
      </c>
      <c r="BZ9" s="122" t="s">
        <v>235</v>
      </c>
      <c r="CA9" s="122" t="s">
        <v>235</v>
      </c>
      <c r="CB9" s="120" t="s">
        <v>236</v>
      </c>
      <c r="CC9" s="122" t="s">
        <v>236</v>
      </c>
      <c r="CD9" s="122" t="s">
        <v>168</v>
      </c>
      <c r="CE9" s="122" t="s">
        <v>168</v>
      </c>
      <c r="CF9" s="122" t="s">
        <v>238</v>
      </c>
      <c r="CG9" s="122" t="s">
        <v>238</v>
      </c>
      <c r="CH9" s="122" t="s">
        <v>239</v>
      </c>
      <c r="CI9" s="117" t="s">
        <v>239</v>
      </c>
      <c r="CJ9" s="122" t="s">
        <v>240</v>
      </c>
      <c r="CK9" s="122" t="s">
        <v>240</v>
      </c>
      <c r="CL9" s="122" t="s">
        <v>241</v>
      </c>
      <c r="CM9" s="122" t="s">
        <v>241</v>
      </c>
      <c r="CN9" s="12"/>
      <c r="CO9" s="12"/>
      <c r="CP9" s="122" t="s">
        <v>242</v>
      </c>
      <c r="CQ9" s="117" t="s">
        <v>242</v>
      </c>
      <c r="CR9" s="122" t="s">
        <v>243</v>
      </c>
      <c r="CS9" s="122" t="s">
        <v>243</v>
      </c>
      <c r="CT9" s="122" t="s">
        <v>244</v>
      </c>
      <c r="CU9" s="122" t="s">
        <v>244</v>
      </c>
      <c r="CV9" s="120" t="s">
        <v>246</v>
      </c>
      <c r="CW9" s="122" t="s">
        <v>246</v>
      </c>
    </row>
    <row r="10" ht="228.0" customHeight="1">
      <c r="A10" s="12"/>
      <c r="B10" s="12"/>
      <c r="C10" s="28" t="s">
        <v>44</v>
      </c>
      <c r="D10" s="12"/>
      <c r="E10" s="12"/>
      <c r="F10" s="28" t="s">
        <v>237</v>
      </c>
      <c r="G10" s="12"/>
      <c r="H10" s="12"/>
      <c r="I10" s="119" t="s">
        <v>247</v>
      </c>
      <c r="J10" s="12"/>
      <c r="K10" s="12"/>
      <c r="L10" s="12"/>
      <c r="M10" s="12"/>
      <c r="N10" s="12"/>
      <c r="O10" s="12"/>
      <c r="P10" s="12"/>
      <c r="Q10" s="12"/>
      <c r="R10" s="12"/>
      <c r="S10" s="12"/>
      <c r="T10" s="7"/>
      <c r="U10" s="7"/>
      <c r="V10" s="7"/>
      <c r="W10" s="137" t="s">
        <v>248</v>
      </c>
      <c r="X10" s="124" t="s">
        <v>248</v>
      </c>
      <c r="Y10" s="138"/>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24"/>
      <c r="BC10" s="24"/>
      <c r="BD10" s="24"/>
      <c r="BE10" s="24"/>
      <c r="BF10" s="122" t="s">
        <v>250</v>
      </c>
      <c r="BG10" s="120" t="s">
        <v>250</v>
      </c>
      <c r="BH10" s="120" t="s">
        <v>251</v>
      </c>
      <c r="BI10" s="120" t="s">
        <v>251</v>
      </c>
      <c r="BJ10" s="24"/>
      <c r="BK10" s="24"/>
      <c r="BL10" s="122" t="s">
        <v>252</v>
      </c>
      <c r="BM10" s="122" t="s">
        <v>252</v>
      </c>
      <c r="BN10" s="12"/>
      <c r="BO10" s="12"/>
      <c r="BP10" s="12"/>
      <c r="BQ10" s="12"/>
      <c r="BR10" s="12"/>
      <c r="BS10" s="12"/>
      <c r="BT10" s="12"/>
      <c r="BU10" s="12"/>
      <c r="BV10" s="122" t="s">
        <v>254</v>
      </c>
      <c r="BW10" s="122" t="s">
        <v>254</v>
      </c>
      <c r="BX10" s="120" t="s">
        <v>255</v>
      </c>
      <c r="BY10" s="120" t="s">
        <v>255</v>
      </c>
      <c r="BZ10" s="122" t="s">
        <v>256</v>
      </c>
      <c r="CA10" s="122" t="s">
        <v>256</v>
      </c>
      <c r="CB10" s="12"/>
      <c r="CC10" s="12"/>
      <c r="CD10" s="24"/>
      <c r="CE10" s="24"/>
      <c r="CF10" s="122" t="s">
        <v>257</v>
      </c>
      <c r="CG10" s="122" t="s">
        <v>257</v>
      </c>
      <c r="CH10" s="122" t="s">
        <v>258</v>
      </c>
      <c r="CI10" s="117" t="s">
        <v>258</v>
      </c>
      <c r="CJ10" s="122" t="s">
        <v>259</v>
      </c>
      <c r="CK10" s="122" t="s">
        <v>259</v>
      </c>
      <c r="CL10" s="122" t="s">
        <v>260</v>
      </c>
      <c r="CM10" s="122" t="s">
        <v>260</v>
      </c>
      <c r="CN10" s="12"/>
      <c r="CO10" s="12"/>
      <c r="CP10" s="122" t="s">
        <v>261</v>
      </c>
      <c r="CQ10" s="122" t="s">
        <v>261</v>
      </c>
      <c r="CR10" s="12"/>
      <c r="CS10" s="12"/>
      <c r="CT10" s="24"/>
      <c r="CU10" s="24"/>
      <c r="CV10" s="12"/>
      <c r="CW10" s="12"/>
    </row>
    <row r="11" ht="87.75" customHeight="1">
      <c r="A11" s="12"/>
      <c r="B11" s="12"/>
      <c r="C11" s="12"/>
      <c r="D11" s="12"/>
      <c r="E11" s="12"/>
      <c r="F11" s="28" t="s">
        <v>249</v>
      </c>
      <c r="G11" s="12"/>
      <c r="H11" s="12"/>
      <c r="I11" s="24"/>
      <c r="J11" s="12"/>
      <c r="K11" s="12"/>
      <c r="L11" s="12"/>
      <c r="M11" s="12"/>
      <c r="N11" s="12"/>
      <c r="O11" s="12"/>
      <c r="P11" s="12"/>
      <c r="Q11" s="12"/>
      <c r="R11" s="12"/>
      <c r="S11" s="12"/>
      <c r="T11" s="7"/>
      <c r="U11" s="7"/>
      <c r="V11" s="7"/>
      <c r="W11" s="138"/>
      <c r="X11" s="138"/>
      <c r="Y11" s="138"/>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39" t="s">
        <v>262</v>
      </c>
      <c r="BG11" s="127" t="s">
        <v>262</v>
      </c>
      <c r="BH11" s="12"/>
      <c r="BI11" s="12"/>
      <c r="BJ11" s="12"/>
      <c r="BK11" s="12"/>
      <c r="BL11" s="12"/>
      <c r="BM11" s="12"/>
      <c r="BN11" s="12"/>
      <c r="BO11" s="12"/>
      <c r="BP11" s="12"/>
      <c r="BQ11" s="12"/>
      <c r="BR11" s="12"/>
      <c r="BS11" s="12"/>
      <c r="BT11" s="12"/>
      <c r="BU11" s="12"/>
      <c r="BV11" s="122" t="s">
        <v>264</v>
      </c>
      <c r="BW11" s="122" t="s">
        <v>264</v>
      </c>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row>
    <row r="12">
      <c r="T12" s="7"/>
      <c r="U12" s="7"/>
      <c r="V12" s="7"/>
      <c r="W12" s="138"/>
      <c r="X12" s="138"/>
      <c r="Y12" s="138"/>
      <c r="BF12" s="140" t="s">
        <v>266</v>
      </c>
      <c r="BG12" s="140" t="s">
        <v>266</v>
      </c>
      <c r="BV12" s="122" t="s">
        <v>267</v>
      </c>
      <c r="BW12" s="122" t="s">
        <v>267</v>
      </c>
    </row>
    <row r="13" ht="39.0" customHeight="1">
      <c r="T13" s="7"/>
      <c r="U13" s="7"/>
      <c r="V13" s="7"/>
      <c r="W13" s="138"/>
      <c r="X13" s="138"/>
      <c r="Y13" s="138"/>
    </row>
    <row r="14" ht="39.0" customHeight="1">
      <c r="T14" s="7"/>
      <c r="U14" s="7"/>
      <c r="V14" s="7"/>
      <c r="W14" s="7"/>
      <c r="X14" s="7"/>
      <c r="Y14" s="7"/>
      <c r="BV14" s="24"/>
      <c r="BW14" s="24"/>
    </row>
    <row r="15">
      <c r="A15" s="87"/>
      <c r="T15" s="7"/>
      <c r="U15" s="141"/>
      <c r="V15" s="7"/>
      <c r="W15" s="7"/>
      <c r="X15" s="7"/>
      <c r="Y15" s="7"/>
      <c r="AP15" s="142"/>
      <c r="BV15" s="24"/>
      <c r="BW15" s="24"/>
    </row>
    <row r="16">
      <c r="T16" s="7"/>
      <c r="U16" s="7"/>
      <c r="V16" s="7"/>
      <c r="W16" s="7"/>
      <c r="X16" s="7"/>
      <c r="Y16" s="7"/>
      <c r="BV16" s="24"/>
      <c r="BW16" s="24"/>
    </row>
    <row r="17">
      <c r="T17" s="7"/>
      <c r="U17" s="7"/>
      <c r="V17" s="7"/>
      <c r="W17" s="7"/>
      <c r="X17" s="7"/>
      <c r="Y17" s="7"/>
    </row>
    <row r="18">
      <c r="T18" s="7"/>
      <c r="U18" s="7"/>
      <c r="V18" s="7"/>
      <c r="W18" s="7"/>
      <c r="X18" s="7"/>
      <c r="Y18" s="7"/>
    </row>
    <row r="19">
      <c r="T19" s="7"/>
      <c r="U19" s="7"/>
      <c r="V19" s="7"/>
      <c r="W19" s="7"/>
      <c r="X19" s="7"/>
      <c r="Y19" s="7"/>
    </row>
    <row r="20">
      <c r="T20" s="7"/>
      <c r="U20" s="7"/>
      <c r="V20" s="7"/>
      <c r="W20" s="7"/>
      <c r="X20" s="7"/>
      <c r="Y20" s="7"/>
    </row>
    <row r="21" ht="15.75" customHeight="1">
      <c r="T21" s="7"/>
      <c r="U21" s="7"/>
      <c r="V21" s="7"/>
      <c r="W21" s="7"/>
      <c r="X21" s="7"/>
      <c r="Y21" s="7"/>
    </row>
    <row r="22" ht="15.75" customHeight="1">
      <c r="T22" s="7"/>
      <c r="U22" s="7"/>
      <c r="V22" s="7"/>
      <c r="W22" s="7"/>
      <c r="X22" s="7"/>
      <c r="Y22" s="7"/>
    </row>
    <row r="23" ht="15.75" customHeight="1">
      <c r="T23" s="7"/>
      <c r="U23" s="7"/>
      <c r="V23" s="7"/>
      <c r="W23" s="7"/>
      <c r="X23" s="7"/>
      <c r="Y23" s="7"/>
    </row>
    <row r="24" ht="15.75" customHeight="1">
      <c r="T24" s="7"/>
      <c r="U24" s="7"/>
      <c r="V24" s="7"/>
      <c r="W24" s="7"/>
      <c r="X24" s="7"/>
      <c r="Y24" s="7"/>
    </row>
    <row r="25" ht="15.75" customHeight="1">
      <c r="T25" s="7"/>
      <c r="U25" s="7"/>
      <c r="V25" s="7"/>
      <c r="W25" s="7"/>
      <c r="X25" s="7"/>
      <c r="Y25" s="7"/>
    </row>
    <row r="26" ht="15.75" customHeight="1">
      <c r="T26" s="7"/>
      <c r="U26" s="7"/>
      <c r="V26" s="7"/>
      <c r="W26" s="7"/>
      <c r="X26" s="7"/>
      <c r="Y26" s="7"/>
    </row>
    <row r="27" ht="15.75" customHeight="1">
      <c r="T27" s="7"/>
      <c r="U27" s="7"/>
      <c r="V27" s="7"/>
      <c r="W27" s="7"/>
      <c r="X27" s="7"/>
      <c r="Y27" s="7"/>
    </row>
    <row r="28" ht="15.75" customHeight="1">
      <c r="T28" s="7"/>
      <c r="U28" s="7"/>
      <c r="V28" s="7"/>
      <c r="W28" s="7"/>
      <c r="X28" s="7"/>
      <c r="Y28" s="7"/>
    </row>
    <row r="29" ht="15.75" customHeight="1">
      <c r="T29" s="7"/>
      <c r="U29" s="7"/>
      <c r="V29" s="7"/>
      <c r="W29" s="7"/>
      <c r="X29" s="7"/>
      <c r="Y29" s="7"/>
    </row>
    <row r="30" ht="15.75" customHeight="1">
      <c r="T30" s="7"/>
      <c r="U30" s="7"/>
      <c r="V30" s="7"/>
      <c r="W30" s="7"/>
      <c r="X30" s="7"/>
      <c r="Y30" s="7"/>
    </row>
    <row r="31" ht="15.75" customHeight="1">
      <c r="T31" s="7"/>
      <c r="U31" s="7"/>
      <c r="V31" s="7"/>
      <c r="W31" s="7"/>
      <c r="X31" s="7"/>
      <c r="Y31" s="7"/>
    </row>
    <row r="32" ht="15.75" customHeight="1">
      <c r="T32" s="7"/>
      <c r="U32" s="7"/>
      <c r="V32" s="7"/>
      <c r="W32" s="7"/>
      <c r="X32" s="7"/>
      <c r="Y32" s="7"/>
    </row>
    <row r="33" ht="15.75" customHeight="1">
      <c r="T33" s="7"/>
      <c r="U33" s="7"/>
      <c r="V33" s="7"/>
      <c r="W33" s="7"/>
      <c r="X33" s="7"/>
      <c r="Y33" s="7"/>
    </row>
    <row r="34" ht="15.75" customHeight="1">
      <c r="T34" s="7"/>
      <c r="U34" s="7"/>
      <c r="V34" s="7"/>
      <c r="W34" s="7"/>
      <c r="X34" s="7"/>
      <c r="Y34" s="7"/>
    </row>
    <row r="35" ht="15.75" customHeight="1">
      <c r="T35" s="7"/>
      <c r="U35" s="7"/>
      <c r="V35" s="7"/>
      <c r="W35" s="7"/>
      <c r="X35" s="7"/>
      <c r="Y35" s="7"/>
    </row>
    <row r="36" ht="15.75" customHeight="1">
      <c r="T36" s="7"/>
      <c r="U36" s="7"/>
      <c r="V36" s="7"/>
      <c r="W36" s="7"/>
      <c r="X36" s="7"/>
      <c r="Y36" s="7"/>
    </row>
    <row r="37" ht="15.75" customHeight="1">
      <c r="T37" s="7"/>
      <c r="U37" s="7"/>
      <c r="V37" s="7"/>
      <c r="W37" s="7"/>
      <c r="X37" s="7"/>
      <c r="Y37" s="7"/>
    </row>
    <row r="38" ht="15.75" customHeight="1">
      <c r="T38" s="7"/>
      <c r="U38" s="7"/>
      <c r="V38" s="7"/>
      <c r="W38" s="7"/>
      <c r="X38" s="7"/>
      <c r="Y38" s="7"/>
    </row>
    <row r="39" ht="15.75" customHeight="1">
      <c r="T39" s="7"/>
      <c r="U39" s="7"/>
      <c r="V39" s="7"/>
      <c r="W39" s="7"/>
      <c r="X39" s="7"/>
      <c r="Y39" s="7"/>
    </row>
    <row r="40" ht="15.75" customHeight="1">
      <c r="T40" s="7"/>
      <c r="U40" s="7"/>
      <c r="V40" s="7"/>
      <c r="W40" s="7"/>
      <c r="X40" s="7"/>
      <c r="Y40" s="7"/>
    </row>
    <row r="41" ht="15.75" customHeight="1">
      <c r="T41" s="7"/>
      <c r="U41" s="7"/>
      <c r="V41" s="7"/>
      <c r="W41" s="7"/>
      <c r="X41" s="7"/>
      <c r="Y41" s="7"/>
    </row>
    <row r="42" ht="15.75" customHeight="1">
      <c r="T42" s="7"/>
      <c r="U42" s="7"/>
      <c r="V42" s="7"/>
      <c r="W42" s="7"/>
      <c r="X42" s="7"/>
      <c r="Y42" s="7"/>
    </row>
    <row r="43" ht="15.75" customHeight="1">
      <c r="T43" s="7"/>
      <c r="U43" s="7"/>
      <c r="V43" s="7"/>
      <c r="W43" s="7"/>
      <c r="X43" s="7"/>
      <c r="Y43" s="7"/>
    </row>
    <row r="44" ht="15.75" customHeight="1">
      <c r="T44" s="7"/>
      <c r="U44" s="7"/>
      <c r="V44" s="7"/>
      <c r="W44" s="7"/>
      <c r="X44" s="7"/>
      <c r="Y44" s="7"/>
    </row>
    <row r="45" ht="15.75" customHeight="1">
      <c r="T45" s="7"/>
      <c r="U45" s="7"/>
      <c r="V45" s="7"/>
      <c r="W45" s="7"/>
      <c r="X45" s="7"/>
      <c r="Y45" s="7"/>
    </row>
    <row r="46" ht="15.75" customHeight="1">
      <c r="T46" s="7"/>
      <c r="U46" s="7"/>
      <c r="V46" s="7"/>
      <c r="W46" s="7"/>
      <c r="X46" s="7"/>
      <c r="Y46" s="7"/>
    </row>
    <row r="47" ht="15.75" customHeight="1">
      <c r="T47" s="7"/>
      <c r="U47" s="7"/>
      <c r="V47" s="7"/>
      <c r="W47" s="7"/>
      <c r="X47" s="7"/>
      <c r="Y47" s="7"/>
    </row>
    <row r="48" ht="15.75" customHeight="1">
      <c r="T48" s="7"/>
      <c r="U48" s="7"/>
      <c r="V48" s="7"/>
      <c r="W48" s="7"/>
      <c r="X48" s="7"/>
      <c r="Y48" s="7"/>
    </row>
    <row r="49" ht="15.75" customHeight="1">
      <c r="T49" s="7"/>
      <c r="U49" s="7"/>
      <c r="V49" s="7"/>
      <c r="W49" s="7"/>
      <c r="X49" s="7"/>
      <c r="Y49" s="7"/>
    </row>
    <row r="50" ht="15.75" customHeight="1">
      <c r="T50" s="7"/>
      <c r="U50" s="7"/>
      <c r="V50" s="7"/>
      <c r="W50" s="7"/>
      <c r="X50" s="7"/>
      <c r="Y50" s="7"/>
    </row>
    <row r="51" ht="15.75" customHeight="1">
      <c r="T51" s="7"/>
      <c r="U51" s="7"/>
      <c r="V51" s="7"/>
      <c r="W51" s="7"/>
      <c r="X51" s="7"/>
      <c r="Y51" s="7"/>
    </row>
    <row r="52" ht="15.75" customHeight="1">
      <c r="T52" s="7"/>
      <c r="U52" s="7"/>
      <c r="V52" s="7"/>
      <c r="W52" s="7"/>
      <c r="X52" s="7"/>
      <c r="Y52" s="7"/>
    </row>
    <row r="53" ht="15.75" customHeight="1">
      <c r="T53" s="7"/>
      <c r="U53" s="7"/>
      <c r="V53" s="7"/>
      <c r="W53" s="7"/>
      <c r="X53" s="7"/>
      <c r="Y53" s="7"/>
    </row>
    <row r="54" ht="15.75" customHeight="1">
      <c r="T54" s="7"/>
      <c r="U54" s="7"/>
      <c r="V54" s="7"/>
      <c r="W54" s="7"/>
      <c r="X54" s="7"/>
      <c r="Y54" s="7"/>
    </row>
    <row r="55" ht="15.75" customHeight="1">
      <c r="T55" s="7"/>
      <c r="U55" s="7"/>
      <c r="V55" s="7"/>
      <c r="W55" s="7"/>
      <c r="X55" s="7"/>
      <c r="Y55" s="7"/>
    </row>
    <row r="56" ht="15.75" customHeight="1">
      <c r="T56" s="7"/>
      <c r="U56" s="7"/>
      <c r="V56" s="7"/>
      <c r="W56" s="7"/>
      <c r="X56" s="7"/>
      <c r="Y56" s="7"/>
    </row>
    <row r="57" ht="15.75" customHeight="1">
      <c r="T57" s="7"/>
      <c r="U57" s="7"/>
      <c r="V57" s="7"/>
      <c r="W57" s="7"/>
      <c r="X57" s="7"/>
      <c r="Y57" s="7"/>
    </row>
    <row r="58" ht="15.75" customHeight="1">
      <c r="T58" s="7"/>
      <c r="U58" s="7"/>
      <c r="V58" s="7"/>
      <c r="W58" s="7"/>
      <c r="X58" s="7"/>
      <c r="Y58" s="7"/>
    </row>
    <row r="59" ht="15.75" customHeight="1">
      <c r="T59" s="7"/>
      <c r="U59" s="7"/>
      <c r="V59" s="7"/>
      <c r="W59" s="7"/>
      <c r="X59" s="7"/>
      <c r="Y59" s="7"/>
    </row>
    <row r="60" ht="15.75" customHeight="1">
      <c r="T60" s="7"/>
      <c r="U60" s="7"/>
      <c r="V60" s="7"/>
      <c r="W60" s="7"/>
      <c r="X60" s="7"/>
      <c r="Y60" s="7"/>
    </row>
    <row r="61" ht="15.75" customHeight="1">
      <c r="T61" s="7"/>
      <c r="U61" s="7"/>
      <c r="V61" s="7"/>
      <c r="W61" s="7"/>
      <c r="X61" s="7"/>
      <c r="Y61" s="7"/>
    </row>
    <row r="62" ht="15.75" customHeight="1">
      <c r="T62" s="7"/>
      <c r="U62" s="7"/>
      <c r="V62" s="7"/>
      <c r="W62" s="7"/>
      <c r="X62" s="7"/>
      <c r="Y62" s="7"/>
    </row>
    <row r="63" ht="15.75" customHeight="1">
      <c r="T63" s="7"/>
      <c r="U63" s="7"/>
      <c r="V63" s="7"/>
      <c r="W63" s="7"/>
      <c r="X63" s="7"/>
      <c r="Y63" s="7"/>
    </row>
    <row r="64" ht="15.75" customHeight="1">
      <c r="T64" s="7"/>
      <c r="U64" s="7"/>
      <c r="V64" s="7"/>
      <c r="W64" s="7"/>
      <c r="X64" s="7"/>
      <c r="Y64" s="7"/>
    </row>
    <row r="65" ht="15.75" customHeight="1">
      <c r="T65" s="7"/>
      <c r="U65" s="7"/>
      <c r="V65" s="7"/>
      <c r="W65" s="7"/>
      <c r="X65" s="7"/>
      <c r="Y65" s="7"/>
    </row>
    <row r="66" ht="15.75" customHeight="1">
      <c r="T66" s="7"/>
      <c r="U66" s="7"/>
      <c r="V66" s="7"/>
      <c r="W66" s="7"/>
      <c r="X66" s="7"/>
      <c r="Y66" s="7"/>
    </row>
    <row r="67" ht="15.75" customHeight="1">
      <c r="T67" s="7"/>
      <c r="U67" s="7"/>
      <c r="V67" s="7"/>
      <c r="W67" s="7"/>
      <c r="X67" s="7"/>
      <c r="Y67" s="7"/>
    </row>
    <row r="68" ht="15.75" customHeight="1">
      <c r="T68" s="7"/>
      <c r="U68" s="7"/>
      <c r="V68" s="7"/>
      <c r="W68" s="7"/>
      <c r="X68" s="7"/>
      <c r="Y68" s="7"/>
    </row>
    <row r="69" ht="15.75" customHeight="1">
      <c r="T69" s="7"/>
      <c r="U69" s="7"/>
      <c r="V69" s="7"/>
      <c r="W69" s="7"/>
      <c r="X69" s="7"/>
      <c r="Y69" s="7"/>
    </row>
    <row r="70" ht="15.75" customHeight="1">
      <c r="T70" s="7"/>
      <c r="U70" s="7"/>
      <c r="V70" s="7"/>
      <c r="W70" s="7"/>
      <c r="X70" s="7"/>
      <c r="Y70" s="7"/>
    </row>
    <row r="71" ht="15.75" customHeight="1">
      <c r="T71" s="7"/>
      <c r="U71" s="7"/>
      <c r="V71" s="7"/>
      <c r="W71" s="7"/>
      <c r="X71" s="7"/>
      <c r="Y71" s="7"/>
    </row>
    <row r="72" ht="15.75" customHeight="1">
      <c r="T72" s="7"/>
      <c r="U72" s="7"/>
      <c r="V72" s="7"/>
      <c r="W72" s="7"/>
      <c r="X72" s="7"/>
      <c r="Y72" s="7"/>
    </row>
    <row r="73" ht="15.75" customHeight="1">
      <c r="T73" s="7"/>
      <c r="U73" s="7"/>
      <c r="V73" s="7"/>
      <c r="W73" s="7"/>
      <c r="X73" s="7"/>
      <c r="Y73" s="7"/>
    </row>
    <row r="74" ht="15.75" customHeight="1">
      <c r="T74" s="7"/>
      <c r="U74" s="7"/>
      <c r="V74" s="7"/>
      <c r="W74" s="7"/>
      <c r="X74" s="7"/>
      <c r="Y74" s="7"/>
    </row>
    <row r="75" ht="15.75" customHeight="1">
      <c r="T75" s="7"/>
      <c r="U75" s="7"/>
      <c r="V75" s="7"/>
      <c r="W75" s="7"/>
      <c r="X75" s="7"/>
      <c r="Y75" s="7"/>
    </row>
    <row r="76" ht="15.75" customHeight="1">
      <c r="T76" s="7"/>
      <c r="U76" s="7"/>
      <c r="V76" s="7"/>
      <c r="W76" s="7"/>
      <c r="X76" s="7"/>
      <c r="Y76" s="7"/>
    </row>
    <row r="77" ht="15.75" customHeight="1">
      <c r="T77" s="7"/>
      <c r="U77" s="7"/>
      <c r="V77" s="7"/>
      <c r="W77" s="7"/>
      <c r="X77" s="7"/>
      <c r="Y77" s="7"/>
    </row>
    <row r="78" ht="15.75" customHeight="1">
      <c r="T78" s="7"/>
      <c r="U78" s="7"/>
      <c r="V78" s="7"/>
      <c r="W78" s="7"/>
      <c r="X78" s="7"/>
      <c r="Y78" s="7"/>
    </row>
    <row r="79" ht="15.75" customHeight="1">
      <c r="T79" s="7"/>
      <c r="U79" s="7"/>
      <c r="V79" s="7"/>
      <c r="W79" s="7"/>
      <c r="X79" s="7"/>
      <c r="Y79" s="7"/>
    </row>
    <row r="80" ht="15.75" customHeight="1">
      <c r="T80" s="7"/>
      <c r="U80" s="7"/>
      <c r="V80" s="7"/>
      <c r="W80" s="7"/>
      <c r="X80" s="7"/>
      <c r="Y80" s="7"/>
    </row>
    <row r="81" ht="15.75" customHeight="1">
      <c r="T81" s="7"/>
      <c r="U81" s="7"/>
      <c r="V81" s="7"/>
      <c r="W81" s="7"/>
      <c r="X81" s="7"/>
      <c r="Y81" s="7"/>
    </row>
    <row r="82" ht="15.75" customHeight="1">
      <c r="T82" s="7"/>
      <c r="U82" s="7"/>
      <c r="V82" s="7"/>
      <c r="W82" s="7"/>
      <c r="X82" s="7"/>
      <c r="Y82" s="7"/>
    </row>
    <row r="83" ht="15.75" customHeight="1">
      <c r="T83" s="7"/>
      <c r="U83" s="7"/>
      <c r="V83" s="7"/>
      <c r="W83" s="7"/>
      <c r="X83" s="7"/>
      <c r="Y83" s="7"/>
    </row>
    <row r="84" ht="15.75" customHeight="1">
      <c r="T84" s="7"/>
      <c r="U84" s="7"/>
      <c r="V84" s="7"/>
      <c r="W84" s="7"/>
      <c r="X84" s="7"/>
      <c r="Y84" s="7"/>
    </row>
    <row r="85" ht="15.75" customHeight="1">
      <c r="T85" s="7"/>
      <c r="U85" s="7"/>
      <c r="V85" s="7"/>
      <c r="W85" s="7"/>
      <c r="X85" s="7"/>
      <c r="Y85" s="7"/>
    </row>
    <row r="86" ht="15.75" customHeight="1">
      <c r="T86" s="7"/>
      <c r="U86" s="7"/>
      <c r="V86" s="7"/>
      <c r="W86" s="7"/>
      <c r="X86" s="7"/>
      <c r="Y86" s="7"/>
    </row>
    <row r="87" ht="15.75" customHeight="1">
      <c r="T87" s="7"/>
      <c r="U87" s="7"/>
      <c r="V87" s="7"/>
      <c r="W87" s="7"/>
      <c r="X87" s="7"/>
      <c r="Y87" s="7"/>
    </row>
    <row r="88" ht="15.75" customHeight="1">
      <c r="T88" s="7"/>
      <c r="U88" s="7"/>
      <c r="V88" s="7"/>
      <c r="W88" s="7"/>
      <c r="X88" s="7"/>
      <c r="Y88" s="7"/>
    </row>
    <row r="89" ht="15.75" customHeight="1">
      <c r="T89" s="7"/>
      <c r="U89" s="7"/>
      <c r="V89" s="7"/>
      <c r="W89" s="7"/>
      <c r="X89" s="7"/>
      <c r="Y89" s="7"/>
    </row>
    <row r="90" ht="15.75" customHeight="1">
      <c r="T90" s="7"/>
      <c r="U90" s="7"/>
      <c r="V90" s="7"/>
      <c r="W90" s="7"/>
      <c r="X90" s="7"/>
      <c r="Y90" s="7"/>
    </row>
    <row r="91" ht="15.75" customHeight="1">
      <c r="T91" s="7"/>
      <c r="U91" s="7"/>
      <c r="V91" s="7"/>
      <c r="W91" s="7"/>
      <c r="X91" s="7"/>
      <c r="Y91" s="7"/>
    </row>
    <row r="92" ht="15.75" customHeight="1">
      <c r="T92" s="7"/>
      <c r="U92" s="7"/>
      <c r="V92" s="7"/>
      <c r="W92" s="7"/>
      <c r="X92" s="7"/>
      <c r="Y92" s="7"/>
    </row>
    <row r="93" ht="15.75" customHeight="1">
      <c r="T93" s="7"/>
      <c r="U93" s="7"/>
      <c r="V93" s="7"/>
      <c r="W93" s="7"/>
      <c r="X93" s="7"/>
      <c r="Y93" s="7"/>
    </row>
    <row r="94" ht="15.75" customHeight="1">
      <c r="T94" s="7"/>
      <c r="U94" s="7"/>
      <c r="V94" s="7"/>
      <c r="W94" s="7"/>
      <c r="X94" s="7"/>
      <c r="Y94" s="7"/>
    </row>
    <row r="95" ht="15.75" customHeight="1">
      <c r="T95" s="7"/>
      <c r="U95" s="7"/>
      <c r="V95" s="7"/>
      <c r="W95" s="7"/>
      <c r="X95" s="7"/>
      <c r="Y95" s="7"/>
    </row>
    <row r="96" ht="15.75" customHeight="1">
      <c r="T96" s="7"/>
      <c r="U96" s="7"/>
      <c r="V96" s="7"/>
      <c r="W96" s="7"/>
      <c r="X96" s="7"/>
      <c r="Y96" s="7"/>
    </row>
    <row r="97" ht="15.75" customHeight="1">
      <c r="T97" s="7"/>
      <c r="U97" s="7"/>
      <c r="V97" s="7"/>
      <c r="W97" s="7"/>
      <c r="X97" s="7"/>
      <c r="Y97" s="7"/>
    </row>
    <row r="98" ht="15.75" customHeight="1">
      <c r="T98" s="7"/>
      <c r="U98" s="7"/>
      <c r="V98" s="7"/>
      <c r="W98" s="7"/>
      <c r="X98" s="7"/>
      <c r="Y98" s="7"/>
    </row>
    <row r="99" ht="15.75" customHeight="1">
      <c r="T99" s="7"/>
      <c r="U99" s="7"/>
      <c r="V99" s="7"/>
      <c r="W99" s="7"/>
      <c r="X99" s="7"/>
      <c r="Y99" s="7"/>
    </row>
    <row r="100" ht="15.75" customHeight="1">
      <c r="T100" s="7"/>
      <c r="U100" s="7"/>
      <c r="V100" s="7"/>
      <c r="W100" s="7"/>
      <c r="X100" s="7"/>
      <c r="Y100" s="7"/>
    </row>
    <row r="101" ht="15.75" customHeight="1">
      <c r="T101" s="7"/>
      <c r="U101" s="7"/>
      <c r="V101" s="7"/>
      <c r="W101" s="7"/>
      <c r="X101" s="7"/>
      <c r="Y101" s="7"/>
    </row>
    <row r="102" ht="15.75" customHeight="1">
      <c r="T102" s="7"/>
      <c r="U102" s="7"/>
      <c r="V102" s="7"/>
      <c r="W102" s="7"/>
      <c r="X102" s="7"/>
      <c r="Y102" s="7"/>
    </row>
    <row r="103" ht="15.75" customHeight="1">
      <c r="T103" s="7"/>
      <c r="U103" s="7"/>
      <c r="V103" s="7"/>
      <c r="W103" s="7"/>
      <c r="X103" s="7"/>
      <c r="Y103" s="7"/>
    </row>
    <row r="104" ht="15.75" customHeight="1">
      <c r="T104" s="7"/>
      <c r="U104" s="7"/>
      <c r="V104" s="7"/>
      <c r="W104" s="7"/>
      <c r="X104" s="7"/>
      <c r="Y104" s="7"/>
    </row>
    <row r="105" ht="15.75" customHeight="1">
      <c r="T105" s="7"/>
      <c r="U105" s="7"/>
      <c r="V105" s="7"/>
      <c r="W105" s="7"/>
      <c r="X105" s="7"/>
      <c r="Y105" s="7"/>
    </row>
    <row r="106" ht="15.75" customHeight="1">
      <c r="T106" s="7"/>
      <c r="U106" s="7"/>
      <c r="V106" s="7"/>
      <c r="W106" s="7"/>
      <c r="X106" s="7"/>
      <c r="Y106" s="7"/>
    </row>
    <row r="107" ht="15.75" customHeight="1">
      <c r="T107" s="7"/>
      <c r="U107" s="7"/>
      <c r="V107" s="7"/>
      <c r="W107" s="7"/>
      <c r="X107" s="7"/>
      <c r="Y107" s="7"/>
    </row>
    <row r="108" ht="15.75" customHeight="1">
      <c r="T108" s="7"/>
      <c r="U108" s="7"/>
      <c r="V108" s="7"/>
      <c r="W108" s="7"/>
      <c r="X108" s="7"/>
      <c r="Y108" s="7"/>
    </row>
    <row r="109" ht="15.75" customHeight="1">
      <c r="T109" s="7"/>
      <c r="U109" s="7"/>
      <c r="V109" s="7"/>
      <c r="W109" s="7"/>
      <c r="X109" s="7"/>
      <c r="Y109" s="7"/>
    </row>
    <row r="110" ht="15.75" customHeight="1">
      <c r="T110" s="7"/>
      <c r="U110" s="7"/>
      <c r="V110" s="7"/>
      <c r="W110" s="7"/>
      <c r="X110" s="7"/>
      <c r="Y110" s="7"/>
    </row>
    <row r="111" ht="15.75" customHeight="1">
      <c r="T111" s="7"/>
      <c r="U111" s="7"/>
      <c r="V111" s="7"/>
      <c r="W111" s="7"/>
      <c r="X111" s="7"/>
      <c r="Y111" s="7"/>
    </row>
    <row r="112" ht="15.75" customHeight="1">
      <c r="T112" s="7"/>
      <c r="U112" s="7"/>
      <c r="V112" s="7"/>
      <c r="W112" s="7"/>
      <c r="X112" s="7"/>
      <c r="Y112" s="7"/>
    </row>
    <row r="113" ht="15.75" customHeight="1">
      <c r="T113" s="7"/>
      <c r="U113" s="7"/>
      <c r="V113" s="7"/>
      <c r="W113" s="7"/>
      <c r="X113" s="7"/>
      <c r="Y113" s="7"/>
    </row>
    <row r="114" ht="15.75" customHeight="1">
      <c r="T114" s="7"/>
      <c r="U114" s="7"/>
      <c r="V114" s="7"/>
      <c r="W114" s="7"/>
      <c r="X114" s="7"/>
      <c r="Y114" s="7"/>
    </row>
    <row r="115" ht="15.75" customHeight="1">
      <c r="T115" s="7"/>
      <c r="U115" s="7"/>
      <c r="V115" s="7"/>
      <c r="W115" s="7"/>
      <c r="X115" s="7"/>
      <c r="Y115" s="7"/>
    </row>
    <row r="116" ht="15.75" customHeight="1">
      <c r="T116" s="7"/>
      <c r="U116" s="7"/>
      <c r="V116" s="7"/>
      <c r="W116" s="7"/>
      <c r="X116" s="7"/>
      <c r="Y116" s="7"/>
    </row>
    <row r="117" ht="15.75" customHeight="1">
      <c r="T117" s="7"/>
      <c r="U117" s="7"/>
      <c r="V117" s="7"/>
      <c r="W117" s="7"/>
      <c r="X117" s="7"/>
      <c r="Y117" s="7"/>
    </row>
    <row r="118" ht="15.75" customHeight="1">
      <c r="T118" s="7"/>
      <c r="U118" s="7"/>
      <c r="V118" s="7"/>
      <c r="W118" s="7"/>
      <c r="X118" s="7"/>
      <c r="Y118" s="7"/>
    </row>
    <row r="119" ht="15.75" customHeight="1">
      <c r="T119" s="7"/>
      <c r="U119" s="7"/>
      <c r="V119" s="7"/>
      <c r="W119" s="7"/>
      <c r="X119" s="7"/>
      <c r="Y119" s="7"/>
    </row>
    <row r="120" ht="15.75" customHeight="1">
      <c r="T120" s="7"/>
      <c r="U120" s="7"/>
      <c r="V120" s="7"/>
      <c r="W120" s="7"/>
      <c r="X120" s="7"/>
      <c r="Y120" s="7"/>
    </row>
    <row r="121" ht="15.75" customHeight="1">
      <c r="T121" s="7"/>
      <c r="U121" s="7"/>
      <c r="V121" s="7"/>
      <c r="W121" s="7"/>
      <c r="X121" s="7"/>
      <c r="Y121" s="7"/>
    </row>
    <row r="122" ht="15.75" customHeight="1">
      <c r="T122" s="7"/>
      <c r="U122" s="7"/>
      <c r="V122" s="7"/>
      <c r="W122" s="7"/>
      <c r="X122" s="7"/>
      <c r="Y122" s="7"/>
    </row>
    <row r="123" ht="15.75" customHeight="1">
      <c r="T123" s="7"/>
      <c r="U123" s="7"/>
      <c r="V123" s="7"/>
      <c r="W123" s="7"/>
      <c r="X123" s="7"/>
      <c r="Y123" s="7"/>
    </row>
    <row r="124" ht="15.75" customHeight="1">
      <c r="T124" s="7"/>
      <c r="U124" s="7"/>
      <c r="V124" s="7"/>
      <c r="W124" s="7"/>
      <c r="X124" s="7"/>
      <c r="Y124" s="7"/>
    </row>
    <row r="125" ht="15.75" customHeight="1">
      <c r="T125" s="7"/>
      <c r="U125" s="7"/>
      <c r="V125" s="7"/>
      <c r="W125" s="7"/>
      <c r="X125" s="7"/>
      <c r="Y125" s="7"/>
    </row>
    <row r="126" ht="15.75" customHeight="1">
      <c r="T126" s="7"/>
      <c r="U126" s="7"/>
      <c r="V126" s="7"/>
      <c r="W126" s="7"/>
      <c r="X126" s="7"/>
      <c r="Y126" s="7"/>
    </row>
    <row r="127" ht="15.75" customHeight="1">
      <c r="T127" s="7"/>
      <c r="U127" s="7"/>
      <c r="V127" s="7"/>
      <c r="W127" s="7"/>
      <c r="X127" s="7"/>
      <c r="Y127" s="7"/>
    </row>
    <row r="128" ht="15.75" customHeight="1">
      <c r="T128" s="7"/>
      <c r="U128" s="7"/>
      <c r="V128" s="7"/>
      <c r="W128" s="7"/>
      <c r="X128" s="7"/>
      <c r="Y128" s="7"/>
    </row>
    <row r="129" ht="15.75" customHeight="1">
      <c r="T129" s="7"/>
      <c r="U129" s="7"/>
      <c r="V129" s="7"/>
      <c r="W129" s="7"/>
      <c r="X129" s="7"/>
      <c r="Y129" s="7"/>
    </row>
    <row r="130" ht="15.75" customHeight="1">
      <c r="T130" s="7"/>
      <c r="U130" s="7"/>
      <c r="V130" s="7"/>
      <c r="W130" s="7"/>
      <c r="X130" s="7"/>
      <c r="Y130" s="7"/>
    </row>
    <row r="131" ht="15.75" customHeight="1">
      <c r="T131" s="7"/>
      <c r="U131" s="7"/>
      <c r="V131" s="7"/>
      <c r="W131" s="7"/>
      <c r="X131" s="7"/>
      <c r="Y131" s="7"/>
    </row>
    <row r="132" ht="15.75" customHeight="1">
      <c r="T132" s="7"/>
      <c r="U132" s="7"/>
      <c r="V132" s="7"/>
      <c r="W132" s="7"/>
      <c r="X132" s="7"/>
      <c r="Y132" s="7"/>
    </row>
    <row r="133" ht="15.75" customHeight="1">
      <c r="T133" s="7"/>
      <c r="U133" s="7"/>
      <c r="V133" s="7"/>
      <c r="W133" s="7"/>
      <c r="X133" s="7"/>
      <c r="Y133" s="7"/>
    </row>
    <row r="134" ht="15.75" customHeight="1">
      <c r="T134" s="7"/>
      <c r="U134" s="7"/>
      <c r="V134" s="7"/>
      <c r="W134" s="7"/>
      <c r="X134" s="7"/>
      <c r="Y134" s="7"/>
    </row>
    <row r="135" ht="15.75" customHeight="1">
      <c r="T135" s="7"/>
      <c r="U135" s="7"/>
      <c r="V135" s="7"/>
      <c r="W135" s="7"/>
      <c r="X135" s="7"/>
      <c r="Y135" s="7"/>
    </row>
    <row r="136" ht="15.75" customHeight="1">
      <c r="T136" s="7"/>
      <c r="U136" s="7"/>
      <c r="V136" s="7"/>
      <c r="W136" s="7"/>
      <c r="X136" s="7"/>
      <c r="Y136" s="7"/>
    </row>
    <row r="137" ht="15.75" customHeight="1">
      <c r="T137" s="7"/>
      <c r="U137" s="7"/>
      <c r="V137" s="7"/>
      <c r="W137" s="7"/>
      <c r="X137" s="7"/>
      <c r="Y137" s="7"/>
    </row>
    <row r="138" ht="15.75" customHeight="1">
      <c r="T138" s="7"/>
      <c r="U138" s="7"/>
      <c r="V138" s="7"/>
      <c r="W138" s="7"/>
      <c r="X138" s="7"/>
      <c r="Y138" s="7"/>
    </row>
    <row r="139" ht="15.75" customHeight="1">
      <c r="T139" s="7"/>
      <c r="U139" s="7"/>
      <c r="V139" s="7"/>
      <c r="W139" s="7"/>
      <c r="X139" s="7"/>
      <c r="Y139" s="7"/>
    </row>
    <row r="140" ht="15.75" customHeight="1">
      <c r="T140" s="7"/>
      <c r="U140" s="7"/>
      <c r="V140" s="7"/>
      <c r="W140" s="7"/>
      <c r="X140" s="7"/>
      <c r="Y140" s="7"/>
    </row>
    <row r="141" ht="15.75" customHeight="1">
      <c r="T141" s="7"/>
      <c r="U141" s="7"/>
      <c r="V141" s="7"/>
      <c r="W141" s="7"/>
      <c r="X141" s="7"/>
      <c r="Y141" s="7"/>
    </row>
    <row r="142" ht="15.75" customHeight="1">
      <c r="T142" s="7"/>
      <c r="U142" s="7"/>
      <c r="V142" s="7"/>
      <c r="W142" s="7"/>
      <c r="X142" s="7"/>
      <c r="Y142" s="7"/>
    </row>
    <row r="143" ht="15.75" customHeight="1">
      <c r="T143" s="7"/>
      <c r="U143" s="7"/>
      <c r="V143" s="7"/>
      <c r="W143" s="7"/>
      <c r="X143" s="7"/>
      <c r="Y143" s="7"/>
    </row>
    <row r="144" ht="15.75" customHeight="1">
      <c r="T144" s="7"/>
      <c r="U144" s="7"/>
      <c r="V144" s="7"/>
      <c r="W144" s="7"/>
      <c r="X144" s="7"/>
      <c r="Y144" s="7"/>
    </row>
    <row r="145" ht="15.75" customHeight="1">
      <c r="T145" s="7"/>
      <c r="U145" s="7"/>
      <c r="V145" s="7"/>
      <c r="W145" s="7"/>
      <c r="X145" s="7"/>
      <c r="Y145" s="7"/>
    </row>
    <row r="146" ht="15.75" customHeight="1">
      <c r="T146" s="7"/>
      <c r="U146" s="7"/>
      <c r="V146" s="7"/>
      <c r="W146" s="7"/>
      <c r="X146" s="7"/>
      <c r="Y146" s="7"/>
    </row>
    <row r="147" ht="15.75" customHeight="1">
      <c r="T147" s="7"/>
      <c r="U147" s="7"/>
      <c r="V147" s="7"/>
      <c r="W147" s="7"/>
      <c r="X147" s="7"/>
      <c r="Y147" s="7"/>
    </row>
    <row r="148" ht="15.75" customHeight="1">
      <c r="T148" s="7"/>
      <c r="U148" s="7"/>
      <c r="V148" s="7"/>
      <c r="W148" s="7"/>
      <c r="X148" s="7"/>
      <c r="Y148" s="7"/>
    </row>
    <row r="149" ht="15.75" customHeight="1">
      <c r="T149" s="7"/>
      <c r="U149" s="7"/>
      <c r="V149" s="7"/>
      <c r="W149" s="7"/>
      <c r="X149" s="7"/>
      <c r="Y149" s="7"/>
    </row>
    <row r="150" ht="15.75" customHeight="1">
      <c r="T150" s="7"/>
      <c r="U150" s="7"/>
      <c r="V150" s="7"/>
      <c r="W150" s="7"/>
      <c r="X150" s="7"/>
      <c r="Y150" s="7"/>
    </row>
    <row r="151" ht="15.75" customHeight="1">
      <c r="T151" s="7"/>
      <c r="U151" s="7"/>
      <c r="V151" s="7"/>
      <c r="W151" s="7"/>
      <c r="X151" s="7"/>
      <c r="Y151" s="7"/>
    </row>
    <row r="152" ht="15.75" customHeight="1">
      <c r="T152" s="7"/>
      <c r="U152" s="7"/>
      <c r="V152" s="7"/>
      <c r="W152" s="7"/>
      <c r="X152" s="7"/>
      <c r="Y152" s="7"/>
    </row>
    <row r="153" ht="15.75" customHeight="1">
      <c r="T153" s="7"/>
      <c r="U153" s="7"/>
      <c r="V153" s="7"/>
      <c r="W153" s="7"/>
      <c r="X153" s="7"/>
      <c r="Y153" s="7"/>
    </row>
    <row r="154" ht="15.75" customHeight="1">
      <c r="T154" s="7"/>
      <c r="U154" s="7"/>
      <c r="V154" s="7"/>
      <c r="W154" s="7"/>
      <c r="X154" s="7"/>
      <c r="Y154" s="7"/>
    </row>
    <row r="155" ht="15.75" customHeight="1">
      <c r="T155" s="7"/>
      <c r="U155" s="7"/>
      <c r="V155" s="7"/>
      <c r="W155" s="7"/>
      <c r="X155" s="7"/>
      <c r="Y155" s="7"/>
    </row>
    <row r="156" ht="15.75" customHeight="1">
      <c r="T156" s="7"/>
      <c r="U156" s="7"/>
      <c r="V156" s="7"/>
      <c r="W156" s="7"/>
      <c r="X156" s="7"/>
      <c r="Y156" s="7"/>
    </row>
    <row r="157" ht="15.75" customHeight="1">
      <c r="T157" s="7"/>
      <c r="U157" s="7"/>
      <c r="V157" s="7"/>
      <c r="W157" s="7"/>
      <c r="X157" s="7"/>
      <c r="Y157" s="7"/>
    </row>
    <row r="158" ht="15.75" customHeight="1">
      <c r="T158" s="7"/>
      <c r="U158" s="7"/>
      <c r="V158" s="7"/>
      <c r="W158" s="7"/>
      <c r="X158" s="7"/>
      <c r="Y158" s="7"/>
    </row>
    <row r="159" ht="15.75" customHeight="1">
      <c r="T159" s="7"/>
      <c r="U159" s="7"/>
      <c r="V159" s="7"/>
      <c r="W159" s="7"/>
      <c r="X159" s="7"/>
      <c r="Y159" s="7"/>
    </row>
    <row r="160" ht="15.75" customHeight="1">
      <c r="T160" s="7"/>
      <c r="U160" s="7"/>
      <c r="V160" s="7"/>
      <c r="W160" s="7"/>
      <c r="X160" s="7"/>
      <c r="Y160" s="7"/>
    </row>
    <row r="161" ht="15.75" customHeight="1">
      <c r="T161" s="7"/>
      <c r="U161" s="7"/>
      <c r="V161" s="7"/>
      <c r="W161" s="7"/>
      <c r="X161" s="7"/>
      <c r="Y161" s="7"/>
    </row>
    <row r="162" ht="15.75" customHeight="1">
      <c r="T162" s="7"/>
      <c r="U162" s="7"/>
      <c r="V162" s="7"/>
      <c r="W162" s="7"/>
      <c r="X162" s="7"/>
      <c r="Y162" s="7"/>
    </row>
    <row r="163" ht="15.75" customHeight="1">
      <c r="T163" s="7"/>
      <c r="U163" s="7"/>
      <c r="V163" s="7"/>
      <c r="W163" s="7"/>
      <c r="X163" s="7"/>
      <c r="Y163" s="7"/>
    </row>
    <row r="164" ht="15.75" customHeight="1">
      <c r="T164" s="7"/>
      <c r="U164" s="7"/>
      <c r="V164" s="7"/>
      <c r="W164" s="7"/>
      <c r="X164" s="7"/>
      <c r="Y164" s="7"/>
    </row>
    <row r="165" ht="15.75" customHeight="1">
      <c r="T165" s="7"/>
      <c r="U165" s="7"/>
      <c r="V165" s="7"/>
      <c r="W165" s="7"/>
      <c r="X165" s="7"/>
      <c r="Y165" s="7"/>
    </row>
    <row r="166" ht="15.75" customHeight="1">
      <c r="T166" s="7"/>
      <c r="U166" s="7"/>
      <c r="V166" s="7"/>
      <c r="W166" s="7"/>
      <c r="X166" s="7"/>
      <c r="Y166" s="7"/>
    </row>
    <row r="167" ht="15.75" customHeight="1">
      <c r="T167" s="7"/>
      <c r="U167" s="7"/>
      <c r="V167" s="7"/>
      <c r="W167" s="7"/>
      <c r="X167" s="7"/>
      <c r="Y167" s="7"/>
    </row>
    <row r="168" ht="15.75" customHeight="1">
      <c r="T168" s="7"/>
      <c r="U168" s="7"/>
      <c r="V168" s="7"/>
      <c r="W168" s="7"/>
      <c r="X168" s="7"/>
      <c r="Y168" s="7"/>
    </row>
    <row r="169" ht="15.75" customHeight="1">
      <c r="T169" s="7"/>
      <c r="U169" s="7"/>
      <c r="V169" s="7"/>
      <c r="W169" s="7"/>
      <c r="X169" s="7"/>
      <c r="Y169" s="7"/>
    </row>
    <row r="170" ht="15.75" customHeight="1">
      <c r="T170" s="7"/>
      <c r="U170" s="7"/>
      <c r="V170" s="7"/>
      <c r="W170" s="7"/>
      <c r="X170" s="7"/>
      <c r="Y170" s="7"/>
    </row>
    <row r="171" ht="15.75" customHeight="1">
      <c r="T171" s="7"/>
      <c r="U171" s="7"/>
      <c r="V171" s="7"/>
      <c r="W171" s="7"/>
      <c r="X171" s="7"/>
      <c r="Y171" s="7"/>
    </row>
    <row r="172" ht="15.75" customHeight="1">
      <c r="T172" s="7"/>
      <c r="U172" s="7"/>
      <c r="V172" s="7"/>
      <c r="W172" s="7"/>
      <c r="X172" s="7"/>
      <c r="Y172" s="7"/>
    </row>
    <row r="173" ht="15.75" customHeight="1">
      <c r="T173" s="7"/>
      <c r="U173" s="7"/>
      <c r="V173" s="7"/>
      <c r="W173" s="7"/>
      <c r="X173" s="7"/>
      <c r="Y173" s="7"/>
    </row>
    <row r="174" ht="15.75" customHeight="1">
      <c r="T174" s="7"/>
      <c r="U174" s="7"/>
      <c r="V174" s="7"/>
      <c r="W174" s="7"/>
      <c r="X174" s="7"/>
      <c r="Y174" s="7"/>
    </row>
    <row r="175" ht="15.75" customHeight="1">
      <c r="T175" s="7"/>
      <c r="U175" s="7"/>
      <c r="V175" s="7"/>
      <c r="W175" s="7"/>
      <c r="X175" s="7"/>
      <c r="Y175" s="7"/>
    </row>
    <row r="176" ht="15.75" customHeight="1">
      <c r="T176" s="7"/>
      <c r="U176" s="7"/>
      <c r="V176" s="7"/>
      <c r="W176" s="7"/>
      <c r="X176" s="7"/>
      <c r="Y176" s="7"/>
    </row>
    <row r="177" ht="15.75" customHeight="1">
      <c r="T177" s="7"/>
      <c r="U177" s="7"/>
      <c r="V177" s="7"/>
      <c r="W177" s="7"/>
      <c r="X177" s="7"/>
      <c r="Y177" s="7"/>
    </row>
    <row r="178" ht="15.75" customHeight="1">
      <c r="T178" s="7"/>
      <c r="U178" s="7"/>
      <c r="V178" s="7"/>
      <c r="W178" s="7"/>
      <c r="X178" s="7"/>
      <c r="Y178" s="7"/>
    </row>
    <row r="179" ht="15.75" customHeight="1">
      <c r="T179" s="7"/>
      <c r="U179" s="7"/>
      <c r="V179" s="7"/>
      <c r="W179" s="7"/>
      <c r="X179" s="7"/>
      <c r="Y179" s="7"/>
    </row>
    <row r="180" ht="15.75" customHeight="1">
      <c r="T180" s="7"/>
      <c r="U180" s="7"/>
      <c r="V180" s="7"/>
      <c r="W180" s="7"/>
      <c r="X180" s="7"/>
      <c r="Y180" s="7"/>
    </row>
    <row r="181" ht="15.75" customHeight="1">
      <c r="T181" s="7"/>
      <c r="U181" s="7"/>
      <c r="V181" s="7"/>
      <c r="W181" s="7"/>
      <c r="X181" s="7"/>
      <c r="Y181" s="7"/>
    </row>
    <row r="182" ht="15.75" customHeight="1">
      <c r="T182" s="7"/>
      <c r="U182" s="7"/>
      <c r="V182" s="7"/>
      <c r="W182" s="7"/>
      <c r="X182" s="7"/>
      <c r="Y182" s="7"/>
    </row>
    <row r="183" ht="15.75" customHeight="1">
      <c r="T183" s="7"/>
      <c r="U183" s="7"/>
      <c r="V183" s="7"/>
      <c r="W183" s="7"/>
      <c r="X183" s="7"/>
      <c r="Y183" s="7"/>
    </row>
    <row r="184" ht="15.75" customHeight="1">
      <c r="T184" s="7"/>
      <c r="U184" s="7"/>
      <c r="V184" s="7"/>
      <c r="W184" s="7"/>
      <c r="X184" s="7"/>
      <c r="Y184" s="7"/>
    </row>
    <row r="185" ht="15.75" customHeight="1">
      <c r="T185" s="7"/>
      <c r="U185" s="7"/>
      <c r="V185" s="7"/>
      <c r="W185" s="7"/>
      <c r="X185" s="7"/>
      <c r="Y185" s="7"/>
    </row>
    <row r="186" ht="15.75" customHeight="1">
      <c r="T186" s="7"/>
      <c r="U186" s="7"/>
      <c r="V186" s="7"/>
      <c r="W186" s="7"/>
      <c r="X186" s="7"/>
      <c r="Y186" s="7"/>
    </row>
    <row r="187" ht="15.75" customHeight="1">
      <c r="T187" s="7"/>
      <c r="U187" s="7"/>
      <c r="V187" s="7"/>
      <c r="W187" s="7"/>
      <c r="X187" s="7"/>
      <c r="Y187" s="7"/>
    </row>
    <row r="188" ht="15.75" customHeight="1">
      <c r="T188" s="7"/>
      <c r="U188" s="7"/>
      <c r="V188" s="7"/>
      <c r="W188" s="7"/>
      <c r="X188" s="7"/>
      <c r="Y188" s="7"/>
    </row>
    <row r="189" ht="15.75" customHeight="1">
      <c r="T189" s="7"/>
      <c r="U189" s="7"/>
      <c r="V189" s="7"/>
      <c r="W189" s="7"/>
      <c r="X189" s="7"/>
      <c r="Y189" s="7"/>
    </row>
    <row r="190" ht="15.75" customHeight="1">
      <c r="T190" s="7"/>
      <c r="U190" s="7"/>
      <c r="V190" s="7"/>
      <c r="W190" s="7"/>
      <c r="X190" s="7"/>
      <c r="Y190" s="7"/>
    </row>
    <row r="191" ht="15.75" customHeight="1">
      <c r="T191" s="7"/>
      <c r="U191" s="7"/>
      <c r="V191" s="7"/>
      <c r="W191" s="7"/>
      <c r="X191" s="7"/>
      <c r="Y191" s="7"/>
    </row>
    <row r="192" ht="15.75" customHeight="1">
      <c r="T192" s="7"/>
      <c r="U192" s="7"/>
      <c r="V192" s="7"/>
      <c r="W192" s="7"/>
      <c r="X192" s="7"/>
      <c r="Y192" s="7"/>
    </row>
    <row r="193" ht="15.75" customHeight="1">
      <c r="T193" s="7"/>
      <c r="U193" s="7"/>
      <c r="V193" s="7"/>
      <c r="W193" s="7"/>
      <c r="X193" s="7"/>
      <c r="Y193" s="7"/>
    </row>
    <row r="194" ht="15.75" customHeight="1">
      <c r="T194" s="7"/>
      <c r="U194" s="7"/>
      <c r="V194" s="7"/>
      <c r="W194" s="7"/>
      <c r="X194" s="7"/>
      <c r="Y194" s="7"/>
    </row>
    <row r="195" ht="15.75" customHeight="1">
      <c r="T195" s="7"/>
      <c r="U195" s="7"/>
      <c r="V195" s="7"/>
      <c r="W195" s="7"/>
      <c r="X195" s="7"/>
      <c r="Y195" s="7"/>
    </row>
    <row r="196" ht="15.75" customHeight="1">
      <c r="T196" s="7"/>
      <c r="U196" s="7"/>
      <c r="V196" s="7"/>
      <c r="W196" s="7"/>
      <c r="X196" s="7"/>
      <c r="Y196" s="7"/>
    </row>
    <row r="197" ht="15.75" customHeight="1">
      <c r="T197" s="7"/>
      <c r="U197" s="7"/>
      <c r="V197" s="7"/>
      <c r="W197" s="7"/>
      <c r="X197" s="7"/>
      <c r="Y197" s="7"/>
    </row>
    <row r="198" ht="15.75" customHeight="1">
      <c r="T198" s="7"/>
      <c r="U198" s="7"/>
      <c r="V198" s="7"/>
      <c r="W198" s="7"/>
      <c r="X198" s="7"/>
      <c r="Y198" s="7"/>
    </row>
    <row r="199" ht="15.75" customHeight="1">
      <c r="T199" s="7"/>
      <c r="U199" s="7"/>
      <c r="V199" s="7"/>
      <c r="W199" s="7"/>
      <c r="X199" s="7"/>
      <c r="Y199" s="7"/>
    </row>
    <row r="200" ht="15.75" customHeight="1">
      <c r="T200" s="7"/>
      <c r="U200" s="7"/>
      <c r="V200" s="7"/>
      <c r="W200" s="7"/>
      <c r="X200" s="7"/>
      <c r="Y200" s="7"/>
    </row>
    <row r="201" ht="15.75" customHeight="1">
      <c r="T201" s="7"/>
      <c r="U201" s="7"/>
      <c r="V201" s="7"/>
      <c r="W201" s="7"/>
      <c r="X201" s="7"/>
      <c r="Y201" s="7"/>
    </row>
    <row r="202" ht="15.75" customHeight="1">
      <c r="T202" s="7"/>
      <c r="U202" s="7"/>
      <c r="V202" s="7"/>
      <c r="W202" s="7"/>
      <c r="X202" s="7"/>
      <c r="Y202" s="7"/>
    </row>
    <row r="203" ht="15.75" customHeight="1">
      <c r="T203" s="7"/>
      <c r="U203" s="7"/>
      <c r="V203" s="7"/>
      <c r="W203" s="7"/>
      <c r="X203" s="7"/>
      <c r="Y203" s="7"/>
    </row>
    <row r="204" ht="15.75" customHeight="1">
      <c r="T204" s="7"/>
      <c r="U204" s="7"/>
      <c r="V204" s="7"/>
      <c r="W204" s="7"/>
      <c r="X204" s="7"/>
      <c r="Y204" s="7"/>
    </row>
    <row r="205" ht="15.75" customHeight="1">
      <c r="T205" s="7"/>
      <c r="U205" s="7"/>
      <c r="V205" s="7"/>
      <c r="W205" s="7"/>
      <c r="X205" s="7"/>
      <c r="Y205" s="7"/>
    </row>
    <row r="206" ht="15.75" customHeight="1">
      <c r="T206" s="7"/>
      <c r="U206" s="7"/>
      <c r="V206" s="7"/>
      <c r="W206" s="7"/>
      <c r="X206" s="7"/>
      <c r="Y206" s="7"/>
    </row>
    <row r="207" ht="15.75" customHeight="1">
      <c r="T207" s="7"/>
      <c r="U207" s="7"/>
      <c r="V207" s="7"/>
      <c r="W207" s="7"/>
      <c r="X207" s="7"/>
      <c r="Y207" s="7"/>
    </row>
    <row r="208" ht="15.75" customHeight="1">
      <c r="T208" s="7"/>
      <c r="U208" s="7"/>
      <c r="V208" s="7"/>
      <c r="W208" s="7"/>
      <c r="X208" s="7"/>
      <c r="Y208" s="7"/>
    </row>
    <row r="209" ht="15.75" customHeight="1">
      <c r="T209" s="7"/>
      <c r="U209" s="7"/>
      <c r="V209" s="7"/>
      <c r="W209" s="7"/>
      <c r="X209" s="7"/>
      <c r="Y209" s="7"/>
    </row>
    <row r="210" ht="15.75" customHeight="1">
      <c r="T210" s="7"/>
      <c r="U210" s="7"/>
      <c r="V210" s="7"/>
      <c r="W210" s="7"/>
      <c r="X210" s="7"/>
      <c r="Y210" s="7"/>
    </row>
    <row r="211" ht="15.75" customHeight="1">
      <c r="T211" s="7"/>
      <c r="U211" s="7"/>
      <c r="V211" s="7"/>
      <c r="W211" s="7"/>
      <c r="X211" s="7"/>
      <c r="Y211" s="7"/>
    </row>
    <row r="212" ht="15.75" customHeight="1">
      <c r="T212" s="7"/>
      <c r="U212" s="7"/>
      <c r="V212" s="7"/>
      <c r="W212" s="7"/>
      <c r="X212" s="7"/>
      <c r="Y212" s="7"/>
    </row>
    <row r="213" ht="15.75" customHeight="1">
      <c r="T213" s="7"/>
      <c r="U213" s="7"/>
      <c r="V213" s="7"/>
      <c r="W213" s="7"/>
      <c r="X213" s="7"/>
      <c r="Y213" s="7"/>
    </row>
    <row r="214" ht="15.75" customHeight="1">
      <c r="T214" s="7"/>
      <c r="U214" s="7"/>
      <c r="V214" s="7"/>
      <c r="W214" s="7"/>
      <c r="X214" s="7"/>
      <c r="Y214" s="7"/>
    </row>
    <row r="215" ht="15.75" customHeight="1">
      <c r="T215" s="7"/>
      <c r="U215" s="7"/>
      <c r="V215" s="7"/>
      <c r="W215" s="7"/>
      <c r="X215" s="7"/>
      <c r="Y215" s="7"/>
    </row>
    <row r="216" ht="15.75" customHeight="1">
      <c r="T216" s="7"/>
      <c r="U216" s="7"/>
      <c r="V216" s="7"/>
      <c r="W216" s="7"/>
      <c r="X216" s="7"/>
      <c r="Y216" s="7"/>
    </row>
    <row r="217" ht="15.75" customHeight="1">
      <c r="T217" s="7"/>
      <c r="U217" s="7"/>
      <c r="V217" s="7"/>
      <c r="W217" s="7"/>
      <c r="X217" s="7"/>
      <c r="Y217" s="7"/>
    </row>
    <row r="218" ht="15.75" customHeight="1">
      <c r="T218" s="7"/>
      <c r="U218" s="7"/>
      <c r="V218" s="7"/>
      <c r="W218" s="7"/>
      <c r="X218" s="7"/>
      <c r="Y218" s="7"/>
    </row>
    <row r="219" ht="15.75" customHeight="1">
      <c r="T219" s="7"/>
      <c r="U219" s="7"/>
      <c r="V219" s="7"/>
      <c r="W219" s="7"/>
      <c r="X219" s="7"/>
      <c r="Y219" s="7"/>
    </row>
    <row r="220" ht="15.75" customHeight="1">
      <c r="T220" s="7"/>
      <c r="U220" s="7"/>
      <c r="V220" s="7"/>
      <c r="W220" s="7"/>
      <c r="X220" s="7"/>
      <c r="Y220" s="7"/>
    </row>
    <row r="221" ht="15.75" customHeight="1">
      <c r="T221" s="7"/>
      <c r="U221" s="7"/>
      <c r="V221" s="7"/>
      <c r="W221" s="7"/>
      <c r="X221" s="7"/>
      <c r="Y221" s="7"/>
    </row>
    <row r="222" ht="15.75" customHeight="1">
      <c r="T222" s="7"/>
      <c r="U222" s="7"/>
      <c r="V222" s="7"/>
      <c r="W222" s="7"/>
      <c r="X222" s="7"/>
      <c r="Y222" s="7"/>
    </row>
    <row r="223" ht="15.75" customHeight="1">
      <c r="T223" s="7"/>
      <c r="U223" s="7"/>
      <c r="V223" s="7"/>
      <c r="W223" s="7"/>
      <c r="X223" s="7"/>
      <c r="Y223" s="7"/>
    </row>
    <row r="224" ht="15.75" customHeight="1">
      <c r="T224" s="7"/>
      <c r="U224" s="7"/>
      <c r="V224" s="7"/>
      <c r="W224" s="7"/>
      <c r="X224" s="7"/>
      <c r="Y224" s="7"/>
    </row>
    <row r="225" ht="15.75" customHeight="1">
      <c r="T225" s="7"/>
      <c r="U225" s="7"/>
      <c r="V225" s="7"/>
      <c r="W225" s="7"/>
      <c r="X225" s="7"/>
      <c r="Y225" s="7"/>
    </row>
    <row r="226" ht="15.75" customHeight="1">
      <c r="T226" s="7"/>
      <c r="U226" s="7"/>
      <c r="V226" s="7"/>
      <c r="W226" s="7"/>
      <c r="X226" s="7"/>
      <c r="Y226" s="7"/>
    </row>
    <row r="227" ht="15.75" customHeight="1">
      <c r="T227" s="7"/>
      <c r="U227" s="7"/>
      <c r="V227" s="7"/>
      <c r="W227" s="7"/>
      <c r="X227" s="7"/>
      <c r="Y227" s="7"/>
    </row>
    <row r="228" ht="15.75" customHeight="1">
      <c r="T228" s="7"/>
      <c r="U228" s="7"/>
      <c r="V228" s="7"/>
      <c r="W228" s="7"/>
      <c r="X228" s="7"/>
      <c r="Y228" s="7"/>
    </row>
    <row r="229" ht="15.75" customHeight="1">
      <c r="T229" s="7"/>
      <c r="U229" s="7"/>
      <c r="V229" s="7"/>
      <c r="W229" s="7"/>
      <c r="X229" s="7"/>
      <c r="Y229" s="7"/>
    </row>
    <row r="230" ht="15.75" customHeight="1">
      <c r="T230" s="7"/>
      <c r="U230" s="7"/>
      <c r="V230" s="7"/>
      <c r="W230" s="7"/>
      <c r="X230" s="7"/>
      <c r="Y230" s="7"/>
    </row>
    <row r="231" ht="15.75" customHeight="1">
      <c r="T231" s="7"/>
      <c r="U231" s="7"/>
      <c r="V231" s="7"/>
      <c r="W231" s="7"/>
      <c r="X231" s="7"/>
      <c r="Y231" s="7"/>
    </row>
    <row r="232" ht="15.75" customHeight="1">
      <c r="T232" s="7"/>
      <c r="U232" s="7"/>
      <c r="V232" s="7"/>
      <c r="W232" s="7"/>
      <c r="X232" s="7"/>
      <c r="Y232" s="7"/>
    </row>
    <row r="233" ht="15.75" customHeight="1">
      <c r="T233" s="7"/>
      <c r="U233" s="7"/>
      <c r="V233" s="7"/>
      <c r="W233" s="7"/>
      <c r="X233" s="7"/>
      <c r="Y233" s="7"/>
    </row>
    <row r="234" ht="15.75" customHeight="1">
      <c r="T234" s="7"/>
      <c r="U234" s="7"/>
      <c r="V234" s="7"/>
      <c r="W234" s="7"/>
      <c r="X234" s="7"/>
      <c r="Y234" s="7"/>
    </row>
    <row r="235" ht="15.75" customHeight="1">
      <c r="T235" s="7"/>
      <c r="U235" s="7"/>
      <c r="V235" s="7"/>
      <c r="W235" s="7"/>
      <c r="X235" s="7"/>
      <c r="Y235" s="7"/>
    </row>
    <row r="236" ht="15.75" customHeight="1">
      <c r="T236" s="7"/>
      <c r="U236" s="7"/>
      <c r="V236" s="7"/>
      <c r="W236" s="7"/>
      <c r="X236" s="7"/>
      <c r="Y236" s="7"/>
    </row>
    <row r="237" ht="15.75" customHeight="1">
      <c r="T237" s="7"/>
      <c r="U237" s="7"/>
      <c r="V237" s="7"/>
      <c r="W237" s="7"/>
      <c r="X237" s="7"/>
      <c r="Y237" s="7"/>
    </row>
    <row r="238" ht="15.75" customHeight="1">
      <c r="T238" s="7"/>
      <c r="U238" s="7"/>
      <c r="V238" s="7"/>
      <c r="W238" s="7"/>
      <c r="X238" s="7"/>
      <c r="Y238" s="7"/>
    </row>
    <row r="239" ht="15.75" customHeight="1">
      <c r="T239" s="7"/>
      <c r="U239" s="7"/>
      <c r="V239" s="7"/>
      <c r="W239" s="7"/>
      <c r="X239" s="7"/>
      <c r="Y239" s="7"/>
    </row>
    <row r="240" ht="15.75" customHeight="1">
      <c r="T240" s="7"/>
      <c r="U240" s="7"/>
      <c r="V240" s="7"/>
      <c r="W240" s="7"/>
      <c r="X240" s="7"/>
      <c r="Y240" s="7"/>
    </row>
    <row r="241" ht="15.75" customHeight="1">
      <c r="T241" s="7"/>
      <c r="U241" s="7"/>
      <c r="V241" s="7"/>
      <c r="W241" s="7"/>
      <c r="X241" s="7"/>
      <c r="Y241" s="7"/>
    </row>
    <row r="242" ht="15.75" customHeight="1">
      <c r="T242" s="7"/>
      <c r="U242" s="7"/>
      <c r="V242" s="7"/>
      <c r="W242" s="7"/>
      <c r="X242" s="7"/>
      <c r="Y242" s="7"/>
    </row>
    <row r="243" ht="15.75" customHeight="1">
      <c r="T243" s="7"/>
      <c r="U243" s="7"/>
      <c r="V243" s="7"/>
      <c r="W243" s="7"/>
      <c r="X243" s="7"/>
      <c r="Y243" s="7"/>
    </row>
    <row r="244" ht="15.75" customHeight="1">
      <c r="T244" s="7"/>
      <c r="U244" s="7"/>
      <c r="V244" s="7"/>
      <c r="W244" s="7"/>
      <c r="X244" s="7"/>
      <c r="Y244" s="7"/>
    </row>
    <row r="245" ht="15.75" customHeight="1">
      <c r="T245" s="7"/>
      <c r="U245" s="7"/>
      <c r="V245" s="7"/>
      <c r="W245" s="7"/>
      <c r="X245" s="7"/>
      <c r="Y245" s="7"/>
    </row>
    <row r="246" ht="15.75" customHeight="1">
      <c r="T246" s="7"/>
      <c r="U246" s="7"/>
      <c r="V246" s="7"/>
      <c r="W246" s="7"/>
      <c r="X246" s="7"/>
      <c r="Y246" s="7"/>
    </row>
    <row r="247" ht="15.75" customHeight="1">
      <c r="T247" s="7"/>
      <c r="U247" s="7"/>
      <c r="V247" s="7"/>
      <c r="W247" s="7"/>
      <c r="X247" s="7"/>
      <c r="Y247" s="7"/>
    </row>
    <row r="248" ht="15.75" customHeight="1">
      <c r="T248" s="7"/>
      <c r="U248" s="7"/>
      <c r="V248" s="7"/>
      <c r="W248" s="7"/>
      <c r="X248" s="7"/>
      <c r="Y248" s="7"/>
    </row>
    <row r="249" ht="15.75" customHeight="1">
      <c r="T249" s="7"/>
      <c r="U249" s="7"/>
      <c r="V249" s="7"/>
      <c r="W249" s="7"/>
      <c r="X249" s="7"/>
      <c r="Y249" s="7"/>
    </row>
    <row r="250" ht="15.75" customHeight="1">
      <c r="T250" s="7"/>
      <c r="U250" s="7"/>
      <c r="V250" s="7"/>
      <c r="W250" s="7"/>
      <c r="X250" s="7"/>
      <c r="Y250" s="7"/>
    </row>
    <row r="251" ht="15.75" customHeight="1">
      <c r="T251" s="7"/>
      <c r="U251" s="7"/>
      <c r="V251" s="7"/>
      <c r="W251" s="7"/>
      <c r="X251" s="7"/>
      <c r="Y251" s="7"/>
    </row>
    <row r="252" ht="15.75" customHeight="1">
      <c r="T252" s="7"/>
      <c r="U252" s="7"/>
      <c r="V252" s="7"/>
      <c r="W252" s="7"/>
      <c r="X252" s="7"/>
      <c r="Y252" s="7"/>
    </row>
    <row r="253" ht="15.75" customHeight="1">
      <c r="T253" s="7"/>
      <c r="U253" s="7"/>
      <c r="V253" s="7"/>
      <c r="W253" s="7"/>
      <c r="X253" s="7"/>
      <c r="Y253" s="7"/>
    </row>
    <row r="254" ht="15.75" customHeight="1">
      <c r="T254" s="7"/>
      <c r="U254" s="7"/>
      <c r="V254" s="7"/>
      <c r="W254" s="7"/>
      <c r="X254" s="7"/>
      <c r="Y254" s="7"/>
    </row>
    <row r="255" ht="15.75" customHeight="1">
      <c r="T255" s="7"/>
      <c r="U255" s="7"/>
      <c r="V255" s="7"/>
      <c r="W255" s="7"/>
      <c r="X255" s="7"/>
      <c r="Y255" s="7"/>
    </row>
    <row r="256" ht="15.75" customHeight="1">
      <c r="T256" s="7"/>
      <c r="U256" s="7"/>
      <c r="V256" s="7"/>
      <c r="W256" s="7"/>
      <c r="X256" s="7"/>
      <c r="Y256" s="7"/>
    </row>
    <row r="257" ht="15.75" customHeight="1">
      <c r="T257" s="7"/>
      <c r="U257" s="7"/>
      <c r="V257" s="7"/>
      <c r="W257" s="7"/>
      <c r="X257" s="7"/>
      <c r="Y257" s="7"/>
    </row>
    <row r="258" ht="15.75" customHeight="1">
      <c r="T258" s="7"/>
      <c r="U258" s="7"/>
      <c r="V258" s="7"/>
      <c r="W258" s="7"/>
      <c r="X258" s="7"/>
      <c r="Y258" s="7"/>
    </row>
    <row r="259" ht="15.75" customHeight="1">
      <c r="T259" s="7"/>
      <c r="U259" s="7"/>
      <c r="V259" s="7"/>
      <c r="W259" s="7"/>
      <c r="X259" s="7"/>
      <c r="Y259" s="7"/>
    </row>
    <row r="260" ht="15.75" customHeight="1">
      <c r="T260" s="7"/>
      <c r="U260" s="7"/>
      <c r="V260" s="7"/>
      <c r="W260" s="7"/>
      <c r="X260" s="7"/>
      <c r="Y260" s="7"/>
    </row>
    <row r="261" ht="15.75" customHeight="1">
      <c r="T261" s="7"/>
      <c r="U261" s="7"/>
      <c r="V261" s="7"/>
      <c r="W261" s="7"/>
      <c r="X261" s="7"/>
      <c r="Y261" s="7"/>
    </row>
    <row r="262" ht="15.75" customHeight="1">
      <c r="T262" s="7"/>
      <c r="U262" s="7"/>
      <c r="V262" s="7"/>
      <c r="W262" s="7"/>
      <c r="X262" s="7"/>
      <c r="Y262" s="7"/>
    </row>
    <row r="263" ht="15.75" customHeight="1">
      <c r="T263" s="7"/>
      <c r="U263" s="7"/>
      <c r="V263" s="7"/>
      <c r="W263" s="7"/>
      <c r="X263" s="7"/>
      <c r="Y263" s="7"/>
    </row>
    <row r="264" ht="15.75" customHeight="1">
      <c r="T264" s="7"/>
      <c r="U264" s="7"/>
      <c r="V264" s="7"/>
      <c r="W264" s="7"/>
      <c r="X264" s="7"/>
      <c r="Y264" s="7"/>
    </row>
    <row r="265" ht="15.75" customHeight="1">
      <c r="T265" s="7"/>
      <c r="U265" s="7"/>
      <c r="V265" s="7"/>
      <c r="W265" s="7"/>
      <c r="X265" s="7"/>
      <c r="Y265" s="7"/>
    </row>
    <row r="266" ht="15.75" customHeight="1">
      <c r="T266" s="7"/>
      <c r="U266" s="7"/>
      <c r="V266" s="7"/>
      <c r="W266" s="7"/>
      <c r="X266" s="7"/>
      <c r="Y266" s="7"/>
    </row>
    <row r="267" ht="15.75" customHeight="1">
      <c r="T267" s="7"/>
      <c r="U267" s="7"/>
      <c r="V267" s="7"/>
      <c r="W267" s="7"/>
      <c r="X267" s="7"/>
      <c r="Y267" s="7"/>
    </row>
    <row r="268" ht="15.75" customHeight="1">
      <c r="T268" s="7"/>
      <c r="U268" s="7"/>
      <c r="V268" s="7"/>
      <c r="W268" s="7"/>
      <c r="X268" s="7"/>
      <c r="Y268" s="7"/>
    </row>
    <row r="269" ht="15.75" customHeight="1">
      <c r="T269" s="7"/>
      <c r="U269" s="7"/>
      <c r="V269" s="7"/>
      <c r="W269" s="7"/>
      <c r="X269" s="7"/>
      <c r="Y269" s="7"/>
    </row>
    <row r="270" ht="15.75" customHeight="1">
      <c r="T270" s="7"/>
      <c r="U270" s="7"/>
      <c r="V270" s="7"/>
      <c r="W270" s="7"/>
      <c r="X270" s="7"/>
      <c r="Y270" s="7"/>
    </row>
    <row r="271" ht="15.75" customHeight="1">
      <c r="T271" s="7"/>
      <c r="U271" s="7"/>
      <c r="V271" s="7"/>
      <c r="W271" s="7"/>
      <c r="X271" s="7"/>
      <c r="Y271" s="7"/>
    </row>
    <row r="272" ht="15.75" customHeight="1">
      <c r="T272" s="7"/>
      <c r="U272" s="7"/>
      <c r="V272" s="7"/>
      <c r="W272" s="7"/>
      <c r="X272" s="7"/>
      <c r="Y272" s="7"/>
    </row>
    <row r="273" ht="15.75" customHeight="1">
      <c r="T273" s="7"/>
      <c r="U273" s="7"/>
      <c r="V273" s="7"/>
      <c r="W273" s="7"/>
      <c r="X273" s="7"/>
      <c r="Y273" s="7"/>
    </row>
    <row r="274" ht="15.75" customHeight="1">
      <c r="T274" s="7"/>
      <c r="U274" s="7"/>
      <c r="V274" s="7"/>
      <c r="W274" s="7"/>
      <c r="X274" s="7"/>
      <c r="Y274" s="7"/>
    </row>
    <row r="275" ht="15.75" customHeight="1">
      <c r="T275" s="7"/>
      <c r="U275" s="7"/>
      <c r="V275" s="7"/>
      <c r="W275" s="7"/>
      <c r="X275" s="7"/>
      <c r="Y275" s="7"/>
    </row>
    <row r="276" ht="15.75" customHeight="1">
      <c r="T276" s="7"/>
      <c r="U276" s="7"/>
      <c r="V276" s="7"/>
      <c r="W276" s="7"/>
      <c r="X276" s="7"/>
      <c r="Y276" s="7"/>
    </row>
    <row r="277" ht="15.75" customHeight="1">
      <c r="T277" s="7"/>
      <c r="U277" s="7"/>
      <c r="V277" s="7"/>
      <c r="W277" s="7"/>
      <c r="X277" s="7"/>
      <c r="Y277" s="7"/>
    </row>
    <row r="278" ht="15.75" customHeight="1">
      <c r="T278" s="7"/>
      <c r="U278" s="7"/>
      <c r="V278" s="7"/>
      <c r="W278" s="7"/>
      <c r="X278" s="7"/>
      <c r="Y278" s="7"/>
    </row>
    <row r="279" ht="15.75" customHeight="1">
      <c r="T279" s="7"/>
      <c r="U279" s="7"/>
      <c r="V279" s="7"/>
      <c r="W279" s="7"/>
      <c r="X279" s="7"/>
      <c r="Y279" s="7"/>
    </row>
    <row r="280" ht="15.75" customHeight="1">
      <c r="T280" s="7"/>
      <c r="U280" s="7"/>
      <c r="V280" s="7"/>
      <c r="W280" s="7"/>
      <c r="X280" s="7"/>
      <c r="Y280" s="7"/>
    </row>
    <row r="281" ht="15.75" customHeight="1">
      <c r="T281" s="7"/>
      <c r="U281" s="7"/>
      <c r="V281" s="7"/>
      <c r="W281" s="7"/>
      <c r="X281" s="7"/>
      <c r="Y281" s="7"/>
    </row>
    <row r="282" ht="15.75" customHeight="1">
      <c r="T282" s="7"/>
      <c r="U282" s="7"/>
      <c r="V282" s="7"/>
      <c r="W282" s="7"/>
      <c r="X282" s="7"/>
      <c r="Y282" s="7"/>
    </row>
    <row r="283" ht="15.75" customHeight="1">
      <c r="T283" s="7"/>
      <c r="U283" s="7"/>
      <c r="V283" s="7"/>
      <c r="W283" s="7"/>
      <c r="X283" s="7"/>
      <c r="Y283" s="7"/>
    </row>
    <row r="284" ht="15.75" customHeight="1">
      <c r="T284" s="7"/>
      <c r="U284" s="7"/>
      <c r="V284" s="7"/>
      <c r="W284" s="7"/>
      <c r="X284" s="7"/>
      <c r="Y284" s="7"/>
    </row>
    <row r="285" ht="15.75" customHeight="1">
      <c r="T285" s="7"/>
      <c r="U285" s="7"/>
      <c r="V285" s="7"/>
      <c r="W285" s="7"/>
      <c r="X285" s="7"/>
      <c r="Y285" s="7"/>
    </row>
    <row r="286" ht="15.75" customHeight="1">
      <c r="T286" s="7"/>
      <c r="U286" s="7"/>
      <c r="V286" s="7"/>
      <c r="W286" s="7"/>
      <c r="X286" s="7"/>
      <c r="Y286" s="7"/>
    </row>
    <row r="287" ht="15.75" customHeight="1">
      <c r="T287" s="7"/>
      <c r="U287" s="7"/>
      <c r="V287" s="7"/>
      <c r="W287" s="7"/>
      <c r="X287" s="7"/>
      <c r="Y287" s="7"/>
    </row>
    <row r="288" ht="15.75" customHeight="1">
      <c r="T288" s="7"/>
      <c r="U288" s="7"/>
      <c r="V288" s="7"/>
      <c r="W288" s="7"/>
      <c r="X288" s="7"/>
      <c r="Y288" s="7"/>
    </row>
    <row r="289" ht="15.75" customHeight="1">
      <c r="T289" s="7"/>
      <c r="U289" s="7"/>
      <c r="V289" s="7"/>
      <c r="W289" s="7"/>
      <c r="X289" s="7"/>
      <c r="Y289" s="7"/>
    </row>
    <row r="290" ht="15.75" customHeight="1">
      <c r="T290" s="7"/>
      <c r="U290" s="7"/>
      <c r="V290" s="7"/>
      <c r="W290" s="7"/>
      <c r="X290" s="7"/>
      <c r="Y290" s="7"/>
    </row>
    <row r="291" ht="15.75" customHeight="1">
      <c r="T291" s="7"/>
      <c r="U291" s="7"/>
      <c r="V291" s="7"/>
      <c r="W291" s="7"/>
      <c r="X291" s="7"/>
      <c r="Y291" s="7"/>
    </row>
    <row r="292" ht="15.75" customHeight="1">
      <c r="T292" s="7"/>
      <c r="U292" s="7"/>
      <c r="V292" s="7"/>
      <c r="W292" s="7"/>
      <c r="X292" s="7"/>
      <c r="Y292" s="7"/>
    </row>
    <row r="293" ht="15.75" customHeight="1">
      <c r="T293" s="7"/>
      <c r="U293" s="7"/>
      <c r="V293" s="7"/>
      <c r="W293" s="7"/>
      <c r="X293" s="7"/>
      <c r="Y293" s="7"/>
    </row>
    <row r="294" ht="15.75" customHeight="1">
      <c r="T294" s="7"/>
      <c r="U294" s="7"/>
      <c r="V294" s="7"/>
      <c r="W294" s="7"/>
      <c r="X294" s="7"/>
      <c r="Y294" s="7"/>
    </row>
    <row r="295" ht="15.75" customHeight="1">
      <c r="T295" s="7"/>
      <c r="U295" s="7"/>
      <c r="V295" s="7"/>
      <c r="W295" s="7"/>
      <c r="X295" s="7"/>
      <c r="Y295" s="7"/>
    </row>
    <row r="296" ht="15.75" customHeight="1">
      <c r="T296" s="7"/>
      <c r="U296" s="7"/>
      <c r="V296" s="7"/>
      <c r="W296" s="7"/>
      <c r="X296" s="7"/>
      <c r="Y296" s="7"/>
    </row>
    <row r="297" ht="15.75" customHeight="1">
      <c r="T297" s="7"/>
      <c r="U297" s="7"/>
      <c r="V297" s="7"/>
      <c r="W297" s="7"/>
      <c r="X297" s="7"/>
      <c r="Y297" s="7"/>
    </row>
    <row r="298" ht="15.75" customHeight="1">
      <c r="T298" s="7"/>
      <c r="U298" s="7"/>
      <c r="V298" s="7"/>
      <c r="W298" s="7"/>
      <c r="X298" s="7"/>
      <c r="Y298" s="7"/>
    </row>
    <row r="299" ht="15.75" customHeight="1">
      <c r="T299" s="7"/>
      <c r="U299" s="7"/>
      <c r="V299" s="7"/>
      <c r="W299" s="7"/>
      <c r="X299" s="7"/>
      <c r="Y299" s="7"/>
    </row>
    <row r="300" ht="15.75" customHeight="1">
      <c r="T300" s="7"/>
      <c r="U300" s="7"/>
      <c r="V300" s="7"/>
      <c r="W300" s="7"/>
      <c r="X300" s="7"/>
      <c r="Y300" s="7"/>
    </row>
    <row r="301" ht="15.75" customHeight="1">
      <c r="T301" s="7"/>
      <c r="U301" s="7"/>
      <c r="V301" s="7"/>
      <c r="W301" s="7"/>
      <c r="X301" s="7"/>
      <c r="Y301" s="7"/>
    </row>
    <row r="302" ht="15.75" customHeight="1">
      <c r="T302" s="7"/>
      <c r="U302" s="7"/>
      <c r="V302" s="7"/>
      <c r="W302" s="7"/>
      <c r="X302" s="7"/>
      <c r="Y302" s="7"/>
    </row>
    <row r="303" ht="15.75" customHeight="1">
      <c r="T303" s="7"/>
      <c r="U303" s="7"/>
      <c r="V303" s="7"/>
      <c r="W303" s="7"/>
      <c r="X303" s="7"/>
      <c r="Y303" s="7"/>
    </row>
    <row r="304" ht="15.75" customHeight="1">
      <c r="T304" s="7"/>
      <c r="U304" s="7"/>
      <c r="V304" s="7"/>
      <c r="W304" s="7"/>
      <c r="X304" s="7"/>
      <c r="Y304" s="7"/>
    </row>
    <row r="305" ht="15.75" customHeight="1">
      <c r="T305" s="7"/>
      <c r="U305" s="7"/>
      <c r="V305" s="7"/>
      <c r="W305" s="7"/>
      <c r="X305" s="7"/>
      <c r="Y305" s="7"/>
    </row>
    <row r="306" ht="15.75" customHeight="1">
      <c r="T306" s="7"/>
      <c r="U306" s="7"/>
      <c r="V306" s="7"/>
      <c r="W306" s="7"/>
      <c r="X306" s="7"/>
      <c r="Y306" s="7"/>
    </row>
    <row r="307" ht="15.75" customHeight="1">
      <c r="T307" s="7"/>
      <c r="U307" s="7"/>
      <c r="V307" s="7"/>
      <c r="W307" s="7"/>
      <c r="X307" s="7"/>
      <c r="Y307" s="7"/>
    </row>
    <row r="308" ht="15.75" customHeight="1">
      <c r="T308" s="7"/>
      <c r="U308" s="7"/>
      <c r="V308" s="7"/>
      <c r="W308" s="7"/>
      <c r="X308" s="7"/>
      <c r="Y308" s="7"/>
    </row>
    <row r="309" ht="15.75" customHeight="1">
      <c r="T309" s="7"/>
      <c r="U309" s="7"/>
      <c r="V309" s="7"/>
      <c r="W309" s="7"/>
      <c r="X309" s="7"/>
      <c r="Y309" s="7"/>
    </row>
    <row r="310" ht="15.75" customHeight="1">
      <c r="T310" s="7"/>
      <c r="U310" s="7"/>
      <c r="V310" s="7"/>
      <c r="W310" s="7"/>
      <c r="X310" s="7"/>
      <c r="Y310" s="7"/>
    </row>
    <row r="311" ht="15.75" customHeight="1">
      <c r="T311" s="7"/>
      <c r="U311" s="7"/>
      <c r="V311" s="7"/>
      <c r="W311" s="7"/>
      <c r="X311" s="7"/>
      <c r="Y311" s="7"/>
    </row>
    <row r="312" ht="15.75" customHeight="1">
      <c r="T312" s="7"/>
      <c r="U312" s="7"/>
      <c r="V312" s="7"/>
      <c r="W312" s="7"/>
      <c r="X312" s="7"/>
      <c r="Y312" s="7"/>
    </row>
    <row r="313" ht="15.75" customHeight="1">
      <c r="T313" s="7"/>
      <c r="U313" s="7"/>
      <c r="V313" s="7"/>
      <c r="W313" s="7"/>
      <c r="X313" s="7"/>
      <c r="Y313" s="7"/>
    </row>
    <row r="314" ht="15.75" customHeight="1">
      <c r="T314" s="7"/>
      <c r="U314" s="7"/>
      <c r="V314" s="7"/>
      <c r="W314" s="7"/>
      <c r="X314" s="7"/>
      <c r="Y314" s="7"/>
    </row>
    <row r="315" ht="15.75" customHeight="1">
      <c r="T315" s="7"/>
      <c r="U315" s="7"/>
      <c r="V315" s="7"/>
      <c r="W315" s="7"/>
      <c r="X315" s="7"/>
      <c r="Y315" s="7"/>
    </row>
    <row r="316" ht="15.75" customHeight="1">
      <c r="T316" s="7"/>
      <c r="U316" s="7"/>
      <c r="V316" s="7"/>
      <c r="W316" s="7"/>
      <c r="X316" s="7"/>
      <c r="Y316" s="7"/>
    </row>
    <row r="317" ht="15.75" customHeight="1">
      <c r="T317" s="7"/>
      <c r="U317" s="7"/>
      <c r="V317" s="7"/>
      <c r="W317" s="7"/>
      <c r="X317" s="7"/>
      <c r="Y317" s="7"/>
    </row>
    <row r="318" ht="15.75" customHeight="1">
      <c r="T318" s="7"/>
      <c r="U318" s="7"/>
      <c r="V318" s="7"/>
      <c r="W318" s="7"/>
      <c r="X318" s="7"/>
      <c r="Y318" s="7"/>
    </row>
    <row r="319" ht="15.75" customHeight="1">
      <c r="T319" s="7"/>
      <c r="U319" s="7"/>
      <c r="V319" s="7"/>
      <c r="W319" s="7"/>
      <c r="X319" s="7"/>
      <c r="Y319" s="7"/>
    </row>
    <row r="320" ht="15.75" customHeight="1">
      <c r="T320" s="7"/>
      <c r="U320" s="7"/>
      <c r="V320" s="7"/>
      <c r="W320" s="7"/>
      <c r="X320" s="7"/>
      <c r="Y320" s="7"/>
    </row>
    <row r="321" ht="15.75" customHeight="1">
      <c r="T321" s="7"/>
      <c r="U321" s="7"/>
      <c r="V321" s="7"/>
      <c r="W321" s="7"/>
      <c r="X321" s="7"/>
      <c r="Y321" s="7"/>
    </row>
    <row r="322" ht="15.75" customHeight="1">
      <c r="T322" s="7"/>
      <c r="U322" s="7"/>
      <c r="V322" s="7"/>
      <c r="W322" s="7"/>
      <c r="X322" s="7"/>
      <c r="Y322" s="7"/>
    </row>
    <row r="323" ht="15.75" customHeight="1">
      <c r="T323" s="7"/>
      <c r="U323" s="7"/>
      <c r="V323" s="7"/>
      <c r="W323" s="7"/>
      <c r="X323" s="7"/>
      <c r="Y323" s="7"/>
    </row>
    <row r="324" ht="15.75" customHeight="1">
      <c r="T324" s="7"/>
      <c r="U324" s="7"/>
      <c r="V324" s="7"/>
      <c r="W324" s="7"/>
      <c r="X324" s="7"/>
      <c r="Y324" s="7"/>
    </row>
    <row r="325" ht="15.75" customHeight="1">
      <c r="T325" s="7"/>
      <c r="U325" s="7"/>
      <c r="V325" s="7"/>
      <c r="W325" s="7"/>
      <c r="X325" s="7"/>
      <c r="Y325" s="7"/>
    </row>
    <row r="326" ht="15.75" customHeight="1">
      <c r="T326" s="7"/>
      <c r="U326" s="7"/>
      <c r="V326" s="7"/>
      <c r="W326" s="7"/>
      <c r="X326" s="7"/>
      <c r="Y326" s="7"/>
    </row>
    <row r="327" ht="15.75" customHeight="1">
      <c r="T327" s="7"/>
      <c r="U327" s="7"/>
      <c r="V327" s="7"/>
      <c r="W327" s="7"/>
      <c r="X327" s="7"/>
      <c r="Y327" s="7"/>
    </row>
    <row r="328" ht="15.75" customHeight="1">
      <c r="T328" s="7"/>
      <c r="U328" s="7"/>
      <c r="V328" s="7"/>
      <c r="W328" s="7"/>
      <c r="X328" s="7"/>
      <c r="Y328" s="7"/>
    </row>
    <row r="329" ht="15.75" customHeight="1">
      <c r="T329" s="7"/>
      <c r="U329" s="7"/>
      <c r="V329" s="7"/>
      <c r="W329" s="7"/>
      <c r="X329" s="7"/>
      <c r="Y329" s="7"/>
    </row>
    <row r="330" ht="15.75" customHeight="1">
      <c r="T330" s="7"/>
      <c r="U330" s="7"/>
      <c r="V330" s="7"/>
      <c r="W330" s="7"/>
      <c r="X330" s="7"/>
      <c r="Y330" s="7"/>
    </row>
    <row r="331" ht="15.75" customHeight="1">
      <c r="T331" s="7"/>
      <c r="U331" s="7"/>
      <c r="V331" s="7"/>
      <c r="W331" s="7"/>
      <c r="X331" s="7"/>
      <c r="Y331" s="7"/>
    </row>
    <row r="332" ht="15.75" customHeight="1">
      <c r="T332" s="7"/>
      <c r="U332" s="7"/>
      <c r="V332" s="7"/>
      <c r="W332" s="7"/>
      <c r="X332" s="7"/>
      <c r="Y332" s="7"/>
    </row>
    <row r="333" ht="15.75" customHeight="1">
      <c r="T333" s="7"/>
      <c r="U333" s="7"/>
      <c r="V333" s="7"/>
      <c r="W333" s="7"/>
      <c r="X333" s="7"/>
      <c r="Y333" s="7"/>
    </row>
    <row r="334" ht="15.75" customHeight="1">
      <c r="T334" s="7"/>
      <c r="U334" s="7"/>
      <c r="V334" s="7"/>
      <c r="W334" s="7"/>
      <c r="X334" s="7"/>
      <c r="Y334" s="7"/>
    </row>
    <row r="335" ht="15.75" customHeight="1">
      <c r="T335" s="7"/>
      <c r="U335" s="7"/>
      <c r="V335" s="7"/>
      <c r="W335" s="7"/>
      <c r="X335" s="7"/>
      <c r="Y335" s="7"/>
    </row>
    <row r="336" ht="15.75" customHeight="1">
      <c r="T336" s="7"/>
      <c r="U336" s="7"/>
      <c r="V336" s="7"/>
      <c r="W336" s="7"/>
      <c r="X336" s="7"/>
      <c r="Y336" s="7"/>
    </row>
    <row r="337" ht="15.75" customHeight="1">
      <c r="T337" s="7"/>
      <c r="U337" s="7"/>
      <c r="V337" s="7"/>
      <c r="W337" s="7"/>
      <c r="X337" s="7"/>
      <c r="Y337" s="7"/>
    </row>
    <row r="338" ht="15.75" customHeight="1">
      <c r="T338" s="7"/>
      <c r="U338" s="7"/>
      <c r="V338" s="7"/>
      <c r="W338" s="7"/>
      <c r="X338" s="7"/>
      <c r="Y338" s="7"/>
    </row>
    <row r="339" ht="15.75" customHeight="1">
      <c r="T339" s="7"/>
      <c r="U339" s="7"/>
      <c r="V339" s="7"/>
      <c r="W339" s="7"/>
      <c r="X339" s="7"/>
      <c r="Y339" s="7"/>
    </row>
    <row r="340" ht="15.75" customHeight="1">
      <c r="T340" s="7"/>
      <c r="U340" s="7"/>
      <c r="V340" s="7"/>
      <c r="W340" s="7"/>
      <c r="X340" s="7"/>
      <c r="Y340" s="7"/>
    </row>
    <row r="341" ht="15.75" customHeight="1">
      <c r="T341" s="7"/>
      <c r="U341" s="7"/>
      <c r="V341" s="7"/>
      <c r="W341" s="7"/>
      <c r="X341" s="7"/>
      <c r="Y341" s="7"/>
    </row>
    <row r="342" ht="15.75" customHeight="1">
      <c r="T342" s="7"/>
      <c r="U342" s="7"/>
      <c r="V342" s="7"/>
      <c r="W342" s="7"/>
      <c r="X342" s="7"/>
      <c r="Y342" s="7"/>
    </row>
    <row r="343" ht="15.75" customHeight="1">
      <c r="T343" s="7"/>
      <c r="U343" s="7"/>
      <c r="V343" s="7"/>
      <c r="W343" s="7"/>
      <c r="X343" s="7"/>
      <c r="Y343" s="7"/>
    </row>
    <row r="344" ht="15.75" customHeight="1">
      <c r="T344" s="7"/>
      <c r="U344" s="7"/>
      <c r="V344" s="7"/>
      <c r="W344" s="7"/>
      <c r="X344" s="7"/>
      <c r="Y344" s="7"/>
    </row>
    <row r="345" ht="15.75" customHeight="1">
      <c r="T345" s="7"/>
      <c r="U345" s="7"/>
      <c r="V345" s="7"/>
      <c r="W345" s="7"/>
      <c r="X345" s="7"/>
      <c r="Y345" s="7"/>
    </row>
    <row r="346" ht="15.75" customHeight="1">
      <c r="T346" s="7"/>
      <c r="U346" s="7"/>
      <c r="V346" s="7"/>
      <c r="W346" s="7"/>
      <c r="X346" s="7"/>
      <c r="Y346" s="7"/>
    </row>
    <row r="347" ht="15.75" customHeight="1">
      <c r="T347" s="7"/>
      <c r="U347" s="7"/>
      <c r="V347" s="7"/>
      <c r="W347" s="7"/>
      <c r="X347" s="7"/>
      <c r="Y347" s="7"/>
    </row>
    <row r="348" ht="15.75" customHeight="1">
      <c r="T348" s="7"/>
      <c r="U348" s="7"/>
      <c r="V348" s="7"/>
      <c r="W348" s="7"/>
      <c r="X348" s="7"/>
      <c r="Y348" s="7"/>
    </row>
    <row r="349" ht="15.75" customHeight="1">
      <c r="T349" s="7"/>
      <c r="U349" s="7"/>
      <c r="V349" s="7"/>
      <c r="W349" s="7"/>
      <c r="X349" s="7"/>
      <c r="Y349" s="7"/>
    </row>
    <row r="350" ht="15.75" customHeight="1">
      <c r="T350" s="7"/>
      <c r="U350" s="7"/>
      <c r="V350" s="7"/>
      <c r="W350" s="7"/>
      <c r="X350" s="7"/>
      <c r="Y350" s="7"/>
    </row>
    <row r="351" ht="15.75" customHeight="1">
      <c r="T351" s="7"/>
      <c r="U351" s="7"/>
      <c r="V351" s="7"/>
      <c r="W351" s="7"/>
      <c r="X351" s="7"/>
      <c r="Y351" s="7"/>
    </row>
    <row r="352" ht="15.75" customHeight="1">
      <c r="T352" s="7"/>
      <c r="U352" s="7"/>
      <c r="V352" s="7"/>
      <c r="W352" s="7"/>
      <c r="X352" s="7"/>
      <c r="Y352" s="7"/>
    </row>
    <row r="353" ht="15.75" customHeight="1">
      <c r="T353" s="7"/>
      <c r="U353" s="7"/>
      <c r="V353" s="7"/>
      <c r="W353" s="7"/>
      <c r="X353" s="7"/>
      <c r="Y353" s="7"/>
    </row>
    <row r="354" ht="15.75" customHeight="1">
      <c r="T354" s="7"/>
      <c r="U354" s="7"/>
      <c r="V354" s="7"/>
      <c r="W354" s="7"/>
      <c r="X354" s="7"/>
      <c r="Y354" s="7"/>
    </row>
    <row r="355" ht="15.75" customHeight="1">
      <c r="T355" s="7"/>
      <c r="U355" s="7"/>
      <c r="V355" s="7"/>
      <c r="W355" s="7"/>
      <c r="X355" s="7"/>
      <c r="Y355" s="7"/>
    </row>
    <row r="356" ht="15.75" customHeight="1">
      <c r="T356" s="7"/>
      <c r="U356" s="7"/>
      <c r="V356" s="7"/>
      <c r="W356" s="7"/>
      <c r="X356" s="7"/>
      <c r="Y356" s="7"/>
    </row>
    <row r="357" ht="15.75" customHeight="1">
      <c r="T357" s="7"/>
      <c r="U357" s="7"/>
      <c r="V357" s="7"/>
      <c r="W357" s="7"/>
      <c r="X357" s="7"/>
      <c r="Y357" s="7"/>
    </row>
    <row r="358" ht="15.75" customHeight="1">
      <c r="T358" s="7"/>
      <c r="U358" s="7"/>
      <c r="V358" s="7"/>
      <c r="W358" s="7"/>
      <c r="X358" s="7"/>
      <c r="Y358" s="7"/>
    </row>
    <row r="359" ht="15.75" customHeight="1">
      <c r="T359" s="7"/>
      <c r="U359" s="7"/>
      <c r="V359" s="7"/>
      <c r="W359" s="7"/>
      <c r="X359" s="7"/>
      <c r="Y359" s="7"/>
    </row>
    <row r="360" ht="15.75" customHeight="1">
      <c r="T360" s="7"/>
      <c r="U360" s="7"/>
      <c r="V360" s="7"/>
      <c r="W360" s="7"/>
      <c r="X360" s="7"/>
      <c r="Y360" s="7"/>
    </row>
    <row r="361" ht="15.75" customHeight="1">
      <c r="T361" s="7"/>
      <c r="U361" s="7"/>
      <c r="V361" s="7"/>
      <c r="W361" s="7"/>
      <c r="X361" s="7"/>
      <c r="Y361" s="7"/>
    </row>
    <row r="362" ht="15.75" customHeight="1">
      <c r="T362" s="7"/>
      <c r="U362" s="7"/>
      <c r="V362" s="7"/>
      <c r="W362" s="7"/>
      <c r="X362" s="7"/>
      <c r="Y362" s="7"/>
    </row>
    <row r="363" ht="15.75" customHeight="1">
      <c r="T363" s="7"/>
      <c r="U363" s="7"/>
      <c r="V363" s="7"/>
      <c r="W363" s="7"/>
      <c r="X363" s="7"/>
      <c r="Y363" s="7"/>
    </row>
    <row r="364" ht="15.75" customHeight="1">
      <c r="T364" s="7"/>
      <c r="U364" s="7"/>
      <c r="V364" s="7"/>
      <c r="W364" s="7"/>
      <c r="X364" s="7"/>
      <c r="Y364" s="7"/>
    </row>
    <row r="365" ht="15.75" customHeight="1">
      <c r="T365" s="7"/>
      <c r="U365" s="7"/>
      <c r="V365" s="7"/>
      <c r="W365" s="7"/>
      <c r="X365" s="7"/>
      <c r="Y365" s="7"/>
    </row>
    <row r="366" ht="15.75" customHeight="1">
      <c r="T366" s="7"/>
      <c r="U366" s="7"/>
      <c r="V366" s="7"/>
      <c r="W366" s="7"/>
      <c r="X366" s="7"/>
      <c r="Y366" s="7"/>
    </row>
    <row r="367" ht="15.75" customHeight="1">
      <c r="T367" s="7"/>
      <c r="U367" s="7"/>
      <c r="V367" s="7"/>
      <c r="W367" s="7"/>
      <c r="X367" s="7"/>
      <c r="Y367" s="7"/>
    </row>
    <row r="368" ht="15.75" customHeight="1">
      <c r="T368" s="7"/>
      <c r="U368" s="7"/>
      <c r="V368" s="7"/>
      <c r="W368" s="7"/>
      <c r="X368" s="7"/>
      <c r="Y368" s="7"/>
    </row>
    <row r="369" ht="15.75" customHeight="1">
      <c r="T369" s="7"/>
      <c r="U369" s="7"/>
      <c r="V369" s="7"/>
      <c r="W369" s="7"/>
      <c r="X369" s="7"/>
      <c r="Y369" s="7"/>
    </row>
    <row r="370" ht="15.75" customHeight="1">
      <c r="T370" s="7"/>
      <c r="U370" s="7"/>
      <c r="V370" s="7"/>
      <c r="W370" s="7"/>
      <c r="X370" s="7"/>
      <c r="Y370" s="7"/>
    </row>
    <row r="371" ht="15.75" customHeight="1">
      <c r="T371" s="7"/>
      <c r="U371" s="7"/>
      <c r="V371" s="7"/>
      <c r="W371" s="7"/>
      <c r="X371" s="7"/>
      <c r="Y371" s="7"/>
    </row>
    <row r="372" ht="15.75" customHeight="1">
      <c r="T372" s="7"/>
      <c r="U372" s="7"/>
      <c r="V372" s="7"/>
      <c r="W372" s="7"/>
      <c r="X372" s="7"/>
      <c r="Y372" s="7"/>
    </row>
    <row r="373" ht="15.75" customHeight="1">
      <c r="T373" s="7"/>
      <c r="U373" s="7"/>
      <c r="V373" s="7"/>
      <c r="W373" s="7"/>
      <c r="X373" s="7"/>
      <c r="Y373" s="7"/>
    </row>
    <row r="374" ht="15.75" customHeight="1">
      <c r="T374" s="7"/>
      <c r="U374" s="7"/>
      <c r="V374" s="7"/>
      <c r="W374" s="7"/>
      <c r="X374" s="7"/>
      <c r="Y374" s="7"/>
    </row>
    <row r="375" ht="15.75" customHeight="1">
      <c r="T375" s="7"/>
      <c r="U375" s="7"/>
      <c r="V375" s="7"/>
      <c r="W375" s="7"/>
      <c r="X375" s="7"/>
      <c r="Y375" s="7"/>
    </row>
    <row r="376" ht="15.75" customHeight="1">
      <c r="T376" s="7"/>
      <c r="U376" s="7"/>
      <c r="V376" s="7"/>
      <c r="W376" s="7"/>
      <c r="X376" s="7"/>
      <c r="Y376" s="7"/>
    </row>
    <row r="377" ht="15.75" customHeight="1">
      <c r="T377" s="7"/>
      <c r="U377" s="7"/>
      <c r="V377" s="7"/>
      <c r="W377" s="7"/>
      <c r="X377" s="7"/>
      <c r="Y377" s="7"/>
    </row>
    <row r="378" ht="15.75" customHeight="1">
      <c r="T378" s="7"/>
      <c r="U378" s="7"/>
      <c r="V378" s="7"/>
      <c r="W378" s="7"/>
      <c r="X378" s="7"/>
      <c r="Y378" s="7"/>
    </row>
    <row r="379" ht="15.75" customHeight="1">
      <c r="T379" s="7"/>
      <c r="U379" s="7"/>
      <c r="V379" s="7"/>
      <c r="W379" s="7"/>
      <c r="X379" s="7"/>
      <c r="Y379" s="7"/>
    </row>
    <row r="380" ht="15.75" customHeight="1">
      <c r="T380" s="7"/>
      <c r="U380" s="7"/>
      <c r="V380" s="7"/>
      <c r="W380" s="7"/>
      <c r="X380" s="7"/>
      <c r="Y380" s="7"/>
    </row>
    <row r="381" ht="15.75" customHeight="1">
      <c r="T381" s="7"/>
      <c r="U381" s="7"/>
      <c r="V381" s="7"/>
      <c r="W381" s="7"/>
      <c r="X381" s="7"/>
      <c r="Y381" s="7"/>
    </row>
    <row r="382" ht="15.75" customHeight="1">
      <c r="T382" s="7"/>
      <c r="U382" s="7"/>
      <c r="V382" s="7"/>
      <c r="W382" s="7"/>
      <c r="X382" s="7"/>
      <c r="Y382" s="7"/>
    </row>
    <row r="383" ht="15.75" customHeight="1">
      <c r="T383" s="7"/>
      <c r="U383" s="7"/>
      <c r="V383" s="7"/>
      <c r="W383" s="7"/>
      <c r="X383" s="7"/>
      <c r="Y383" s="7"/>
    </row>
    <row r="384" ht="15.75" customHeight="1">
      <c r="T384" s="7"/>
      <c r="U384" s="7"/>
      <c r="V384" s="7"/>
      <c r="W384" s="7"/>
      <c r="X384" s="7"/>
      <c r="Y384" s="7"/>
    </row>
    <row r="385" ht="15.75" customHeight="1">
      <c r="T385" s="7"/>
      <c r="U385" s="7"/>
      <c r="V385" s="7"/>
      <c r="W385" s="7"/>
      <c r="X385" s="7"/>
      <c r="Y385" s="7"/>
    </row>
    <row r="386" ht="15.75" customHeight="1">
      <c r="T386" s="7"/>
      <c r="U386" s="7"/>
      <c r="V386" s="7"/>
      <c r="W386" s="7"/>
      <c r="X386" s="7"/>
      <c r="Y386" s="7"/>
    </row>
    <row r="387" ht="15.75" customHeight="1">
      <c r="T387" s="7"/>
      <c r="U387" s="7"/>
      <c r="V387" s="7"/>
      <c r="W387" s="7"/>
      <c r="X387" s="7"/>
      <c r="Y387" s="7"/>
    </row>
    <row r="388" ht="15.75" customHeight="1">
      <c r="T388" s="7"/>
      <c r="U388" s="7"/>
      <c r="V388" s="7"/>
      <c r="W388" s="7"/>
      <c r="X388" s="7"/>
      <c r="Y388" s="7"/>
    </row>
    <row r="389" ht="15.75" customHeight="1">
      <c r="T389" s="7"/>
      <c r="U389" s="7"/>
      <c r="V389" s="7"/>
      <c r="W389" s="7"/>
      <c r="X389" s="7"/>
      <c r="Y389" s="7"/>
    </row>
    <row r="390" ht="15.75" customHeight="1">
      <c r="T390" s="7"/>
      <c r="U390" s="7"/>
      <c r="V390" s="7"/>
      <c r="W390" s="7"/>
      <c r="X390" s="7"/>
      <c r="Y390" s="7"/>
    </row>
    <row r="391" ht="15.75" customHeight="1">
      <c r="T391" s="7"/>
      <c r="U391" s="7"/>
      <c r="V391" s="7"/>
      <c r="W391" s="7"/>
      <c r="X391" s="7"/>
      <c r="Y391" s="7"/>
    </row>
    <row r="392" ht="15.75" customHeight="1">
      <c r="T392" s="7"/>
      <c r="U392" s="7"/>
      <c r="V392" s="7"/>
      <c r="W392" s="7"/>
      <c r="X392" s="7"/>
      <c r="Y392" s="7"/>
    </row>
    <row r="393" ht="15.75" customHeight="1">
      <c r="T393" s="7"/>
      <c r="U393" s="7"/>
      <c r="V393" s="7"/>
      <c r="W393" s="7"/>
      <c r="X393" s="7"/>
      <c r="Y393" s="7"/>
    </row>
    <row r="394" ht="15.75" customHeight="1">
      <c r="T394" s="7"/>
      <c r="U394" s="7"/>
      <c r="V394" s="7"/>
      <c r="W394" s="7"/>
      <c r="X394" s="7"/>
      <c r="Y394" s="7"/>
    </row>
    <row r="395" ht="15.75" customHeight="1">
      <c r="T395" s="7"/>
      <c r="U395" s="7"/>
      <c r="V395" s="7"/>
      <c r="W395" s="7"/>
      <c r="X395" s="7"/>
      <c r="Y395" s="7"/>
    </row>
    <row r="396" ht="15.75" customHeight="1">
      <c r="T396" s="7"/>
      <c r="U396" s="7"/>
      <c r="V396" s="7"/>
      <c r="W396" s="7"/>
      <c r="X396" s="7"/>
      <c r="Y396" s="7"/>
    </row>
    <row r="397" ht="15.75" customHeight="1">
      <c r="T397" s="7"/>
      <c r="U397" s="7"/>
      <c r="V397" s="7"/>
      <c r="W397" s="7"/>
      <c r="X397" s="7"/>
      <c r="Y397" s="7"/>
    </row>
    <row r="398" ht="15.75" customHeight="1">
      <c r="T398" s="7"/>
      <c r="U398" s="7"/>
      <c r="V398" s="7"/>
      <c r="W398" s="7"/>
      <c r="X398" s="7"/>
      <c r="Y398" s="7"/>
    </row>
    <row r="399" ht="15.75" customHeight="1">
      <c r="T399" s="7"/>
      <c r="U399" s="7"/>
      <c r="V399" s="7"/>
      <c r="W399" s="7"/>
      <c r="X399" s="7"/>
      <c r="Y399" s="7"/>
    </row>
    <row r="400" ht="15.75" customHeight="1">
      <c r="T400" s="7"/>
      <c r="U400" s="7"/>
      <c r="V400" s="7"/>
      <c r="W400" s="7"/>
      <c r="X400" s="7"/>
      <c r="Y400" s="7"/>
    </row>
    <row r="401" ht="15.75" customHeight="1">
      <c r="T401" s="7"/>
      <c r="U401" s="7"/>
      <c r="V401" s="7"/>
      <c r="W401" s="7"/>
      <c r="X401" s="7"/>
      <c r="Y401" s="7"/>
    </row>
    <row r="402" ht="15.75" customHeight="1">
      <c r="T402" s="7"/>
      <c r="U402" s="7"/>
      <c r="V402" s="7"/>
      <c r="W402" s="7"/>
      <c r="X402" s="7"/>
      <c r="Y402" s="7"/>
    </row>
    <row r="403" ht="15.75" customHeight="1">
      <c r="T403" s="7"/>
      <c r="U403" s="7"/>
      <c r="V403" s="7"/>
      <c r="W403" s="7"/>
      <c r="X403" s="7"/>
      <c r="Y403" s="7"/>
    </row>
    <row r="404" ht="15.75" customHeight="1">
      <c r="T404" s="7"/>
      <c r="U404" s="7"/>
      <c r="V404" s="7"/>
      <c r="W404" s="7"/>
      <c r="X404" s="7"/>
      <c r="Y404" s="7"/>
    </row>
    <row r="405" ht="15.75" customHeight="1">
      <c r="T405" s="7"/>
      <c r="U405" s="7"/>
      <c r="V405" s="7"/>
      <c r="W405" s="7"/>
      <c r="X405" s="7"/>
      <c r="Y405" s="7"/>
    </row>
    <row r="406" ht="15.75" customHeight="1">
      <c r="T406" s="7"/>
      <c r="U406" s="7"/>
      <c r="V406" s="7"/>
      <c r="W406" s="7"/>
      <c r="X406" s="7"/>
      <c r="Y406" s="7"/>
    </row>
    <row r="407" ht="15.75" customHeight="1">
      <c r="T407" s="7"/>
      <c r="U407" s="7"/>
      <c r="V407" s="7"/>
      <c r="W407" s="7"/>
      <c r="X407" s="7"/>
      <c r="Y407" s="7"/>
    </row>
    <row r="408" ht="15.75" customHeight="1">
      <c r="T408" s="7"/>
      <c r="U408" s="7"/>
      <c r="V408" s="7"/>
      <c r="W408" s="7"/>
      <c r="X408" s="7"/>
      <c r="Y408" s="7"/>
    </row>
    <row r="409" ht="15.75" customHeight="1">
      <c r="T409" s="7"/>
      <c r="U409" s="7"/>
      <c r="V409" s="7"/>
      <c r="W409" s="7"/>
      <c r="X409" s="7"/>
      <c r="Y409" s="7"/>
    </row>
    <row r="410" ht="15.75" customHeight="1">
      <c r="T410" s="7"/>
      <c r="U410" s="7"/>
      <c r="V410" s="7"/>
      <c r="W410" s="7"/>
      <c r="X410" s="7"/>
      <c r="Y410" s="7"/>
    </row>
    <row r="411" ht="15.75" customHeight="1">
      <c r="T411" s="7"/>
      <c r="U411" s="7"/>
      <c r="V411" s="7"/>
      <c r="W411" s="7"/>
      <c r="X411" s="7"/>
      <c r="Y411" s="7"/>
    </row>
    <row r="412" ht="15.75" customHeight="1">
      <c r="T412" s="7"/>
      <c r="U412" s="7"/>
      <c r="V412" s="7"/>
      <c r="W412" s="7"/>
      <c r="X412" s="7"/>
      <c r="Y412" s="7"/>
    </row>
    <row r="413" ht="15.75" customHeight="1">
      <c r="T413" s="7"/>
      <c r="U413" s="7"/>
      <c r="V413" s="7"/>
      <c r="W413" s="7"/>
      <c r="X413" s="7"/>
      <c r="Y413" s="7"/>
    </row>
    <row r="414" ht="15.75" customHeight="1">
      <c r="T414" s="7"/>
      <c r="U414" s="7"/>
      <c r="V414" s="7"/>
      <c r="W414" s="7"/>
      <c r="X414" s="7"/>
      <c r="Y414" s="7"/>
    </row>
    <row r="415" ht="15.75" customHeight="1">
      <c r="T415" s="7"/>
      <c r="U415" s="7"/>
      <c r="V415" s="7"/>
      <c r="W415" s="7"/>
      <c r="X415" s="7"/>
      <c r="Y415" s="7"/>
    </row>
    <row r="416" ht="15.75" customHeight="1">
      <c r="T416" s="7"/>
      <c r="U416" s="7"/>
      <c r="V416" s="7"/>
      <c r="W416" s="7"/>
      <c r="X416" s="7"/>
      <c r="Y416" s="7"/>
    </row>
    <row r="417" ht="15.75" customHeight="1">
      <c r="T417" s="7"/>
      <c r="U417" s="7"/>
      <c r="V417" s="7"/>
      <c r="W417" s="7"/>
      <c r="X417" s="7"/>
      <c r="Y417" s="7"/>
    </row>
    <row r="418" ht="15.75" customHeight="1">
      <c r="T418" s="7"/>
      <c r="U418" s="7"/>
      <c r="V418" s="7"/>
      <c r="W418" s="7"/>
      <c r="X418" s="7"/>
      <c r="Y418" s="7"/>
    </row>
    <row r="419" ht="15.75" customHeight="1">
      <c r="T419" s="7"/>
      <c r="U419" s="7"/>
      <c r="V419" s="7"/>
      <c r="W419" s="7"/>
      <c r="X419" s="7"/>
      <c r="Y419" s="7"/>
    </row>
    <row r="420" ht="15.75" customHeight="1">
      <c r="T420" s="7"/>
      <c r="U420" s="7"/>
      <c r="V420" s="7"/>
      <c r="W420" s="7"/>
      <c r="X420" s="7"/>
      <c r="Y420" s="7"/>
    </row>
    <row r="421" ht="15.75" customHeight="1">
      <c r="T421" s="7"/>
      <c r="U421" s="7"/>
      <c r="V421" s="7"/>
      <c r="W421" s="7"/>
      <c r="X421" s="7"/>
      <c r="Y421" s="7"/>
    </row>
    <row r="422" ht="15.75" customHeight="1">
      <c r="T422" s="7"/>
      <c r="U422" s="7"/>
      <c r="V422" s="7"/>
      <c r="W422" s="7"/>
      <c r="X422" s="7"/>
      <c r="Y422" s="7"/>
    </row>
    <row r="423" ht="15.75" customHeight="1">
      <c r="T423" s="7"/>
      <c r="U423" s="7"/>
      <c r="V423" s="7"/>
      <c r="W423" s="7"/>
      <c r="X423" s="7"/>
      <c r="Y423" s="7"/>
    </row>
    <row r="424" ht="15.75" customHeight="1">
      <c r="T424" s="7"/>
      <c r="U424" s="7"/>
      <c r="V424" s="7"/>
      <c r="W424" s="7"/>
      <c r="X424" s="7"/>
      <c r="Y424" s="7"/>
    </row>
    <row r="425" ht="15.75" customHeight="1">
      <c r="T425" s="7"/>
      <c r="U425" s="7"/>
      <c r="V425" s="7"/>
      <c r="W425" s="7"/>
      <c r="X425" s="7"/>
      <c r="Y425" s="7"/>
    </row>
    <row r="426" ht="15.75" customHeight="1">
      <c r="T426" s="7"/>
      <c r="U426" s="7"/>
      <c r="V426" s="7"/>
      <c r="W426" s="7"/>
      <c r="X426" s="7"/>
      <c r="Y426" s="7"/>
    </row>
    <row r="427" ht="15.75" customHeight="1">
      <c r="T427" s="7"/>
      <c r="U427" s="7"/>
      <c r="V427" s="7"/>
      <c r="W427" s="7"/>
      <c r="X427" s="7"/>
      <c r="Y427" s="7"/>
    </row>
    <row r="428" ht="15.75" customHeight="1">
      <c r="T428" s="7"/>
      <c r="U428" s="7"/>
      <c r="V428" s="7"/>
      <c r="W428" s="7"/>
      <c r="X428" s="7"/>
      <c r="Y428" s="7"/>
    </row>
    <row r="429" ht="15.75" customHeight="1">
      <c r="T429" s="7"/>
      <c r="U429" s="7"/>
      <c r="V429" s="7"/>
      <c r="W429" s="7"/>
      <c r="X429" s="7"/>
      <c r="Y429" s="7"/>
    </row>
    <row r="430" ht="15.75" customHeight="1">
      <c r="T430" s="7"/>
      <c r="U430" s="7"/>
      <c r="V430" s="7"/>
      <c r="W430" s="7"/>
      <c r="X430" s="7"/>
      <c r="Y430" s="7"/>
    </row>
    <row r="431" ht="15.75" customHeight="1">
      <c r="T431" s="7"/>
      <c r="U431" s="7"/>
      <c r="V431" s="7"/>
      <c r="W431" s="7"/>
      <c r="X431" s="7"/>
      <c r="Y431" s="7"/>
    </row>
    <row r="432" ht="15.75" customHeight="1">
      <c r="T432" s="7"/>
      <c r="U432" s="7"/>
      <c r="V432" s="7"/>
      <c r="W432" s="7"/>
      <c r="X432" s="7"/>
      <c r="Y432" s="7"/>
    </row>
    <row r="433" ht="15.75" customHeight="1">
      <c r="T433" s="7"/>
      <c r="U433" s="7"/>
      <c r="V433" s="7"/>
      <c r="W433" s="7"/>
      <c r="X433" s="7"/>
      <c r="Y433" s="7"/>
    </row>
    <row r="434" ht="15.75" customHeight="1">
      <c r="T434" s="7"/>
      <c r="U434" s="7"/>
      <c r="V434" s="7"/>
      <c r="W434" s="7"/>
      <c r="X434" s="7"/>
      <c r="Y434" s="7"/>
    </row>
    <row r="435" ht="15.75" customHeight="1">
      <c r="T435" s="7"/>
      <c r="U435" s="7"/>
      <c r="V435" s="7"/>
      <c r="W435" s="7"/>
      <c r="X435" s="7"/>
      <c r="Y435" s="7"/>
    </row>
    <row r="436" ht="15.75" customHeight="1">
      <c r="T436" s="7"/>
      <c r="U436" s="7"/>
      <c r="V436" s="7"/>
      <c r="W436" s="7"/>
      <c r="X436" s="7"/>
      <c r="Y436" s="7"/>
    </row>
    <row r="437" ht="15.75" customHeight="1">
      <c r="T437" s="7"/>
      <c r="U437" s="7"/>
      <c r="V437" s="7"/>
      <c r="W437" s="7"/>
      <c r="X437" s="7"/>
      <c r="Y437" s="7"/>
    </row>
    <row r="438" ht="15.75" customHeight="1">
      <c r="T438" s="7"/>
      <c r="U438" s="7"/>
      <c r="V438" s="7"/>
      <c r="W438" s="7"/>
      <c r="X438" s="7"/>
      <c r="Y438" s="7"/>
    </row>
    <row r="439" ht="15.75" customHeight="1">
      <c r="T439" s="7"/>
      <c r="U439" s="7"/>
      <c r="V439" s="7"/>
      <c r="W439" s="7"/>
      <c r="X439" s="7"/>
      <c r="Y439" s="7"/>
    </row>
    <row r="440" ht="15.75" customHeight="1">
      <c r="T440" s="7"/>
      <c r="U440" s="7"/>
      <c r="V440" s="7"/>
      <c r="W440" s="7"/>
      <c r="X440" s="7"/>
      <c r="Y440" s="7"/>
    </row>
    <row r="441" ht="15.75" customHeight="1">
      <c r="T441" s="7"/>
      <c r="U441" s="7"/>
      <c r="V441" s="7"/>
      <c r="W441" s="7"/>
      <c r="X441" s="7"/>
      <c r="Y441" s="7"/>
    </row>
    <row r="442" ht="15.75" customHeight="1">
      <c r="T442" s="7"/>
      <c r="U442" s="7"/>
      <c r="V442" s="7"/>
      <c r="W442" s="7"/>
      <c r="X442" s="7"/>
      <c r="Y442" s="7"/>
    </row>
    <row r="443" ht="15.75" customHeight="1">
      <c r="T443" s="7"/>
      <c r="U443" s="7"/>
      <c r="V443" s="7"/>
      <c r="W443" s="7"/>
      <c r="X443" s="7"/>
      <c r="Y443" s="7"/>
    </row>
    <row r="444" ht="15.75" customHeight="1">
      <c r="T444" s="7"/>
      <c r="U444" s="7"/>
      <c r="V444" s="7"/>
      <c r="W444" s="7"/>
      <c r="X444" s="7"/>
      <c r="Y444" s="7"/>
    </row>
    <row r="445" ht="15.75" customHeight="1">
      <c r="T445" s="7"/>
      <c r="U445" s="7"/>
      <c r="V445" s="7"/>
      <c r="W445" s="7"/>
      <c r="X445" s="7"/>
      <c r="Y445" s="7"/>
    </row>
    <row r="446" ht="15.75" customHeight="1">
      <c r="T446" s="7"/>
      <c r="U446" s="7"/>
      <c r="V446" s="7"/>
      <c r="W446" s="7"/>
      <c r="X446" s="7"/>
      <c r="Y446" s="7"/>
    </row>
    <row r="447" ht="15.75" customHeight="1">
      <c r="T447" s="7"/>
      <c r="U447" s="7"/>
      <c r="V447" s="7"/>
      <c r="W447" s="7"/>
      <c r="X447" s="7"/>
      <c r="Y447" s="7"/>
    </row>
    <row r="448" ht="15.75" customHeight="1">
      <c r="T448" s="7"/>
      <c r="U448" s="7"/>
      <c r="V448" s="7"/>
      <c r="W448" s="7"/>
      <c r="X448" s="7"/>
      <c r="Y448" s="7"/>
    </row>
    <row r="449" ht="15.75" customHeight="1">
      <c r="T449" s="7"/>
      <c r="U449" s="7"/>
      <c r="V449" s="7"/>
      <c r="W449" s="7"/>
      <c r="X449" s="7"/>
      <c r="Y449" s="7"/>
    </row>
    <row r="450" ht="15.75" customHeight="1">
      <c r="T450" s="7"/>
      <c r="U450" s="7"/>
      <c r="V450" s="7"/>
      <c r="W450" s="7"/>
      <c r="X450" s="7"/>
      <c r="Y450" s="7"/>
    </row>
    <row r="451" ht="15.75" customHeight="1">
      <c r="T451" s="7"/>
      <c r="U451" s="7"/>
      <c r="V451" s="7"/>
      <c r="W451" s="7"/>
      <c r="X451" s="7"/>
      <c r="Y451" s="7"/>
    </row>
    <row r="452" ht="15.75" customHeight="1">
      <c r="T452" s="7"/>
      <c r="U452" s="7"/>
      <c r="V452" s="7"/>
      <c r="W452" s="7"/>
      <c r="X452" s="7"/>
      <c r="Y452" s="7"/>
    </row>
    <row r="453" ht="15.75" customHeight="1">
      <c r="T453" s="7"/>
      <c r="U453" s="7"/>
      <c r="V453" s="7"/>
      <c r="W453" s="7"/>
      <c r="X453" s="7"/>
      <c r="Y453" s="7"/>
    </row>
    <row r="454" ht="15.75" customHeight="1">
      <c r="T454" s="7"/>
      <c r="U454" s="7"/>
      <c r="V454" s="7"/>
      <c r="W454" s="7"/>
      <c r="X454" s="7"/>
      <c r="Y454" s="7"/>
    </row>
    <row r="455" ht="15.75" customHeight="1">
      <c r="T455" s="7"/>
      <c r="U455" s="7"/>
      <c r="V455" s="7"/>
      <c r="W455" s="7"/>
      <c r="X455" s="7"/>
      <c r="Y455" s="7"/>
    </row>
    <row r="456" ht="15.75" customHeight="1">
      <c r="T456" s="7"/>
      <c r="U456" s="7"/>
      <c r="V456" s="7"/>
      <c r="W456" s="7"/>
      <c r="X456" s="7"/>
      <c r="Y456" s="7"/>
    </row>
    <row r="457" ht="15.75" customHeight="1">
      <c r="T457" s="7"/>
      <c r="U457" s="7"/>
      <c r="V457" s="7"/>
      <c r="W457" s="7"/>
      <c r="X457" s="7"/>
      <c r="Y457" s="7"/>
    </row>
    <row r="458" ht="15.75" customHeight="1">
      <c r="T458" s="7"/>
      <c r="U458" s="7"/>
      <c r="V458" s="7"/>
      <c r="W458" s="7"/>
      <c r="X458" s="7"/>
      <c r="Y458" s="7"/>
    </row>
    <row r="459" ht="15.75" customHeight="1">
      <c r="T459" s="7"/>
      <c r="U459" s="7"/>
      <c r="V459" s="7"/>
      <c r="W459" s="7"/>
      <c r="X459" s="7"/>
      <c r="Y459" s="7"/>
    </row>
    <row r="460" ht="15.75" customHeight="1">
      <c r="T460" s="7"/>
      <c r="U460" s="7"/>
      <c r="V460" s="7"/>
      <c r="W460" s="7"/>
      <c r="X460" s="7"/>
      <c r="Y460" s="7"/>
    </row>
    <row r="461" ht="15.75" customHeight="1">
      <c r="T461" s="7"/>
      <c r="U461" s="7"/>
      <c r="V461" s="7"/>
      <c r="W461" s="7"/>
      <c r="X461" s="7"/>
      <c r="Y461" s="7"/>
    </row>
    <row r="462" ht="15.75" customHeight="1">
      <c r="T462" s="7"/>
      <c r="U462" s="7"/>
      <c r="V462" s="7"/>
      <c r="W462" s="7"/>
      <c r="X462" s="7"/>
      <c r="Y462" s="7"/>
    </row>
    <row r="463" ht="15.75" customHeight="1">
      <c r="T463" s="7"/>
      <c r="U463" s="7"/>
      <c r="V463" s="7"/>
      <c r="W463" s="7"/>
      <c r="X463" s="7"/>
      <c r="Y463" s="7"/>
    </row>
    <row r="464" ht="15.75" customHeight="1">
      <c r="T464" s="7"/>
      <c r="U464" s="7"/>
      <c r="V464" s="7"/>
      <c r="W464" s="7"/>
      <c r="X464" s="7"/>
      <c r="Y464" s="7"/>
    </row>
    <row r="465" ht="15.75" customHeight="1">
      <c r="T465" s="7"/>
      <c r="U465" s="7"/>
      <c r="V465" s="7"/>
      <c r="W465" s="7"/>
      <c r="X465" s="7"/>
      <c r="Y465" s="7"/>
    </row>
    <row r="466" ht="15.75" customHeight="1">
      <c r="T466" s="7"/>
      <c r="U466" s="7"/>
      <c r="V466" s="7"/>
      <c r="W466" s="7"/>
      <c r="X466" s="7"/>
      <c r="Y466" s="7"/>
    </row>
    <row r="467" ht="15.75" customHeight="1">
      <c r="T467" s="7"/>
      <c r="U467" s="7"/>
      <c r="V467" s="7"/>
      <c r="W467" s="7"/>
      <c r="X467" s="7"/>
      <c r="Y467" s="7"/>
    </row>
    <row r="468" ht="15.75" customHeight="1">
      <c r="T468" s="7"/>
      <c r="U468" s="7"/>
      <c r="V468" s="7"/>
      <c r="W468" s="7"/>
      <c r="X468" s="7"/>
      <c r="Y468" s="7"/>
    </row>
    <row r="469" ht="15.75" customHeight="1">
      <c r="T469" s="7"/>
      <c r="U469" s="7"/>
      <c r="V469" s="7"/>
      <c r="W469" s="7"/>
      <c r="X469" s="7"/>
      <c r="Y469" s="7"/>
    </row>
    <row r="470" ht="15.75" customHeight="1">
      <c r="T470" s="7"/>
      <c r="U470" s="7"/>
      <c r="V470" s="7"/>
      <c r="W470" s="7"/>
      <c r="X470" s="7"/>
      <c r="Y470" s="7"/>
    </row>
    <row r="471" ht="15.75" customHeight="1">
      <c r="T471" s="7"/>
      <c r="U471" s="7"/>
      <c r="V471" s="7"/>
      <c r="W471" s="7"/>
      <c r="X471" s="7"/>
      <c r="Y471" s="7"/>
    </row>
    <row r="472" ht="15.75" customHeight="1">
      <c r="T472" s="7"/>
      <c r="U472" s="7"/>
      <c r="V472" s="7"/>
      <c r="W472" s="7"/>
      <c r="X472" s="7"/>
      <c r="Y472" s="7"/>
    </row>
    <row r="473" ht="15.75" customHeight="1">
      <c r="T473" s="7"/>
      <c r="U473" s="7"/>
      <c r="V473" s="7"/>
      <c r="W473" s="7"/>
      <c r="X473" s="7"/>
      <c r="Y473" s="7"/>
    </row>
    <row r="474" ht="15.75" customHeight="1">
      <c r="T474" s="7"/>
      <c r="U474" s="7"/>
      <c r="V474" s="7"/>
      <c r="W474" s="7"/>
      <c r="X474" s="7"/>
      <c r="Y474" s="7"/>
    </row>
    <row r="475" ht="15.75" customHeight="1">
      <c r="T475" s="7"/>
      <c r="U475" s="7"/>
      <c r="V475" s="7"/>
      <c r="W475" s="7"/>
      <c r="X475" s="7"/>
      <c r="Y475" s="7"/>
    </row>
    <row r="476" ht="15.75" customHeight="1">
      <c r="T476" s="7"/>
      <c r="U476" s="7"/>
      <c r="V476" s="7"/>
      <c r="W476" s="7"/>
      <c r="X476" s="7"/>
      <c r="Y476" s="7"/>
    </row>
    <row r="477" ht="15.75" customHeight="1">
      <c r="T477" s="7"/>
      <c r="U477" s="7"/>
      <c r="V477" s="7"/>
      <c r="W477" s="7"/>
      <c r="X477" s="7"/>
      <c r="Y477" s="7"/>
    </row>
    <row r="478" ht="15.75" customHeight="1">
      <c r="T478" s="7"/>
      <c r="U478" s="7"/>
      <c r="V478" s="7"/>
      <c r="W478" s="7"/>
      <c r="X478" s="7"/>
      <c r="Y478" s="7"/>
    </row>
    <row r="479" ht="15.75" customHeight="1">
      <c r="T479" s="7"/>
      <c r="U479" s="7"/>
      <c r="V479" s="7"/>
      <c r="W479" s="7"/>
      <c r="X479" s="7"/>
      <c r="Y479" s="7"/>
    </row>
    <row r="480" ht="15.75" customHeight="1">
      <c r="T480" s="7"/>
      <c r="U480" s="7"/>
      <c r="V480" s="7"/>
      <c r="W480" s="7"/>
      <c r="X480" s="7"/>
      <c r="Y480" s="7"/>
    </row>
    <row r="481" ht="15.75" customHeight="1">
      <c r="T481" s="7"/>
      <c r="U481" s="7"/>
      <c r="V481" s="7"/>
      <c r="W481" s="7"/>
      <c r="X481" s="7"/>
      <c r="Y481" s="7"/>
    </row>
    <row r="482" ht="15.75" customHeight="1">
      <c r="T482" s="7"/>
      <c r="U482" s="7"/>
      <c r="V482" s="7"/>
      <c r="W482" s="7"/>
      <c r="X482" s="7"/>
      <c r="Y482" s="7"/>
    </row>
    <row r="483" ht="15.75" customHeight="1">
      <c r="T483" s="7"/>
      <c r="U483" s="7"/>
      <c r="V483" s="7"/>
      <c r="W483" s="7"/>
      <c r="X483" s="7"/>
      <c r="Y483" s="7"/>
    </row>
    <row r="484" ht="15.75" customHeight="1">
      <c r="T484" s="7"/>
      <c r="U484" s="7"/>
      <c r="V484" s="7"/>
      <c r="W484" s="7"/>
      <c r="X484" s="7"/>
      <c r="Y484" s="7"/>
    </row>
    <row r="485" ht="15.75" customHeight="1">
      <c r="T485" s="7"/>
      <c r="U485" s="7"/>
      <c r="V485" s="7"/>
      <c r="W485" s="7"/>
      <c r="X485" s="7"/>
      <c r="Y485" s="7"/>
    </row>
    <row r="486" ht="15.75" customHeight="1">
      <c r="T486" s="7"/>
      <c r="U486" s="7"/>
      <c r="V486" s="7"/>
      <c r="W486" s="7"/>
      <c r="X486" s="7"/>
      <c r="Y486" s="7"/>
    </row>
    <row r="487" ht="15.75" customHeight="1">
      <c r="T487" s="7"/>
      <c r="U487" s="7"/>
      <c r="V487" s="7"/>
      <c r="W487" s="7"/>
      <c r="X487" s="7"/>
      <c r="Y487" s="7"/>
    </row>
    <row r="488" ht="15.75" customHeight="1">
      <c r="T488" s="7"/>
      <c r="U488" s="7"/>
      <c r="V488" s="7"/>
      <c r="W488" s="7"/>
      <c r="X488" s="7"/>
      <c r="Y488" s="7"/>
    </row>
    <row r="489" ht="15.75" customHeight="1">
      <c r="T489" s="7"/>
      <c r="U489" s="7"/>
      <c r="V489" s="7"/>
      <c r="W489" s="7"/>
      <c r="X489" s="7"/>
      <c r="Y489" s="7"/>
    </row>
    <row r="490" ht="15.75" customHeight="1">
      <c r="T490" s="7"/>
      <c r="U490" s="7"/>
      <c r="V490" s="7"/>
      <c r="W490" s="7"/>
      <c r="X490" s="7"/>
      <c r="Y490" s="7"/>
    </row>
    <row r="491" ht="15.75" customHeight="1">
      <c r="T491" s="7"/>
      <c r="U491" s="7"/>
      <c r="V491" s="7"/>
      <c r="W491" s="7"/>
      <c r="X491" s="7"/>
      <c r="Y491" s="7"/>
    </row>
    <row r="492" ht="15.75" customHeight="1">
      <c r="T492" s="7"/>
      <c r="U492" s="7"/>
      <c r="V492" s="7"/>
      <c r="W492" s="7"/>
      <c r="X492" s="7"/>
      <c r="Y492" s="7"/>
    </row>
    <row r="493" ht="15.75" customHeight="1">
      <c r="T493" s="7"/>
      <c r="U493" s="7"/>
      <c r="V493" s="7"/>
      <c r="W493" s="7"/>
      <c r="X493" s="7"/>
      <c r="Y493" s="7"/>
    </row>
    <row r="494" ht="15.75" customHeight="1">
      <c r="T494" s="7"/>
      <c r="U494" s="7"/>
      <c r="V494" s="7"/>
      <c r="W494" s="7"/>
      <c r="X494" s="7"/>
      <c r="Y494" s="7"/>
    </row>
    <row r="495" ht="15.75" customHeight="1">
      <c r="T495" s="7"/>
      <c r="U495" s="7"/>
      <c r="V495" s="7"/>
      <c r="W495" s="7"/>
      <c r="X495" s="7"/>
      <c r="Y495" s="7"/>
    </row>
    <row r="496" ht="15.75" customHeight="1">
      <c r="T496" s="7"/>
      <c r="U496" s="7"/>
      <c r="V496" s="7"/>
      <c r="W496" s="7"/>
      <c r="X496" s="7"/>
      <c r="Y496" s="7"/>
    </row>
    <row r="497" ht="15.75" customHeight="1">
      <c r="T497" s="7"/>
      <c r="U497" s="7"/>
      <c r="V497" s="7"/>
      <c r="W497" s="7"/>
      <c r="X497" s="7"/>
      <c r="Y497" s="7"/>
    </row>
    <row r="498" ht="15.75" customHeight="1">
      <c r="T498" s="7"/>
      <c r="U498" s="7"/>
      <c r="V498" s="7"/>
      <c r="W498" s="7"/>
      <c r="X498" s="7"/>
      <c r="Y498" s="7"/>
    </row>
    <row r="499" ht="15.75" customHeight="1">
      <c r="T499" s="7"/>
      <c r="U499" s="7"/>
      <c r="V499" s="7"/>
      <c r="W499" s="7"/>
      <c r="X499" s="7"/>
      <c r="Y499" s="7"/>
    </row>
    <row r="500" ht="15.75" customHeight="1">
      <c r="T500" s="7"/>
      <c r="U500" s="7"/>
      <c r="V500" s="7"/>
      <c r="W500" s="7"/>
      <c r="X500" s="7"/>
      <c r="Y500" s="7"/>
    </row>
    <row r="501" ht="15.75" customHeight="1">
      <c r="T501" s="7"/>
      <c r="U501" s="7"/>
      <c r="V501" s="7"/>
      <c r="W501" s="7"/>
      <c r="X501" s="7"/>
      <c r="Y501" s="7"/>
    </row>
    <row r="502" ht="15.75" customHeight="1">
      <c r="T502" s="7"/>
      <c r="U502" s="7"/>
      <c r="V502" s="7"/>
      <c r="W502" s="7"/>
      <c r="X502" s="7"/>
      <c r="Y502" s="7"/>
    </row>
    <row r="503" ht="15.75" customHeight="1">
      <c r="T503" s="7"/>
      <c r="U503" s="7"/>
      <c r="V503" s="7"/>
      <c r="W503" s="7"/>
      <c r="X503" s="7"/>
      <c r="Y503" s="7"/>
    </row>
    <row r="504" ht="15.75" customHeight="1">
      <c r="T504" s="7"/>
      <c r="U504" s="7"/>
      <c r="V504" s="7"/>
      <c r="W504" s="7"/>
      <c r="X504" s="7"/>
      <c r="Y504" s="7"/>
    </row>
    <row r="505" ht="15.75" customHeight="1">
      <c r="T505" s="7"/>
      <c r="U505" s="7"/>
      <c r="V505" s="7"/>
      <c r="W505" s="7"/>
      <c r="X505" s="7"/>
      <c r="Y505" s="7"/>
    </row>
    <row r="506" ht="15.75" customHeight="1">
      <c r="T506" s="7"/>
      <c r="U506" s="7"/>
      <c r="V506" s="7"/>
      <c r="W506" s="7"/>
      <c r="X506" s="7"/>
      <c r="Y506" s="7"/>
    </row>
    <row r="507" ht="15.75" customHeight="1">
      <c r="T507" s="7"/>
      <c r="U507" s="7"/>
      <c r="V507" s="7"/>
      <c r="W507" s="7"/>
      <c r="X507" s="7"/>
      <c r="Y507" s="7"/>
    </row>
    <row r="508" ht="15.75" customHeight="1">
      <c r="T508" s="7"/>
      <c r="U508" s="7"/>
      <c r="V508" s="7"/>
      <c r="W508" s="7"/>
      <c r="X508" s="7"/>
      <c r="Y508" s="7"/>
    </row>
    <row r="509" ht="15.75" customHeight="1">
      <c r="T509" s="7"/>
      <c r="U509" s="7"/>
      <c r="V509" s="7"/>
      <c r="W509" s="7"/>
      <c r="X509" s="7"/>
      <c r="Y509" s="7"/>
    </row>
    <row r="510" ht="15.75" customHeight="1">
      <c r="T510" s="7"/>
      <c r="U510" s="7"/>
      <c r="V510" s="7"/>
      <c r="W510" s="7"/>
      <c r="X510" s="7"/>
      <c r="Y510" s="7"/>
    </row>
    <row r="511" ht="15.75" customHeight="1">
      <c r="T511" s="7"/>
      <c r="U511" s="7"/>
      <c r="V511" s="7"/>
      <c r="W511" s="7"/>
      <c r="X511" s="7"/>
      <c r="Y511" s="7"/>
    </row>
    <row r="512" ht="15.75" customHeight="1">
      <c r="T512" s="7"/>
      <c r="U512" s="7"/>
      <c r="V512" s="7"/>
      <c r="W512" s="7"/>
      <c r="X512" s="7"/>
      <c r="Y512" s="7"/>
    </row>
    <row r="513" ht="15.75" customHeight="1">
      <c r="T513" s="7"/>
      <c r="U513" s="7"/>
      <c r="V513" s="7"/>
      <c r="W513" s="7"/>
      <c r="X513" s="7"/>
      <c r="Y513" s="7"/>
    </row>
    <row r="514" ht="15.75" customHeight="1">
      <c r="T514" s="7"/>
      <c r="U514" s="7"/>
      <c r="V514" s="7"/>
      <c r="W514" s="7"/>
      <c r="X514" s="7"/>
      <c r="Y514" s="7"/>
    </row>
    <row r="515" ht="15.75" customHeight="1">
      <c r="T515" s="7"/>
      <c r="U515" s="7"/>
      <c r="V515" s="7"/>
      <c r="W515" s="7"/>
      <c r="X515" s="7"/>
      <c r="Y515" s="7"/>
    </row>
    <row r="516" ht="15.75" customHeight="1">
      <c r="T516" s="7"/>
      <c r="U516" s="7"/>
      <c r="V516" s="7"/>
      <c r="W516" s="7"/>
      <c r="X516" s="7"/>
      <c r="Y516" s="7"/>
    </row>
    <row r="517" ht="15.75" customHeight="1">
      <c r="T517" s="7"/>
      <c r="U517" s="7"/>
      <c r="V517" s="7"/>
      <c r="W517" s="7"/>
      <c r="X517" s="7"/>
      <c r="Y517" s="7"/>
    </row>
    <row r="518" ht="15.75" customHeight="1">
      <c r="T518" s="7"/>
      <c r="U518" s="7"/>
      <c r="V518" s="7"/>
      <c r="W518" s="7"/>
      <c r="X518" s="7"/>
      <c r="Y518" s="7"/>
    </row>
    <row r="519" ht="15.75" customHeight="1">
      <c r="T519" s="7"/>
      <c r="U519" s="7"/>
      <c r="V519" s="7"/>
      <c r="W519" s="7"/>
      <c r="X519" s="7"/>
      <c r="Y519" s="7"/>
    </row>
    <row r="520" ht="15.75" customHeight="1">
      <c r="T520" s="7"/>
      <c r="U520" s="7"/>
      <c r="V520" s="7"/>
      <c r="W520" s="7"/>
      <c r="X520" s="7"/>
      <c r="Y520" s="7"/>
    </row>
    <row r="521" ht="15.75" customHeight="1">
      <c r="T521" s="7"/>
      <c r="U521" s="7"/>
      <c r="V521" s="7"/>
      <c r="W521" s="7"/>
      <c r="X521" s="7"/>
      <c r="Y521" s="7"/>
    </row>
    <row r="522" ht="15.75" customHeight="1">
      <c r="T522" s="7"/>
      <c r="U522" s="7"/>
      <c r="V522" s="7"/>
      <c r="W522" s="7"/>
      <c r="X522" s="7"/>
      <c r="Y522" s="7"/>
    </row>
    <row r="523" ht="15.75" customHeight="1">
      <c r="T523" s="7"/>
      <c r="U523" s="7"/>
      <c r="V523" s="7"/>
      <c r="W523" s="7"/>
      <c r="X523" s="7"/>
      <c r="Y523" s="7"/>
    </row>
    <row r="524" ht="15.75" customHeight="1">
      <c r="T524" s="7"/>
      <c r="U524" s="7"/>
      <c r="V524" s="7"/>
      <c r="W524" s="7"/>
      <c r="X524" s="7"/>
      <c r="Y524" s="7"/>
    </row>
    <row r="525" ht="15.75" customHeight="1">
      <c r="T525" s="7"/>
      <c r="U525" s="7"/>
      <c r="V525" s="7"/>
      <c r="W525" s="7"/>
      <c r="X525" s="7"/>
      <c r="Y525" s="7"/>
    </row>
    <row r="526" ht="15.75" customHeight="1">
      <c r="T526" s="7"/>
      <c r="U526" s="7"/>
      <c r="V526" s="7"/>
      <c r="W526" s="7"/>
      <c r="X526" s="7"/>
      <c r="Y526" s="7"/>
    </row>
    <row r="527" ht="15.75" customHeight="1">
      <c r="T527" s="7"/>
      <c r="U527" s="7"/>
      <c r="V527" s="7"/>
      <c r="W527" s="7"/>
      <c r="X527" s="7"/>
      <c r="Y527" s="7"/>
    </row>
    <row r="528" ht="15.75" customHeight="1">
      <c r="T528" s="7"/>
      <c r="U528" s="7"/>
      <c r="V528" s="7"/>
      <c r="W528" s="7"/>
      <c r="X528" s="7"/>
      <c r="Y528" s="7"/>
    </row>
    <row r="529" ht="15.75" customHeight="1">
      <c r="T529" s="7"/>
      <c r="U529" s="7"/>
      <c r="V529" s="7"/>
      <c r="W529" s="7"/>
      <c r="X529" s="7"/>
      <c r="Y529" s="7"/>
    </row>
    <row r="530" ht="15.75" customHeight="1">
      <c r="T530" s="7"/>
      <c r="U530" s="7"/>
      <c r="V530" s="7"/>
      <c r="W530" s="7"/>
      <c r="X530" s="7"/>
      <c r="Y530" s="7"/>
    </row>
    <row r="531" ht="15.75" customHeight="1">
      <c r="T531" s="7"/>
      <c r="U531" s="7"/>
      <c r="V531" s="7"/>
      <c r="W531" s="7"/>
      <c r="X531" s="7"/>
      <c r="Y531" s="7"/>
    </row>
    <row r="532" ht="15.75" customHeight="1">
      <c r="T532" s="7"/>
      <c r="U532" s="7"/>
      <c r="V532" s="7"/>
      <c r="W532" s="7"/>
      <c r="X532" s="7"/>
      <c r="Y532" s="7"/>
    </row>
    <row r="533" ht="15.75" customHeight="1">
      <c r="T533" s="7"/>
      <c r="U533" s="7"/>
      <c r="V533" s="7"/>
      <c r="W533" s="7"/>
      <c r="X533" s="7"/>
      <c r="Y533" s="7"/>
    </row>
    <row r="534" ht="15.75" customHeight="1">
      <c r="T534" s="7"/>
      <c r="U534" s="7"/>
      <c r="V534" s="7"/>
      <c r="W534" s="7"/>
      <c r="X534" s="7"/>
      <c r="Y534" s="7"/>
    </row>
    <row r="535" ht="15.75" customHeight="1">
      <c r="T535" s="7"/>
      <c r="U535" s="7"/>
      <c r="V535" s="7"/>
      <c r="W535" s="7"/>
      <c r="X535" s="7"/>
      <c r="Y535" s="7"/>
    </row>
    <row r="536" ht="15.75" customHeight="1">
      <c r="T536" s="7"/>
      <c r="U536" s="7"/>
      <c r="V536" s="7"/>
      <c r="W536" s="7"/>
      <c r="X536" s="7"/>
      <c r="Y536" s="7"/>
    </row>
    <row r="537" ht="15.75" customHeight="1">
      <c r="T537" s="7"/>
      <c r="U537" s="7"/>
      <c r="V537" s="7"/>
      <c r="W537" s="7"/>
      <c r="X537" s="7"/>
      <c r="Y537" s="7"/>
    </row>
    <row r="538" ht="15.75" customHeight="1">
      <c r="T538" s="7"/>
      <c r="U538" s="7"/>
      <c r="V538" s="7"/>
      <c r="W538" s="7"/>
      <c r="X538" s="7"/>
      <c r="Y538" s="7"/>
    </row>
    <row r="539" ht="15.75" customHeight="1">
      <c r="T539" s="7"/>
      <c r="U539" s="7"/>
      <c r="V539" s="7"/>
      <c r="W539" s="7"/>
      <c r="X539" s="7"/>
      <c r="Y539" s="7"/>
    </row>
    <row r="540" ht="15.75" customHeight="1">
      <c r="T540" s="7"/>
      <c r="U540" s="7"/>
      <c r="V540" s="7"/>
      <c r="W540" s="7"/>
      <c r="X540" s="7"/>
      <c r="Y540" s="7"/>
    </row>
    <row r="541" ht="15.75" customHeight="1">
      <c r="T541" s="7"/>
      <c r="U541" s="7"/>
      <c r="V541" s="7"/>
      <c r="W541" s="7"/>
      <c r="X541" s="7"/>
      <c r="Y541" s="7"/>
    </row>
    <row r="542" ht="15.75" customHeight="1">
      <c r="T542" s="7"/>
      <c r="U542" s="7"/>
      <c r="V542" s="7"/>
      <c r="W542" s="7"/>
      <c r="X542" s="7"/>
      <c r="Y542" s="7"/>
    </row>
    <row r="543" ht="15.75" customHeight="1">
      <c r="T543" s="7"/>
      <c r="U543" s="7"/>
      <c r="V543" s="7"/>
      <c r="W543" s="7"/>
      <c r="X543" s="7"/>
      <c r="Y543" s="7"/>
    </row>
    <row r="544" ht="15.75" customHeight="1">
      <c r="T544" s="7"/>
      <c r="U544" s="7"/>
      <c r="V544" s="7"/>
      <c r="W544" s="7"/>
      <c r="X544" s="7"/>
      <c r="Y544" s="7"/>
    </row>
    <row r="545" ht="15.75" customHeight="1">
      <c r="T545" s="7"/>
      <c r="U545" s="7"/>
      <c r="V545" s="7"/>
      <c r="W545" s="7"/>
      <c r="X545" s="7"/>
      <c r="Y545" s="7"/>
    </row>
    <row r="546" ht="15.75" customHeight="1">
      <c r="T546" s="7"/>
      <c r="U546" s="7"/>
      <c r="V546" s="7"/>
      <c r="W546" s="7"/>
      <c r="X546" s="7"/>
      <c r="Y546" s="7"/>
    </row>
    <row r="547" ht="15.75" customHeight="1">
      <c r="T547" s="7"/>
      <c r="U547" s="7"/>
      <c r="V547" s="7"/>
      <c r="W547" s="7"/>
      <c r="X547" s="7"/>
      <c r="Y547" s="7"/>
    </row>
    <row r="548" ht="15.75" customHeight="1">
      <c r="T548" s="7"/>
      <c r="U548" s="7"/>
      <c r="V548" s="7"/>
      <c r="W548" s="7"/>
      <c r="X548" s="7"/>
      <c r="Y548" s="7"/>
    </row>
    <row r="549" ht="15.75" customHeight="1">
      <c r="T549" s="7"/>
      <c r="U549" s="7"/>
      <c r="V549" s="7"/>
      <c r="W549" s="7"/>
      <c r="X549" s="7"/>
      <c r="Y549" s="7"/>
    </row>
    <row r="550" ht="15.75" customHeight="1">
      <c r="T550" s="7"/>
      <c r="U550" s="7"/>
      <c r="V550" s="7"/>
      <c r="W550" s="7"/>
      <c r="X550" s="7"/>
      <c r="Y550" s="7"/>
    </row>
    <row r="551" ht="15.75" customHeight="1">
      <c r="T551" s="7"/>
      <c r="U551" s="7"/>
      <c r="V551" s="7"/>
      <c r="W551" s="7"/>
      <c r="X551" s="7"/>
      <c r="Y551" s="7"/>
    </row>
    <row r="552" ht="15.75" customHeight="1">
      <c r="T552" s="7"/>
      <c r="U552" s="7"/>
      <c r="V552" s="7"/>
      <c r="W552" s="7"/>
      <c r="X552" s="7"/>
      <c r="Y552" s="7"/>
    </row>
    <row r="553" ht="15.75" customHeight="1">
      <c r="T553" s="7"/>
      <c r="U553" s="7"/>
      <c r="V553" s="7"/>
      <c r="W553" s="7"/>
      <c r="X553" s="7"/>
      <c r="Y553" s="7"/>
    </row>
    <row r="554" ht="15.75" customHeight="1">
      <c r="T554" s="7"/>
      <c r="U554" s="7"/>
      <c r="V554" s="7"/>
      <c r="W554" s="7"/>
      <c r="X554" s="7"/>
      <c r="Y554" s="7"/>
    </row>
    <row r="555" ht="15.75" customHeight="1">
      <c r="T555" s="7"/>
      <c r="U555" s="7"/>
      <c r="V555" s="7"/>
      <c r="W555" s="7"/>
      <c r="X555" s="7"/>
      <c r="Y555" s="7"/>
    </row>
    <row r="556" ht="15.75" customHeight="1">
      <c r="T556" s="7"/>
      <c r="U556" s="7"/>
      <c r="V556" s="7"/>
      <c r="W556" s="7"/>
      <c r="X556" s="7"/>
      <c r="Y556" s="7"/>
    </row>
    <row r="557" ht="15.75" customHeight="1">
      <c r="T557" s="7"/>
      <c r="U557" s="7"/>
      <c r="V557" s="7"/>
      <c r="W557" s="7"/>
      <c r="X557" s="7"/>
      <c r="Y557" s="7"/>
    </row>
    <row r="558" ht="15.75" customHeight="1">
      <c r="T558" s="7"/>
      <c r="U558" s="7"/>
      <c r="V558" s="7"/>
      <c r="W558" s="7"/>
      <c r="X558" s="7"/>
      <c r="Y558" s="7"/>
    </row>
    <row r="559" ht="15.75" customHeight="1">
      <c r="T559" s="7"/>
      <c r="U559" s="7"/>
      <c r="V559" s="7"/>
      <c r="W559" s="7"/>
      <c r="X559" s="7"/>
      <c r="Y559" s="7"/>
    </row>
    <row r="560" ht="15.75" customHeight="1">
      <c r="T560" s="7"/>
      <c r="U560" s="7"/>
      <c r="V560" s="7"/>
      <c r="W560" s="7"/>
      <c r="X560" s="7"/>
      <c r="Y560" s="7"/>
    </row>
    <row r="561" ht="15.75" customHeight="1">
      <c r="T561" s="7"/>
      <c r="U561" s="7"/>
      <c r="V561" s="7"/>
      <c r="W561" s="7"/>
      <c r="X561" s="7"/>
      <c r="Y561" s="7"/>
    </row>
    <row r="562" ht="15.75" customHeight="1">
      <c r="T562" s="7"/>
      <c r="U562" s="7"/>
      <c r="V562" s="7"/>
      <c r="W562" s="7"/>
      <c r="X562" s="7"/>
      <c r="Y562" s="7"/>
    </row>
    <row r="563" ht="15.75" customHeight="1">
      <c r="T563" s="7"/>
      <c r="U563" s="7"/>
      <c r="V563" s="7"/>
      <c r="W563" s="7"/>
      <c r="X563" s="7"/>
      <c r="Y563" s="7"/>
    </row>
    <row r="564" ht="15.75" customHeight="1">
      <c r="T564" s="7"/>
      <c r="U564" s="7"/>
      <c r="V564" s="7"/>
      <c r="W564" s="7"/>
      <c r="X564" s="7"/>
      <c r="Y564" s="7"/>
    </row>
    <row r="565" ht="15.75" customHeight="1">
      <c r="T565" s="7"/>
      <c r="U565" s="7"/>
      <c r="V565" s="7"/>
      <c r="W565" s="7"/>
      <c r="X565" s="7"/>
      <c r="Y565" s="7"/>
    </row>
    <row r="566" ht="15.75" customHeight="1">
      <c r="T566" s="7"/>
      <c r="U566" s="7"/>
      <c r="V566" s="7"/>
      <c r="W566" s="7"/>
      <c r="X566" s="7"/>
      <c r="Y566" s="7"/>
    </row>
    <row r="567" ht="15.75" customHeight="1">
      <c r="T567" s="7"/>
      <c r="U567" s="7"/>
      <c r="V567" s="7"/>
      <c r="W567" s="7"/>
      <c r="X567" s="7"/>
      <c r="Y567" s="7"/>
    </row>
    <row r="568" ht="15.75" customHeight="1">
      <c r="T568" s="7"/>
      <c r="U568" s="7"/>
      <c r="V568" s="7"/>
      <c r="W568" s="7"/>
      <c r="X568" s="7"/>
      <c r="Y568" s="7"/>
    </row>
    <row r="569" ht="15.75" customHeight="1">
      <c r="T569" s="7"/>
      <c r="U569" s="7"/>
      <c r="V569" s="7"/>
      <c r="W569" s="7"/>
      <c r="X569" s="7"/>
      <c r="Y569" s="7"/>
    </row>
    <row r="570" ht="15.75" customHeight="1">
      <c r="T570" s="7"/>
      <c r="U570" s="7"/>
      <c r="V570" s="7"/>
      <c r="W570" s="7"/>
      <c r="X570" s="7"/>
      <c r="Y570" s="7"/>
    </row>
    <row r="571" ht="15.75" customHeight="1">
      <c r="T571" s="7"/>
      <c r="U571" s="7"/>
      <c r="V571" s="7"/>
      <c r="W571" s="7"/>
      <c r="X571" s="7"/>
      <c r="Y571" s="7"/>
    </row>
    <row r="572" ht="15.75" customHeight="1">
      <c r="T572" s="7"/>
      <c r="U572" s="7"/>
      <c r="V572" s="7"/>
      <c r="W572" s="7"/>
      <c r="X572" s="7"/>
      <c r="Y572" s="7"/>
    </row>
    <row r="573" ht="15.75" customHeight="1">
      <c r="T573" s="7"/>
      <c r="U573" s="7"/>
      <c r="V573" s="7"/>
      <c r="W573" s="7"/>
      <c r="X573" s="7"/>
      <c r="Y573" s="7"/>
    </row>
    <row r="574" ht="15.75" customHeight="1">
      <c r="T574" s="7"/>
      <c r="U574" s="7"/>
      <c r="V574" s="7"/>
      <c r="W574" s="7"/>
      <c r="X574" s="7"/>
      <c r="Y574" s="7"/>
    </row>
    <row r="575" ht="15.75" customHeight="1">
      <c r="T575" s="7"/>
      <c r="U575" s="7"/>
      <c r="V575" s="7"/>
      <c r="W575" s="7"/>
      <c r="X575" s="7"/>
      <c r="Y575" s="7"/>
    </row>
    <row r="576" ht="15.75" customHeight="1">
      <c r="T576" s="7"/>
      <c r="U576" s="7"/>
      <c r="V576" s="7"/>
      <c r="W576" s="7"/>
      <c r="X576" s="7"/>
      <c r="Y576" s="7"/>
    </row>
    <row r="577" ht="15.75" customHeight="1">
      <c r="T577" s="7"/>
      <c r="U577" s="7"/>
      <c r="V577" s="7"/>
      <c r="W577" s="7"/>
      <c r="X577" s="7"/>
      <c r="Y577" s="7"/>
    </row>
    <row r="578" ht="15.75" customHeight="1">
      <c r="T578" s="7"/>
      <c r="U578" s="7"/>
      <c r="V578" s="7"/>
      <c r="W578" s="7"/>
      <c r="X578" s="7"/>
      <c r="Y578" s="7"/>
    </row>
    <row r="579" ht="15.75" customHeight="1">
      <c r="T579" s="7"/>
      <c r="U579" s="7"/>
      <c r="V579" s="7"/>
      <c r="W579" s="7"/>
      <c r="X579" s="7"/>
      <c r="Y579" s="7"/>
    </row>
    <row r="580" ht="15.75" customHeight="1">
      <c r="T580" s="7"/>
      <c r="U580" s="7"/>
      <c r="V580" s="7"/>
      <c r="W580" s="7"/>
      <c r="X580" s="7"/>
      <c r="Y580" s="7"/>
    </row>
    <row r="581" ht="15.75" customHeight="1">
      <c r="T581" s="7"/>
      <c r="U581" s="7"/>
      <c r="V581" s="7"/>
      <c r="W581" s="7"/>
      <c r="X581" s="7"/>
      <c r="Y581" s="7"/>
    </row>
    <row r="582" ht="15.75" customHeight="1">
      <c r="T582" s="7"/>
      <c r="U582" s="7"/>
      <c r="V582" s="7"/>
      <c r="W582" s="7"/>
      <c r="X582" s="7"/>
      <c r="Y582" s="7"/>
    </row>
    <row r="583" ht="15.75" customHeight="1">
      <c r="T583" s="7"/>
      <c r="U583" s="7"/>
      <c r="V583" s="7"/>
      <c r="W583" s="7"/>
      <c r="X583" s="7"/>
      <c r="Y583" s="7"/>
    </row>
    <row r="584" ht="15.75" customHeight="1">
      <c r="T584" s="7"/>
      <c r="U584" s="7"/>
      <c r="V584" s="7"/>
      <c r="W584" s="7"/>
      <c r="X584" s="7"/>
      <c r="Y584" s="7"/>
    </row>
    <row r="585" ht="15.75" customHeight="1">
      <c r="T585" s="7"/>
      <c r="U585" s="7"/>
      <c r="V585" s="7"/>
      <c r="W585" s="7"/>
      <c r="X585" s="7"/>
      <c r="Y585" s="7"/>
    </row>
    <row r="586" ht="15.75" customHeight="1">
      <c r="T586" s="7"/>
      <c r="U586" s="7"/>
      <c r="V586" s="7"/>
      <c r="W586" s="7"/>
      <c r="X586" s="7"/>
      <c r="Y586" s="7"/>
    </row>
    <row r="587" ht="15.75" customHeight="1">
      <c r="T587" s="7"/>
      <c r="U587" s="7"/>
      <c r="V587" s="7"/>
      <c r="W587" s="7"/>
      <c r="X587" s="7"/>
      <c r="Y587" s="7"/>
    </row>
    <row r="588" ht="15.75" customHeight="1">
      <c r="T588" s="7"/>
      <c r="U588" s="7"/>
      <c r="V588" s="7"/>
      <c r="W588" s="7"/>
      <c r="X588" s="7"/>
      <c r="Y588" s="7"/>
    </row>
    <row r="589" ht="15.75" customHeight="1">
      <c r="T589" s="7"/>
      <c r="U589" s="7"/>
      <c r="V589" s="7"/>
      <c r="W589" s="7"/>
      <c r="X589" s="7"/>
      <c r="Y589" s="7"/>
    </row>
    <row r="590" ht="15.75" customHeight="1">
      <c r="T590" s="7"/>
      <c r="U590" s="7"/>
      <c r="V590" s="7"/>
      <c r="W590" s="7"/>
      <c r="X590" s="7"/>
      <c r="Y590" s="7"/>
    </row>
    <row r="591" ht="15.75" customHeight="1">
      <c r="T591" s="7"/>
      <c r="U591" s="7"/>
      <c r="V591" s="7"/>
      <c r="W591" s="7"/>
      <c r="X591" s="7"/>
      <c r="Y591" s="7"/>
    </row>
    <row r="592" ht="15.75" customHeight="1">
      <c r="T592" s="7"/>
      <c r="U592" s="7"/>
      <c r="V592" s="7"/>
      <c r="W592" s="7"/>
      <c r="X592" s="7"/>
      <c r="Y592" s="7"/>
    </row>
    <row r="593" ht="15.75" customHeight="1">
      <c r="T593" s="7"/>
      <c r="U593" s="7"/>
      <c r="V593" s="7"/>
      <c r="W593" s="7"/>
      <c r="X593" s="7"/>
      <c r="Y593" s="7"/>
    </row>
    <row r="594" ht="15.75" customHeight="1">
      <c r="T594" s="7"/>
      <c r="U594" s="7"/>
      <c r="V594" s="7"/>
      <c r="W594" s="7"/>
      <c r="X594" s="7"/>
      <c r="Y594" s="7"/>
    </row>
    <row r="595" ht="15.75" customHeight="1">
      <c r="T595" s="7"/>
      <c r="U595" s="7"/>
      <c r="V595" s="7"/>
      <c r="W595" s="7"/>
      <c r="X595" s="7"/>
      <c r="Y595" s="7"/>
    </row>
    <row r="596" ht="15.75" customHeight="1">
      <c r="T596" s="7"/>
      <c r="U596" s="7"/>
      <c r="V596" s="7"/>
      <c r="W596" s="7"/>
      <c r="X596" s="7"/>
      <c r="Y596" s="7"/>
    </row>
    <row r="597" ht="15.75" customHeight="1">
      <c r="T597" s="7"/>
      <c r="U597" s="7"/>
      <c r="V597" s="7"/>
      <c r="W597" s="7"/>
      <c r="X597" s="7"/>
      <c r="Y597" s="7"/>
    </row>
    <row r="598" ht="15.75" customHeight="1">
      <c r="T598" s="7"/>
      <c r="U598" s="7"/>
      <c r="V598" s="7"/>
      <c r="W598" s="7"/>
      <c r="X598" s="7"/>
      <c r="Y598" s="7"/>
    </row>
    <row r="599" ht="15.75" customHeight="1">
      <c r="T599" s="7"/>
      <c r="U599" s="7"/>
      <c r="V599" s="7"/>
      <c r="W599" s="7"/>
      <c r="X599" s="7"/>
      <c r="Y599" s="7"/>
    </row>
    <row r="600" ht="15.75" customHeight="1">
      <c r="T600" s="7"/>
      <c r="U600" s="7"/>
      <c r="V600" s="7"/>
      <c r="W600" s="7"/>
      <c r="X600" s="7"/>
      <c r="Y600" s="7"/>
    </row>
    <row r="601" ht="15.75" customHeight="1">
      <c r="T601" s="7"/>
      <c r="U601" s="7"/>
      <c r="V601" s="7"/>
      <c r="W601" s="7"/>
      <c r="X601" s="7"/>
      <c r="Y601" s="7"/>
    </row>
    <row r="602" ht="15.75" customHeight="1">
      <c r="T602" s="7"/>
      <c r="U602" s="7"/>
      <c r="V602" s="7"/>
      <c r="W602" s="7"/>
      <c r="X602" s="7"/>
      <c r="Y602" s="7"/>
    </row>
    <row r="603" ht="15.75" customHeight="1">
      <c r="T603" s="7"/>
      <c r="U603" s="7"/>
      <c r="V603" s="7"/>
      <c r="W603" s="7"/>
      <c r="X603" s="7"/>
      <c r="Y603" s="7"/>
    </row>
    <row r="604" ht="15.75" customHeight="1">
      <c r="T604" s="7"/>
      <c r="U604" s="7"/>
      <c r="V604" s="7"/>
      <c r="W604" s="7"/>
      <c r="X604" s="7"/>
      <c r="Y604" s="7"/>
    </row>
    <row r="605" ht="15.75" customHeight="1">
      <c r="T605" s="7"/>
      <c r="U605" s="7"/>
      <c r="V605" s="7"/>
      <c r="W605" s="7"/>
      <c r="X605" s="7"/>
      <c r="Y605" s="7"/>
    </row>
    <row r="606" ht="15.75" customHeight="1">
      <c r="T606" s="7"/>
      <c r="U606" s="7"/>
      <c r="V606" s="7"/>
      <c r="W606" s="7"/>
      <c r="X606" s="7"/>
      <c r="Y606" s="7"/>
    </row>
    <row r="607" ht="15.75" customHeight="1">
      <c r="T607" s="7"/>
      <c r="U607" s="7"/>
      <c r="V607" s="7"/>
      <c r="W607" s="7"/>
      <c r="X607" s="7"/>
      <c r="Y607" s="7"/>
    </row>
    <row r="608" ht="15.75" customHeight="1">
      <c r="T608" s="7"/>
      <c r="U608" s="7"/>
      <c r="V608" s="7"/>
      <c r="W608" s="7"/>
      <c r="X608" s="7"/>
      <c r="Y608" s="7"/>
    </row>
    <row r="609" ht="15.75" customHeight="1">
      <c r="T609" s="7"/>
      <c r="U609" s="7"/>
      <c r="V609" s="7"/>
      <c r="W609" s="7"/>
      <c r="X609" s="7"/>
      <c r="Y609" s="7"/>
    </row>
    <row r="610" ht="15.75" customHeight="1">
      <c r="T610" s="7"/>
      <c r="U610" s="7"/>
      <c r="V610" s="7"/>
      <c r="W610" s="7"/>
      <c r="X610" s="7"/>
      <c r="Y610" s="7"/>
    </row>
    <row r="611" ht="15.75" customHeight="1">
      <c r="T611" s="7"/>
      <c r="U611" s="7"/>
      <c r="V611" s="7"/>
      <c r="W611" s="7"/>
      <c r="X611" s="7"/>
      <c r="Y611" s="7"/>
    </row>
    <row r="612" ht="15.75" customHeight="1">
      <c r="T612" s="7"/>
      <c r="U612" s="7"/>
      <c r="V612" s="7"/>
      <c r="W612" s="7"/>
      <c r="X612" s="7"/>
      <c r="Y612" s="7"/>
    </row>
    <row r="613" ht="15.75" customHeight="1">
      <c r="T613" s="7"/>
      <c r="U613" s="7"/>
      <c r="V613" s="7"/>
      <c r="W613" s="7"/>
      <c r="X613" s="7"/>
      <c r="Y613" s="7"/>
    </row>
    <row r="614" ht="15.75" customHeight="1">
      <c r="T614" s="7"/>
      <c r="U614" s="7"/>
      <c r="V614" s="7"/>
      <c r="W614" s="7"/>
      <c r="X614" s="7"/>
      <c r="Y614" s="7"/>
    </row>
    <row r="615" ht="15.75" customHeight="1">
      <c r="T615" s="7"/>
      <c r="U615" s="7"/>
      <c r="V615" s="7"/>
      <c r="W615" s="7"/>
      <c r="X615" s="7"/>
      <c r="Y615" s="7"/>
    </row>
    <row r="616" ht="15.75" customHeight="1">
      <c r="T616" s="7"/>
      <c r="U616" s="7"/>
      <c r="V616" s="7"/>
      <c r="W616" s="7"/>
      <c r="X616" s="7"/>
      <c r="Y616" s="7"/>
    </row>
    <row r="617" ht="15.75" customHeight="1">
      <c r="T617" s="7"/>
      <c r="U617" s="7"/>
      <c r="V617" s="7"/>
      <c r="W617" s="7"/>
      <c r="X617" s="7"/>
      <c r="Y617" s="7"/>
    </row>
    <row r="618" ht="15.75" customHeight="1">
      <c r="T618" s="7"/>
      <c r="U618" s="7"/>
      <c r="V618" s="7"/>
      <c r="W618" s="7"/>
      <c r="X618" s="7"/>
      <c r="Y618" s="7"/>
    </row>
    <row r="619" ht="15.75" customHeight="1">
      <c r="T619" s="7"/>
      <c r="U619" s="7"/>
      <c r="V619" s="7"/>
      <c r="W619" s="7"/>
      <c r="X619" s="7"/>
      <c r="Y619" s="7"/>
    </row>
    <row r="620" ht="15.75" customHeight="1">
      <c r="T620" s="7"/>
      <c r="U620" s="7"/>
      <c r="V620" s="7"/>
      <c r="W620" s="7"/>
      <c r="X620" s="7"/>
      <c r="Y620" s="7"/>
    </row>
    <row r="621" ht="15.75" customHeight="1">
      <c r="T621" s="7"/>
      <c r="U621" s="7"/>
      <c r="V621" s="7"/>
      <c r="W621" s="7"/>
      <c r="X621" s="7"/>
      <c r="Y621" s="7"/>
    </row>
    <row r="622" ht="15.75" customHeight="1">
      <c r="T622" s="7"/>
      <c r="U622" s="7"/>
      <c r="V622" s="7"/>
      <c r="W622" s="7"/>
      <c r="X622" s="7"/>
      <c r="Y622" s="7"/>
    </row>
    <row r="623" ht="15.75" customHeight="1">
      <c r="T623" s="7"/>
      <c r="U623" s="7"/>
      <c r="V623" s="7"/>
      <c r="W623" s="7"/>
      <c r="X623" s="7"/>
      <c r="Y623" s="7"/>
    </row>
    <row r="624" ht="15.75" customHeight="1">
      <c r="T624" s="7"/>
      <c r="U624" s="7"/>
      <c r="V624" s="7"/>
      <c r="W624" s="7"/>
      <c r="X624" s="7"/>
      <c r="Y624" s="7"/>
    </row>
    <row r="625" ht="15.75" customHeight="1">
      <c r="T625" s="7"/>
      <c r="U625" s="7"/>
      <c r="V625" s="7"/>
      <c r="W625" s="7"/>
      <c r="X625" s="7"/>
      <c r="Y625" s="7"/>
    </row>
    <row r="626" ht="15.75" customHeight="1">
      <c r="T626" s="7"/>
      <c r="U626" s="7"/>
      <c r="V626" s="7"/>
      <c r="W626" s="7"/>
      <c r="X626" s="7"/>
      <c r="Y626" s="7"/>
    </row>
    <row r="627" ht="15.75" customHeight="1">
      <c r="T627" s="7"/>
      <c r="U627" s="7"/>
      <c r="V627" s="7"/>
      <c r="W627" s="7"/>
      <c r="X627" s="7"/>
      <c r="Y627" s="7"/>
    </row>
    <row r="628" ht="15.75" customHeight="1">
      <c r="T628" s="7"/>
      <c r="U628" s="7"/>
      <c r="V628" s="7"/>
      <c r="W628" s="7"/>
      <c r="X628" s="7"/>
      <c r="Y628" s="7"/>
    </row>
    <row r="629" ht="15.75" customHeight="1">
      <c r="T629" s="7"/>
      <c r="U629" s="7"/>
      <c r="V629" s="7"/>
      <c r="W629" s="7"/>
      <c r="X629" s="7"/>
      <c r="Y629" s="7"/>
    </row>
    <row r="630" ht="15.75" customHeight="1">
      <c r="T630" s="7"/>
      <c r="U630" s="7"/>
      <c r="V630" s="7"/>
      <c r="W630" s="7"/>
      <c r="X630" s="7"/>
      <c r="Y630" s="7"/>
    </row>
    <row r="631" ht="15.75" customHeight="1">
      <c r="T631" s="7"/>
      <c r="U631" s="7"/>
      <c r="V631" s="7"/>
      <c r="W631" s="7"/>
      <c r="X631" s="7"/>
      <c r="Y631" s="7"/>
    </row>
    <row r="632" ht="15.75" customHeight="1">
      <c r="T632" s="7"/>
      <c r="U632" s="7"/>
      <c r="V632" s="7"/>
      <c r="W632" s="7"/>
      <c r="X632" s="7"/>
      <c r="Y632" s="7"/>
    </row>
    <row r="633" ht="15.75" customHeight="1">
      <c r="T633" s="7"/>
      <c r="U633" s="7"/>
      <c r="V633" s="7"/>
      <c r="W633" s="7"/>
      <c r="X633" s="7"/>
      <c r="Y633" s="7"/>
    </row>
    <row r="634" ht="15.75" customHeight="1">
      <c r="T634" s="7"/>
      <c r="U634" s="7"/>
      <c r="V634" s="7"/>
      <c r="W634" s="7"/>
      <c r="X634" s="7"/>
      <c r="Y634" s="7"/>
    </row>
    <row r="635" ht="15.75" customHeight="1">
      <c r="T635" s="7"/>
      <c r="U635" s="7"/>
      <c r="V635" s="7"/>
      <c r="W635" s="7"/>
      <c r="X635" s="7"/>
      <c r="Y635" s="7"/>
    </row>
    <row r="636" ht="15.75" customHeight="1">
      <c r="T636" s="7"/>
      <c r="U636" s="7"/>
      <c r="V636" s="7"/>
      <c r="W636" s="7"/>
      <c r="X636" s="7"/>
      <c r="Y636" s="7"/>
    </row>
    <row r="637" ht="15.75" customHeight="1">
      <c r="T637" s="7"/>
      <c r="U637" s="7"/>
      <c r="V637" s="7"/>
      <c r="W637" s="7"/>
      <c r="X637" s="7"/>
      <c r="Y637" s="7"/>
    </row>
    <row r="638" ht="15.75" customHeight="1">
      <c r="T638" s="7"/>
      <c r="U638" s="7"/>
      <c r="V638" s="7"/>
      <c r="W638" s="7"/>
      <c r="X638" s="7"/>
      <c r="Y638" s="7"/>
    </row>
    <row r="639" ht="15.75" customHeight="1">
      <c r="T639" s="7"/>
      <c r="U639" s="7"/>
      <c r="V639" s="7"/>
      <c r="W639" s="7"/>
      <c r="X639" s="7"/>
      <c r="Y639" s="7"/>
    </row>
    <row r="640" ht="15.75" customHeight="1">
      <c r="T640" s="7"/>
      <c r="U640" s="7"/>
      <c r="V640" s="7"/>
      <c r="W640" s="7"/>
      <c r="X640" s="7"/>
      <c r="Y640" s="7"/>
    </row>
    <row r="641" ht="15.75" customHeight="1">
      <c r="T641" s="7"/>
      <c r="U641" s="7"/>
      <c r="V641" s="7"/>
      <c r="W641" s="7"/>
      <c r="X641" s="7"/>
      <c r="Y641" s="7"/>
    </row>
    <row r="642" ht="15.75" customHeight="1">
      <c r="T642" s="7"/>
      <c r="U642" s="7"/>
      <c r="V642" s="7"/>
      <c r="W642" s="7"/>
      <c r="X642" s="7"/>
      <c r="Y642" s="7"/>
    </row>
    <row r="643" ht="15.75" customHeight="1">
      <c r="T643" s="7"/>
      <c r="U643" s="7"/>
      <c r="V643" s="7"/>
      <c r="W643" s="7"/>
      <c r="X643" s="7"/>
      <c r="Y643" s="7"/>
    </row>
    <row r="644" ht="15.75" customHeight="1">
      <c r="T644" s="7"/>
      <c r="U644" s="7"/>
      <c r="V644" s="7"/>
      <c r="W644" s="7"/>
      <c r="X644" s="7"/>
      <c r="Y644" s="7"/>
    </row>
    <row r="645" ht="15.75" customHeight="1">
      <c r="T645" s="7"/>
      <c r="U645" s="7"/>
      <c r="V645" s="7"/>
      <c r="W645" s="7"/>
      <c r="X645" s="7"/>
      <c r="Y645" s="7"/>
    </row>
    <row r="646" ht="15.75" customHeight="1">
      <c r="T646" s="7"/>
      <c r="U646" s="7"/>
      <c r="V646" s="7"/>
      <c r="W646" s="7"/>
      <c r="X646" s="7"/>
      <c r="Y646" s="7"/>
    </row>
    <row r="647" ht="15.75" customHeight="1">
      <c r="T647" s="7"/>
      <c r="U647" s="7"/>
      <c r="V647" s="7"/>
      <c r="W647" s="7"/>
      <c r="X647" s="7"/>
      <c r="Y647" s="7"/>
    </row>
    <row r="648" ht="15.75" customHeight="1">
      <c r="T648" s="7"/>
      <c r="U648" s="7"/>
      <c r="V648" s="7"/>
      <c r="W648" s="7"/>
      <c r="X648" s="7"/>
      <c r="Y648" s="7"/>
    </row>
    <row r="649" ht="15.75" customHeight="1">
      <c r="T649" s="7"/>
      <c r="U649" s="7"/>
      <c r="V649" s="7"/>
      <c r="W649" s="7"/>
      <c r="X649" s="7"/>
      <c r="Y649" s="7"/>
    </row>
    <row r="650" ht="15.75" customHeight="1">
      <c r="T650" s="7"/>
      <c r="U650" s="7"/>
      <c r="V650" s="7"/>
      <c r="W650" s="7"/>
      <c r="X650" s="7"/>
      <c r="Y650" s="7"/>
    </row>
    <row r="651" ht="15.75" customHeight="1">
      <c r="T651" s="7"/>
      <c r="U651" s="7"/>
      <c r="V651" s="7"/>
      <c r="W651" s="7"/>
      <c r="X651" s="7"/>
      <c r="Y651" s="7"/>
    </row>
    <row r="652" ht="15.75" customHeight="1">
      <c r="T652" s="7"/>
      <c r="U652" s="7"/>
      <c r="V652" s="7"/>
      <c r="W652" s="7"/>
      <c r="X652" s="7"/>
      <c r="Y652" s="7"/>
    </row>
    <row r="653" ht="15.75" customHeight="1">
      <c r="T653" s="7"/>
      <c r="U653" s="7"/>
      <c r="V653" s="7"/>
      <c r="W653" s="7"/>
      <c r="X653" s="7"/>
      <c r="Y653" s="7"/>
    </row>
    <row r="654" ht="15.75" customHeight="1">
      <c r="T654" s="7"/>
      <c r="U654" s="7"/>
      <c r="V654" s="7"/>
      <c r="W654" s="7"/>
      <c r="X654" s="7"/>
      <c r="Y654" s="7"/>
    </row>
    <row r="655" ht="15.75" customHeight="1">
      <c r="T655" s="7"/>
      <c r="U655" s="7"/>
      <c r="V655" s="7"/>
      <c r="W655" s="7"/>
      <c r="X655" s="7"/>
      <c r="Y655" s="7"/>
    </row>
    <row r="656" ht="15.75" customHeight="1">
      <c r="T656" s="7"/>
      <c r="U656" s="7"/>
      <c r="V656" s="7"/>
      <c r="W656" s="7"/>
      <c r="X656" s="7"/>
      <c r="Y656" s="7"/>
    </row>
    <row r="657" ht="15.75" customHeight="1">
      <c r="T657" s="7"/>
      <c r="U657" s="7"/>
      <c r="V657" s="7"/>
      <c r="W657" s="7"/>
      <c r="X657" s="7"/>
      <c r="Y657" s="7"/>
    </row>
    <row r="658" ht="15.75" customHeight="1">
      <c r="T658" s="7"/>
      <c r="U658" s="7"/>
      <c r="V658" s="7"/>
      <c r="W658" s="7"/>
      <c r="X658" s="7"/>
      <c r="Y658" s="7"/>
    </row>
    <row r="659" ht="15.75" customHeight="1">
      <c r="T659" s="7"/>
      <c r="U659" s="7"/>
      <c r="V659" s="7"/>
      <c r="W659" s="7"/>
      <c r="X659" s="7"/>
      <c r="Y659" s="7"/>
    </row>
    <row r="660" ht="15.75" customHeight="1">
      <c r="T660" s="7"/>
      <c r="U660" s="7"/>
      <c r="V660" s="7"/>
      <c r="W660" s="7"/>
      <c r="X660" s="7"/>
      <c r="Y660" s="7"/>
    </row>
    <row r="661" ht="15.75" customHeight="1">
      <c r="T661" s="7"/>
      <c r="U661" s="7"/>
      <c r="V661" s="7"/>
      <c r="W661" s="7"/>
      <c r="X661" s="7"/>
      <c r="Y661" s="7"/>
    </row>
    <row r="662" ht="15.75" customHeight="1">
      <c r="T662" s="7"/>
      <c r="U662" s="7"/>
      <c r="V662" s="7"/>
      <c r="W662" s="7"/>
      <c r="X662" s="7"/>
      <c r="Y662" s="7"/>
    </row>
    <row r="663" ht="15.75" customHeight="1">
      <c r="T663" s="7"/>
      <c r="U663" s="7"/>
      <c r="V663" s="7"/>
      <c r="W663" s="7"/>
      <c r="X663" s="7"/>
      <c r="Y663" s="7"/>
    </row>
    <row r="664" ht="15.75" customHeight="1">
      <c r="T664" s="7"/>
      <c r="U664" s="7"/>
      <c r="V664" s="7"/>
      <c r="W664" s="7"/>
      <c r="X664" s="7"/>
      <c r="Y664" s="7"/>
    </row>
    <row r="665" ht="15.75" customHeight="1">
      <c r="T665" s="7"/>
      <c r="U665" s="7"/>
      <c r="V665" s="7"/>
      <c r="W665" s="7"/>
      <c r="X665" s="7"/>
      <c r="Y665" s="7"/>
    </row>
    <row r="666" ht="15.75" customHeight="1">
      <c r="T666" s="7"/>
      <c r="U666" s="7"/>
      <c r="V666" s="7"/>
      <c r="W666" s="7"/>
      <c r="X666" s="7"/>
      <c r="Y666" s="7"/>
    </row>
    <row r="667" ht="15.75" customHeight="1">
      <c r="T667" s="7"/>
      <c r="U667" s="7"/>
      <c r="V667" s="7"/>
      <c r="W667" s="7"/>
      <c r="X667" s="7"/>
      <c r="Y667" s="7"/>
    </row>
    <row r="668" ht="15.75" customHeight="1">
      <c r="T668" s="7"/>
      <c r="U668" s="7"/>
      <c r="V668" s="7"/>
      <c r="W668" s="7"/>
      <c r="X668" s="7"/>
      <c r="Y668" s="7"/>
    </row>
    <row r="669" ht="15.75" customHeight="1">
      <c r="T669" s="7"/>
      <c r="U669" s="7"/>
      <c r="V669" s="7"/>
      <c r="W669" s="7"/>
      <c r="X669" s="7"/>
      <c r="Y669" s="7"/>
    </row>
    <row r="670" ht="15.75" customHeight="1">
      <c r="T670" s="7"/>
      <c r="U670" s="7"/>
      <c r="V670" s="7"/>
      <c r="W670" s="7"/>
      <c r="X670" s="7"/>
      <c r="Y670" s="7"/>
    </row>
    <row r="671" ht="15.75" customHeight="1">
      <c r="T671" s="7"/>
      <c r="U671" s="7"/>
      <c r="V671" s="7"/>
      <c r="W671" s="7"/>
      <c r="X671" s="7"/>
      <c r="Y671" s="7"/>
    </row>
    <row r="672" ht="15.75" customHeight="1">
      <c r="T672" s="7"/>
      <c r="U672" s="7"/>
      <c r="V672" s="7"/>
      <c r="W672" s="7"/>
      <c r="X672" s="7"/>
      <c r="Y672" s="7"/>
    </row>
    <row r="673" ht="15.75" customHeight="1">
      <c r="T673" s="7"/>
      <c r="U673" s="7"/>
      <c r="V673" s="7"/>
      <c r="W673" s="7"/>
      <c r="X673" s="7"/>
      <c r="Y673" s="7"/>
    </row>
    <row r="674" ht="15.75" customHeight="1">
      <c r="T674" s="7"/>
      <c r="U674" s="7"/>
      <c r="V674" s="7"/>
      <c r="W674" s="7"/>
      <c r="X674" s="7"/>
      <c r="Y674" s="7"/>
    </row>
    <row r="675" ht="15.75" customHeight="1">
      <c r="T675" s="7"/>
      <c r="U675" s="7"/>
      <c r="V675" s="7"/>
      <c r="W675" s="7"/>
      <c r="X675" s="7"/>
      <c r="Y675" s="7"/>
    </row>
    <row r="676" ht="15.75" customHeight="1">
      <c r="T676" s="7"/>
      <c r="U676" s="7"/>
      <c r="V676" s="7"/>
      <c r="W676" s="7"/>
      <c r="X676" s="7"/>
      <c r="Y676" s="7"/>
    </row>
    <row r="677" ht="15.75" customHeight="1">
      <c r="T677" s="7"/>
      <c r="U677" s="7"/>
      <c r="V677" s="7"/>
      <c r="W677" s="7"/>
      <c r="X677" s="7"/>
      <c r="Y677" s="7"/>
    </row>
    <row r="678" ht="15.75" customHeight="1">
      <c r="T678" s="7"/>
      <c r="U678" s="7"/>
      <c r="V678" s="7"/>
      <c r="W678" s="7"/>
      <c r="X678" s="7"/>
      <c r="Y678" s="7"/>
    </row>
    <row r="679" ht="15.75" customHeight="1">
      <c r="T679" s="7"/>
      <c r="U679" s="7"/>
      <c r="V679" s="7"/>
      <c r="W679" s="7"/>
      <c r="X679" s="7"/>
      <c r="Y679" s="7"/>
    </row>
    <row r="680" ht="15.75" customHeight="1">
      <c r="T680" s="7"/>
      <c r="U680" s="7"/>
      <c r="V680" s="7"/>
      <c r="W680" s="7"/>
      <c r="X680" s="7"/>
      <c r="Y680" s="7"/>
    </row>
    <row r="681" ht="15.75" customHeight="1">
      <c r="T681" s="7"/>
      <c r="U681" s="7"/>
      <c r="V681" s="7"/>
      <c r="W681" s="7"/>
      <c r="X681" s="7"/>
      <c r="Y681" s="7"/>
    </row>
    <row r="682" ht="15.75" customHeight="1">
      <c r="T682" s="7"/>
      <c r="U682" s="7"/>
      <c r="V682" s="7"/>
      <c r="W682" s="7"/>
      <c r="X682" s="7"/>
      <c r="Y682" s="7"/>
    </row>
    <row r="683" ht="15.75" customHeight="1">
      <c r="T683" s="7"/>
      <c r="U683" s="7"/>
      <c r="V683" s="7"/>
      <c r="W683" s="7"/>
      <c r="X683" s="7"/>
      <c r="Y683" s="7"/>
    </row>
    <row r="684" ht="15.75" customHeight="1">
      <c r="T684" s="7"/>
      <c r="U684" s="7"/>
      <c r="V684" s="7"/>
      <c r="W684" s="7"/>
      <c r="X684" s="7"/>
      <c r="Y684" s="7"/>
    </row>
    <row r="685" ht="15.75" customHeight="1">
      <c r="T685" s="7"/>
      <c r="U685" s="7"/>
      <c r="V685" s="7"/>
      <c r="W685" s="7"/>
      <c r="X685" s="7"/>
      <c r="Y685" s="7"/>
    </row>
    <row r="686" ht="15.75" customHeight="1">
      <c r="T686" s="7"/>
      <c r="U686" s="7"/>
      <c r="V686" s="7"/>
      <c r="W686" s="7"/>
      <c r="X686" s="7"/>
      <c r="Y686" s="7"/>
    </row>
    <row r="687" ht="15.75" customHeight="1">
      <c r="T687" s="7"/>
      <c r="U687" s="7"/>
      <c r="V687" s="7"/>
      <c r="W687" s="7"/>
      <c r="X687" s="7"/>
      <c r="Y687" s="7"/>
    </row>
    <row r="688" ht="15.75" customHeight="1">
      <c r="T688" s="7"/>
      <c r="U688" s="7"/>
      <c r="V688" s="7"/>
      <c r="W688" s="7"/>
      <c r="X688" s="7"/>
      <c r="Y688" s="7"/>
    </row>
    <row r="689" ht="15.75" customHeight="1">
      <c r="T689" s="7"/>
      <c r="U689" s="7"/>
      <c r="V689" s="7"/>
      <c r="W689" s="7"/>
      <c r="X689" s="7"/>
      <c r="Y689" s="7"/>
    </row>
    <row r="690" ht="15.75" customHeight="1">
      <c r="T690" s="7"/>
      <c r="U690" s="7"/>
      <c r="V690" s="7"/>
      <c r="W690" s="7"/>
      <c r="X690" s="7"/>
      <c r="Y690" s="7"/>
    </row>
    <row r="691" ht="15.75" customHeight="1">
      <c r="T691" s="7"/>
      <c r="U691" s="7"/>
      <c r="V691" s="7"/>
      <c r="W691" s="7"/>
      <c r="X691" s="7"/>
      <c r="Y691" s="7"/>
    </row>
    <row r="692" ht="15.75" customHeight="1">
      <c r="T692" s="7"/>
      <c r="U692" s="7"/>
      <c r="V692" s="7"/>
      <c r="W692" s="7"/>
      <c r="X692" s="7"/>
      <c r="Y692" s="7"/>
    </row>
    <row r="693" ht="15.75" customHeight="1">
      <c r="T693" s="7"/>
      <c r="U693" s="7"/>
      <c r="V693" s="7"/>
      <c r="W693" s="7"/>
      <c r="X693" s="7"/>
      <c r="Y693" s="7"/>
    </row>
    <row r="694" ht="15.75" customHeight="1">
      <c r="T694" s="7"/>
      <c r="U694" s="7"/>
      <c r="V694" s="7"/>
      <c r="W694" s="7"/>
      <c r="X694" s="7"/>
      <c r="Y694" s="7"/>
    </row>
    <row r="695" ht="15.75" customHeight="1">
      <c r="T695" s="7"/>
      <c r="U695" s="7"/>
      <c r="V695" s="7"/>
      <c r="W695" s="7"/>
      <c r="X695" s="7"/>
      <c r="Y695" s="7"/>
    </row>
    <row r="696" ht="15.75" customHeight="1">
      <c r="T696" s="7"/>
      <c r="U696" s="7"/>
      <c r="V696" s="7"/>
      <c r="W696" s="7"/>
      <c r="X696" s="7"/>
      <c r="Y696" s="7"/>
    </row>
    <row r="697" ht="15.75" customHeight="1">
      <c r="T697" s="7"/>
      <c r="U697" s="7"/>
      <c r="V697" s="7"/>
      <c r="W697" s="7"/>
      <c r="X697" s="7"/>
      <c r="Y697" s="7"/>
    </row>
    <row r="698" ht="15.75" customHeight="1">
      <c r="T698" s="7"/>
      <c r="U698" s="7"/>
      <c r="V698" s="7"/>
      <c r="W698" s="7"/>
      <c r="X698" s="7"/>
      <c r="Y698" s="7"/>
    </row>
    <row r="699" ht="15.75" customHeight="1">
      <c r="T699" s="7"/>
      <c r="U699" s="7"/>
      <c r="V699" s="7"/>
      <c r="W699" s="7"/>
      <c r="X699" s="7"/>
      <c r="Y699" s="7"/>
    </row>
    <row r="700" ht="15.75" customHeight="1">
      <c r="T700" s="7"/>
      <c r="U700" s="7"/>
      <c r="V700" s="7"/>
      <c r="W700" s="7"/>
      <c r="X700" s="7"/>
      <c r="Y700" s="7"/>
    </row>
    <row r="701" ht="15.75" customHeight="1">
      <c r="T701" s="7"/>
      <c r="U701" s="7"/>
      <c r="V701" s="7"/>
      <c r="W701" s="7"/>
      <c r="X701" s="7"/>
      <c r="Y701" s="7"/>
    </row>
    <row r="702" ht="15.75" customHeight="1">
      <c r="T702" s="7"/>
      <c r="U702" s="7"/>
      <c r="V702" s="7"/>
      <c r="W702" s="7"/>
      <c r="X702" s="7"/>
      <c r="Y702" s="7"/>
    </row>
    <row r="703" ht="15.75" customHeight="1">
      <c r="T703" s="7"/>
      <c r="U703" s="7"/>
      <c r="V703" s="7"/>
      <c r="W703" s="7"/>
      <c r="X703" s="7"/>
      <c r="Y703" s="7"/>
    </row>
    <row r="704" ht="15.75" customHeight="1">
      <c r="T704" s="7"/>
      <c r="U704" s="7"/>
      <c r="V704" s="7"/>
      <c r="W704" s="7"/>
      <c r="X704" s="7"/>
      <c r="Y704" s="7"/>
    </row>
    <row r="705" ht="15.75" customHeight="1">
      <c r="T705" s="7"/>
      <c r="U705" s="7"/>
      <c r="V705" s="7"/>
      <c r="W705" s="7"/>
      <c r="X705" s="7"/>
      <c r="Y705" s="7"/>
    </row>
    <row r="706" ht="15.75" customHeight="1">
      <c r="T706" s="7"/>
      <c r="U706" s="7"/>
      <c r="V706" s="7"/>
      <c r="W706" s="7"/>
      <c r="X706" s="7"/>
      <c r="Y706" s="7"/>
    </row>
    <row r="707" ht="15.75" customHeight="1">
      <c r="T707" s="7"/>
      <c r="U707" s="7"/>
      <c r="V707" s="7"/>
      <c r="W707" s="7"/>
      <c r="X707" s="7"/>
      <c r="Y707" s="7"/>
    </row>
    <row r="708" ht="15.75" customHeight="1">
      <c r="T708" s="7"/>
      <c r="U708" s="7"/>
      <c r="V708" s="7"/>
      <c r="W708" s="7"/>
      <c r="X708" s="7"/>
      <c r="Y708" s="7"/>
    </row>
    <row r="709" ht="15.75" customHeight="1">
      <c r="T709" s="7"/>
      <c r="U709" s="7"/>
      <c r="V709" s="7"/>
      <c r="W709" s="7"/>
      <c r="X709" s="7"/>
      <c r="Y709" s="7"/>
    </row>
    <row r="710" ht="15.75" customHeight="1">
      <c r="T710" s="7"/>
      <c r="U710" s="7"/>
      <c r="V710" s="7"/>
      <c r="W710" s="7"/>
      <c r="X710" s="7"/>
      <c r="Y710" s="7"/>
    </row>
    <row r="711" ht="15.75" customHeight="1">
      <c r="T711" s="7"/>
      <c r="U711" s="7"/>
      <c r="V711" s="7"/>
      <c r="W711" s="7"/>
      <c r="X711" s="7"/>
      <c r="Y711" s="7"/>
    </row>
    <row r="712" ht="15.75" customHeight="1">
      <c r="T712" s="7"/>
      <c r="U712" s="7"/>
      <c r="V712" s="7"/>
      <c r="W712" s="7"/>
      <c r="X712" s="7"/>
      <c r="Y712" s="7"/>
    </row>
    <row r="713" ht="15.75" customHeight="1">
      <c r="T713" s="7"/>
      <c r="U713" s="7"/>
      <c r="V713" s="7"/>
      <c r="W713" s="7"/>
      <c r="X713" s="7"/>
      <c r="Y713" s="7"/>
    </row>
    <row r="714" ht="15.75" customHeight="1">
      <c r="T714" s="7"/>
      <c r="U714" s="7"/>
      <c r="V714" s="7"/>
      <c r="W714" s="7"/>
      <c r="X714" s="7"/>
      <c r="Y714" s="7"/>
    </row>
    <row r="715" ht="15.75" customHeight="1">
      <c r="T715" s="7"/>
      <c r="U715" s="7"/>
      <c r="V715" s="7"/>
      <c r="W715" s="7"/>
      <c r="X715" s="7"/>
      <c r="Y715" s="7"/>
    </row>
    <row r="716" ht="15.75" customHeight="1">
      <c r="T716" s="7"/>
      <c r="U716" s="7"/>
      <c r="V716" s="7"/>
      <c r="W716" s="7"/>
      <c r="X716" s="7"/>
      <c r="Y716" s="7"/>
    </row>
    <row r="717" ht="15.75" customHeight="1">
      <c r="T717" s="7"/>
      <c r="U717" s="7"/>
      <c r="V717" s="7"/>
      <c r="W717" s="7"/>
      <c r="X717" s="7"/>
      <c r="Y717" s="7"/>
    </row>
    <row r="718" ht="15.75" customHeight="1">
      <c r="T718" s="7"/>
      <c r="U718" s="7"/>
      <c r="V718" s="7"/>
      <c r="W718" s="7"/>
      <c r="X718" s="7"/>
      <c r="Y718" s="7"/>
    </row>
    <row r="719" ht="15.75" customHeight="1">
      <c r="T719" s="7"/>
      <c r="U719" s="7"/>
      <c r="V719" s="7"/>
      <c r="W719" s="7"/>
      <c r="X719" s="7"/>
      <c r="Y719" s="7"/>
    </row>
    <row r="720" ht="15.75" customHeight="1">
      <c r="T720" s="7"/>
      <c r="U720" s="7"/>
      <c r="V720" s="7"/>
      <c r="W720" s="7"/>
      <c r="X720" s="7"/>
      <c r="Y720" s="7"/>
    </row>
    <row r="721" ht="15.75" customHeight="1">
      <c r="T721" s="7"/>
      <c r="U721" s="7"/>
      <c r="V721" s="7"/>
      <c r="W721" s="7"/>
      <c r="X721" s="7"/>
      <c r="Y721" s="7"/>
    </row>
    <row r="722" ht="15.75" customHeight="1">
      <c r="T722" s="7"/>
      <c r="U722" s="7"/>
      <c r="V722" s="7"/>
      <c r="W722" s="7"/>
      <c r="X722" s="7"/>
      <c r="Y722" s="7"/>
    </row>
    <row r="723" ht="15.75" customHeight="1">
      <c r="T723" s="7"/>
      <c r="U723" s="7"/>
      <c r="V723" s="7"/>
      <c r="W723" s="7"/>
      <c r="X723" s="7"/>
      <c r="Y723" s="7"/>
    </row>
    <row r="724" ht="15.75" customHeight="1">
      <c r="T724" s="7"/>
      <c r="U724" s="7"/>
      <c r="V724" s="7"/>
      <c r="W724" s="7"/>
      <c r="X724" s="7"/>
      <c r="Y724" s="7"/>
    </row>
    <row r="725" ht="15.75" customHeight="1">
      <c r="T725" s="7"/>
      <c r="U725" s="7"/>
      <c r="V725" s="7"/>
      <c r="W725" s="7"/>
      <c r="X725" s="7"/>
      <c r="Y725" s="7"/>
    </row>
    <row r="726" ht="15.75" customHeight="1">
      <c r="T726" s="7"/>
      <c r="U726" s="7"/>
      <c r="V726" s="7"/>
      <c r="W726" s="7"/>
      <c r="X726" s="7"/>
      <c r="Y726" s="7"/>
    </row>
    <row r="727" ht="15.75" customHeight="1">
      <c r="T727" s="7"/>
      <c r="U727" s="7"/>
      <c r="V727" s="7"/>
      <c r="W727" s="7"/>
      <c r="X727" s="7"/>
      <c r="Y727" s="7"/>
    </row>
    <row r="728" ht="15.75" customHeight="1">
      <c r="T728" s="7"/>
      <c r="U728" s="7"/>
      <c r="V728" s="7"/>
      <c r="W728" s="7"/>
      <c r="X728" s="7"/>
      <c r="Y728" s="7"/>
    </row>
    <row r="729" ht="15.75" customHeight="1">
      <c r="T729" s="7"/>
      <c r="U729" s="7"/>
      <c r="V729" s="7"/>
      <c r="W729" s="7"/>
      <c r="X729" s="7"/>
      <c r="Y729" s="7"/>
    </row>
    <row r="730" ht="15.75" customHeight="1">
      <c r="T730" s="7"/>
      <c r="U730" s="7"/>
      <c r="V730" s="7"/>
      <c r="W730" s="7"/>
      <c r="X730" s="7"/>
      <c r="Y730" s="7"/>
    </row>
    <row r="731" ht="15.75" customHeight="1">
      <c r="T731" s="7"/>
      <c r="U731" s="7"/>
      <c r="V731" s="7"/>
      <c r="W731" s="7"/>
      <c r="X731" s="7"/>
      <c r="Y731" s="7"/>
    </row>
    <row r="732" ht="15.75" customHeight="1">
      <c r="T732" s="7"/>
      <c r="U732" s="7"/>
      <c r="V732" s="7"/>
      <c r="W732" s="7"/>
      <c r="X732" s="7"/>
      <c r="Y732" s="7"/>
    </row>
    <row r="733" ht="15.75" customHeight="1">
      <c r="T733" s="7"/>
      <c r="U733" s="7"/>
      <c r="V733" s="7"/>
      <c r="W733" s="7"/>
      <c r="X733" s="7"/>
      <c r="Y733" s="7"/>
    </row>
    <row r="734" ht="15.75" customHeight="1">
      <c r="T734" s="7"/>
      <c r="U734" s="7"/>
      <c r="V734" s="7"/>
      <c r="W734" s="7"/>
      <c r="X734" s="7"/>
      <c r="Y734" s="7"/>
    </row>
    <row r="735" ht="15.75" customHeight="1">
      <c r="T735" s="7"/>
      <c r="U735" s="7"/>
      <c r="V735" s="7"/>
      <c r="W735" s="7"/>
      <c r="X735" s="7"/>
      <c r="Y735" s="7"/>
    </row>
    <row r="736" ht="15.75" customHeight="1">
      <c r="T736" s="7"/>
      <c r="U736" s="7"/>
      <c r="V736" s="7"/>
      <c r="W736" s="7"/>
      <c r="X736" s="7"/>
      <c r="Y736" s="7"/>
    </row>
    <row r="737" ht="15.75" customHeight="1">
      <c r="T737" s="7"/>
      <c r="U737" s="7"/>
      <c r="V737" s="7"/>
      <c r="W737" s="7"/>
      <c r="X737" s="7"/>
      <c r="Y737" s="7"/>
    </row>
    <row r="738" ht="15.75" customHeight="1">
      <c r="T738" s="7"/>
      <c r="U738" s="7"/>
      <c r="V738" s="7"/>
      <c r="W738" s="7"/>
      <c r="X738" s="7"/>
      <c r="Y738" s="7"/>
    </row>
    <row r="739" ht="15.75" customHeight="1">
      <c r="T739" s="7"/>
      <c r="U739" s="7"/>
      <c r="V739" s="7"/>
      <c r="W739" s="7"/>
      <c r="X739" s="7"/>
      <c r="Y739" s="7"/>
    </row>
    <row r="740" ht="15.75" customHeight="1">
      <c r="T740" s="7"/>
      <c r="U740" s="7"/>
      <c r="V740" s="7"/>
      <c r="W740" s="7"/>
      <c r="X740" s="7"/>
      <c r="Y740" s="7"/>
    </row>
    <row r="741" ht="15.75" customHeight="1">
      <c r="T741" s="7"/>
      <c r="U741" s="7"/>
      <c r="V741" s="7"/>
      <c r="W741" s="7"/>
      <c r="X741" s="7"/>
      <c r="Y741" s="7"/>
    </row>
    <row r="742" ht="15.75" customHeight="1">
      <c r="T742" s="7"/>
      <c r="U742" s="7"/>
      <c r="V742" s="7"/>
      <c r="W742" s="7"/>
      <c r="X742" s="7"/>
      <c r="Y742" s="7"/>
    </row>
    <row r="743" ht="15.75" customHeight="1">
      <c r="T743" s="7"/>
      <c r="U743" s="7"/>
      <c r="V743" s="7"/>
      <c r="W743" s="7"/>
      <c r="X743" s="7"/>
      <c r="Y743" s="7"/>
    </row>
    <row r="744" ht="15.75" customHeight="1">
      <c r="T744" s="7"/>
      <c r="U744" s="7"/>
      <c r="V744" s="7"/>
      <c r="W744" s="7"/>
      <c r="X744" s="7"/>
      <c r="Y744" s="7"/>
    </row>
    <row r="745" ht="15.75" customHeight="1">
      <c r="T745" s="7"/>
      <c r="U745" s="7"/>
      <c r="V745" s="7"/>
      <c r="W745" s="7"/>
      <c r="X745" s="7"/>
      <c r="Y745" s="7"/>
    </row>
    <row r="746" ht="15.75" customHeight="1">
      <c r="T746" s="7"/>
      <c r="U746" s="7"/>
      <c r="V746" s="7"/>
      <c r="W746" s="7"/>
      <c r="X746" s="7"/>
      <c r="Y746" s="7"/>
    </row>
    <row r="747" ht="15.75" customHeight="1">
      <c r="T747" s="7"/>
      <c r="U747" s="7"/>
      <c r="V747" s="7"/>
      <c r="W747" s="7"/>
      <c r="X747" s="7"/>
      <c r="Y747" s="7"/>
    </row>
    <row r="748" ht="15.75" customHeight="1">
      <c r="T748" s="7"/>
      <c r="U748" s="7"/>
      <c r="V748" s="7"/>
      <c r="W748" s="7"/>
      <c r="X748" s="7"/>
      <c r="Y748" s="7"/>
    </row>
    <row r="749" ht="15.75" customHeight="1">
      <c r="T749" s="7"/>
      <c r="U749" s="7"/>
      <c r="V749" s="7"/>
      <c r="W749" s="7"/>
      <c r="X749" s="7"/>
      <c r="Y749" s="7"/>
    </row>
    <row r="750" ht="15.75" customHeight="1">
      <c r="T750" s="7"/>
      <c r="U750" s="7"/>
      <c r="V750" s="7"/>
      <c r="W750" s="7"/>
      <c r="X750" s="7"/>
      <c r="Y750" s="7"/>
    </row>
    <row r="751" ht="15.75" customHeight="1">
      <c r="T751" s="7"/>
      <c r="U751" s="7"/>
      <c r="V751" s="7"/>
      <c r="W751" s="7"/>
      <c r="X751" s="7"/>
      <c r="Y751" s="7"/>
    </row>
    <row r="752" ht="15.75" customHeight="1">
      <c r="T752" s="7"/>
      <c r="U752" s="7"/>
      <c r="V752" s="7"/>
      <c r="W752" s="7"/>
      <c r="X752" s="7"/>
      <c r="Y752" s="7"/>
    </row>
    <row r="753" ht="15.75" customHeight="1">
      <c r="T753" s="7"/>
      <c r="U753" s="7"/>
      <c r="V753" s="7"/>
      <c r="W753" s="7"/>
      <c r="X753" s="7"/>
      <c r="Y753" s="7"/>
    </row>
    <row r="754" ht="15.75" customHeight="1">
      <c r="T754" s="7"/>
      <c r="U754" s="7"/>
      <c r="V754" s="7"/>
      <c r="W754" s="7"/>
      <c r="X754" s="7"/>
      <c r="Y754" s="7"/>
    </row>
    <row r="755" ht="15.75" customHeight="1">
      <c r="T755" s="7"/>
      <c r="U755" s="7"/>
      <c r="V755" s="7"/>
      <c r="W755" s="7"/>
      <c r="X755" s="7"/>
      <c r="Y755" s="7"/>
    </row>
    <row r="756" ht="15.75" customHeight="1">
      <c r="T756" s="7"/>
      <c r="U756" s="7"/>
      <c r="V756" s="7"/>
      <c r="W756" s="7"/>
      <c r="X756" s="7"/>
      <c r="Y756" s="7"/>
    </row>
    <row r="757" ht="15.75" customHeight="1">
      <c r="T757" s="7"/>
      <c r="U757" s="7"/>
      <c r="V757" s="7"/>
      <c r="W757" s="7"/>
      <c r="X757" s="7"/>
      <c r="Y757" s="7"/>
    </row>
    <row r="758" ht="15.75" customHeight="1">
      <c r="T758" s="7"/>
      <c r="U758" s="7"/>
      <c r="V758" s="7"/>
      <c r="W758" s="7"/>
      <c r="X758" s="7"/>
      <c r="Y758" s="7"/>
    </row>
    <row r="759" ht="15.75" customHeight="1">
      <c r="T759" s="7"/>
      <c r="U759" s="7"/>
      <c r="V759" s="7"/>
      <c r="W759" s="7"/>
      <c r="X759" s="7"/>
      <c r="Y759" s="7"/>
    </row>
    <row r="760" ht="15.75" customHeight="1">
      <c r="T760" s="7"/>
      <c r="U760" s="7"/>
      <c r="V760" s="7"/>
      <c r="W760" s="7"/>
      <c r="X760" s="7"/>
      <c r="Y760" s="7"/>
    </row>
    <row r="761" ht="15.75" customHeight="1">
      <c r="T761" s="7"/>
      <c r="U761" s="7"/>
      <c r="V761" s="7"/>
      <c r="W761" s="7"/>
      <c r="X761" s="7"/>
      <c r="Y761" s="7"/>
    </row>
    <row r="762" ht="15.75" customHeight="1">
      <c r="T762" s="7"/>
      <c r="U762" s="7"/>
      <c r="V762" s="7"/>
      <c r="W762" s="7"/>
      <c r="X762" s="7"/>
      <c r="Y762" s="7"/>
    </row>
    <row r="763" ht="15.75" customHeight="1">
      <c r="T763" s="7"/>
      <c r="U763" s="7"/>
      <c r="V763" s="7"/>
      <c r="W763" s="7"/>
      <c r="X763" s="7"/>
      <c r="Y763" s="7"/>
    </row>
    <row r="764" ht="15.75" customHeight="1">
      <c r="T764" s="7"/>
      <c r="U764" s="7"/>
      <c r="V764" s="7"/>
      <c r="W764" s="7"/>
      <c r="X764" s="7"/>
      <c r="Y764" s="7"/>
    </row>
    <row r="765" ht="15.75" customHeight="1">
      <c r="T765" s="7"/>
      <c r="U765" s="7"/>
      <c r="V765" s="7"/>
      <c r="W765" s="7"/>
      <c r="X765" s="7"/>
      <c r="Y765" s="7"/>
    </row>
    <row r="766" ht="15.75" customHeight="1">
      <c r="T766" s="7"/>
      <c r="U766" s="7"/>
      <c r="V766" s="7"/>
      <c r="W766" s="7"/>
      <c r="X766" s="7"/>
      <c r="Y766" s="7"/>
    </row>
    <row r="767" ht="15.75" customHeight="1">
      <c r="T767" s="7"/>
      <c r="U767" s="7"/>
      <c r="V767" s="7"/>
      <c r="W767" s="7"/>
      <c r="X767" s="7"/>
      <c r="Y767" s="7"/>
    </row>
    <row r="768" ht="15.75" customHeight="1">
      <c r="T768" s="7"/>
      <c r="U768" s="7"/>
      <c r="V768" s="7"/>
      <c r="W768" s="7"/>
      <c r="X768" s="7"/>
      <c r="Y768" s="7"/>
    </row>
    <row r="769" ht="15.75" customHeight="1">
      <c r="T769" s="7"/>
      <c r="U769" s="7"/>
      <c r="V769" s="7"/>
      <c r="W769" s="7"/>
      <c r="X769" s="7"/>
      <c r="Y769" s="7"/>
    </row>
    <row r="770" ht="15.75" customHeight="1">
      <c r="T770" s="7"/>
      <c r="U770" s="7"/>
      <c r="V770" s="7"/>
      <c r="W770" s="7"/>
      <c r="X770" s="7"/>
      <c r="Y770" s="7"/>
    </row>
    <row r="771" ht="15.75" customHeight="1">
      <c r="T771" s="7"/>
      <c r="U771" s="7"/>
      <c r="V771" s="7"/>
      <c r="W771" s="7"/>
      <c r="X771" s="7"/>
      <c r="Y771" s="7"/>
    </row>
    <row r="772" ht="15.75" customHeight="1">
      <c r="T772" s="7"/>
      <c r="U772" s="7"/>
      <c r="V772" s="7"/>
      <c r="W772" s="7"/>
      <c r="X772" s="7"/>
      <c r="Y772" s="7"/>
    </row>
    <row r="773" ht="15.75" customHeight="1">
      <c r="T773" s="7"/>
      <c r="U773" s="7"/>
      <c r="V773" s="7"/>
      <c r="W773" s="7"/>
      <c r="X773" s="7"/>
      <c r="Y773" s="7"/>
    </row>
    <row r="774" ht="15.75" customHeight="1">
      <c r="T774" s="7"/>
      <c r="U774" s="7"/>
      <c r="V774" s="7"/>
      <c r="W774" s="7"/>
      <c r="X774" s="7"/>
      <c r="Y774" s="7"/>
    </row>
    <row r="775" ht="15.75" customHeight="1">
      <c r="T775" s="7"/>
      <c r="U775" s="7"/>
      <c r="V775" s="7"/>
      <c r="W775" s="7"/>
      <c r="X775" s="7"/>
      <c r="Y775" s="7"/>
    </row>
    <row r="776" ht="15.75" customHeight="1">
      <c r="T776" s="7"/>
      <c r="U776" s="7"/>
      <c r="V776" s="7"/>
      <c r="W776" s="7"/>
      <c r="X776" s="7"/>
      <c r="Y776" s="7"/>
    </row>
    <row r="777" ht="15.75" customHeight="1">
      <c r="T777" s="7"/>
      <c r="U777" s="7"/>
      <c r="V777" s="7"/>
      <c r="W777" s="7"/>
      <c r="X777" s="7"/>
      <c r="Y777" s="7"/>
    </row>
    <row r="778" ht="15.75" customHeight="1">
      <c r="T778" s="7"/>
      <c r="U778" s="7"/>
      <c r="V778" s="7"/>
      <c r="W778" s="7"/>
      <c r="X778" s="7"/>
      <c r="Y778" s="7"/>
    </row>
    <row r="779" ht="15.75" customHeight="1">
      <c r="T779" s="7"/>
      <c r="U779" s="7"/>
      <c r="V779" s="7"/>
      <c r="W779" s="7"/>
      <c r="X779" s="7"/>
      <c r="Y779" s="7"/>
    </row>
    <row r="780" ht="15.75" customHeight="1">
      <c r="T780" s="7"/>
      <c r="U780" s="7"/>
      <c r="V780" s="7"/>
      <c r="W780" s="7"/>
      <c r="X780" s="7"/>
      <c r="Y780" s="7"/>
    </row>
    <row r="781" ht="15.75" customHeight="1">
      <c r="T781" s="7"/>
      <c r="U781" s="7"/>
      <c r="V781" s="7"/>
      <c r="W781" s="7"/>
      <c r="X781" s="7"/>
      <c r="Y781" s="7"/>
    </row>
    <row r="782" ht="15.75" customHeight="1">
      <c r="T782" s="7"/>
      <c r="U782" s="7"/>
      <c r="V782" s="7"/>
      <c r="W782" s="7"/>
      <c r="X782" s="7"/>
      <c r="Y782" s="7"/>
    </row>
    <row r="783" ht="15.75" customHeight="1">
      <c r="T783" s="7"/>
      <c r="U783" s="7"/>
      <c r="V783" s="7"/>
      <c r="W783" s="7"/>
      <c r="X783" s="7"/>
      <c r="Y783" s="7"/>
    </row>
    <row r="784" ht="15.75" customHeight="1">
      <c r="T784" s="7"/>
      <c r="U784" s="7"/>
      <c r="V784" s="7"/>
      <c r="W784" s="7"/>
      <c r="X784" s="7"/>
      <c r="Y784" s="7"/>
    </row>
    <row r="785" ht="15.75" customHeight="1">
      <c r="T785" s="7"/>
      <c r="U785" s="7"/>
      <c r="V785" s="7"/>
      <c r="W785" s="7"/>
      <c r="X785" s="7"/>
      <c r="Y785" s="7"/>
    </row>
    <row r="786" ht="15.75" customHeight="1">
      <c r="T786" s="7"/>
      <c r="U786" s="7"/>
      <c r="V786" s="7"/>
      <c r="W786" s="7"/>
      <c r="X786" s="7"/>
      <c r="Y786" s="7"/>
    </row>
    <row r="787" ht="15.75" customHeight="1">
      <c r="T787" s="7"/>
      <c r="U787" s="7"/>
      <c r="V787" s="7"/>
      <c r="W787" s="7"/>
      <c r="X787" s="7"/>
      <c r="Y787" s="7"/>
    </row>
    <row r="788" ht="15.75" customHeight="1">
      <c r="T788" s="7"/>
      <c r="U788" s="7"/>
      <c r="V788" s="7"/>
      <c r="W788" s="7"/>
      <c r="X788" s="7"/>
      <c r="Y788" s="7"/>
    </row>
    <row r="789" ht="15.75" customHeight="1">
      <c r="T789" s="7"/>
      <c r="U789" s="7"/>
      <c r="V789" s="7"/>
      <c r="W789" s="7"/>
      <c r="X789" s="7"/>
      <c r="Y789" s="7"/>
    </row>
    <row r="790" ht="15.75" customHeight="1">
      <c r="T790" s="7"/>
      <c r="U790" s="7"/>
      <c r="V790" s="7"/>
      <c r="W790" s="7"/>
      <c r="X790" s="7"/>
      <c r="Y790" s="7"/>
    </row>
    <row r="791" ht="15.75" customHeight="1">
      <c r="T791" s="7"/>
      <c r="U791" s="7"/>
      <c r="V791" s="7"/>
      <c r="W791" s="7"/>
      <c r="X791" s="7"/>
      <c r="Y791" s="7"/>
    </row>
    <row r="792" ht="15.75" customHeight="1">
      <c r="T792" s="7"/>
      <c r="U792" s="7"/>
      <c r="V792" s="7"/>
      <c r="W792" s="7"/>
      <c r="X792" s="7"/>
      <c r="Y792" s="7"/>
    </row>
    <row r="793" ht="15.75" customHeight="1">
      <c r="T793" s="7"/>
      <c r="U793" s="7"/>
      <c r="V793" s="7"/>
      <c r="W793" s="7"/>
      <c r="X793" s="7"/>
      <c r="Y793" s="7"/>
    </row>
    <row r="794" ht="15.75" customHeight="1">
      <c r="T794" s="7"/>
      <c r="U794" s="7"/>
      <c r="V794" s="7"/>
      <c r="W794" s="7"/>
      <c r="X794" s="7"/>
      <c r="Y794" s="7"/>
    </row>
    <row r="795" ht="15.75" customHeight="1">
      <c r="T795" s="7"/>
      <c r="U795" s="7"/>
      <c r="V795" s="7"/>
      <c r="W795" s="7"/>
      <c r="X795" s="7"/>
      <c r="Y795" s="7"/>
    </row>
    <row r="796" ht="15.75" customHeight="1">
      <c r="T796" s="7"/>
      <c r="U796" s="7"/>
      <c r="V796" s="7"/>
      <c r="W796" s="7"/>
      <c r="X796" s="7"/>
      <c r="Y796" s="7"/>
    </row>
    <row r="797" ht="15.75" customHeight="1">
      <c r="T797" s="7"/>
      <c r="U797" s="7"/>
      <c r="V797" s="7"/>
      <c r="W797" s="7"/>
      <c r="X797" s="7"/>
      <c r="Y797" s="7"/>
    </row>
    <row r="798" ht="15.75" customHeight="1">
      <c r="T798" s="7"/>
      <c r="U798" s="7"/>
      <c r="V798" s="7"/>
      <c r="W798" s="7"/>
      <c r="X798" s="7"/>
      <c r="Y798" s="7"/>
    </row>
    <row r="799" ht="15.75" customHeight="1">
      <c r="T799" s="7"/>
      <c r="U799" s="7"/>
      <c r="V799" s="7"/>
      <c r="W799" s="7"/>
      <c r="X799" s="7"/>
      <c r="Y799" s="7"/>
    </row>
    <row r="800" ht="15.75" customHeight="1">
      <c r="T800" s="7"/>
      <c r="U800" s="7"/>
      <c r="V800" s="7"/>
      <c r="W800" s="7"/>
      <c r="X800" s="7"/>
      <c r="Y800" s="7"/>
    </row>
    <row r="801" ht="15.75" customHeight="1">
      <c r="T801" s="7"/>
      <c r="U801" s="7"/>
      <c r="V801" s="7"/>
      <c r="W801" s="7"/>
      <c r="X801" s="7"/>
      <c r="Y801" s="7"/>
    </row>
    <row r="802" ht="15.75" customHeight="1">
      <c r="T802" s="7"/>
      <c r="U802" s="7"/>
      <c r="V802" s="7"/>
      <c r="W802" s="7"/>
      <c r="X802" s="7"/>
      <c r="Y802" s="7"/>
    </row>
    <row r="803" ht="15.75" customHeight="1">
      <c r="T803" s="7"/>
      <c r="U803" s="7"/>
      <c r="V803" s="7"/>
      <c r="W803" s="7"/>
      <c r="X803" s="7"/>
      <c r="Y803" s="7"/>
    </row>
    <row r="804" ht="15.75" customHeight="1">
      <c r="T804" s="7"/>
      <c r="U804" s="7"/>
      <c r="V804" s="7"/>
      <c r="W804" s="7"/>
      <c r="X804" s="7"/>
      <c r="Y804" s="7"/>
    </row>
    <row r="805" ht="15.75" customHeight="1">
      <c r="T805" s="7"/>
      <c r="U805" s="7"/>
      <c r="V805" s="7"/>
      <c r="W805" s="7"/>
      <c r="X805" s="7"/>
      <c r="Y805" s="7"/>
    </row>
    <row r="806" ht="15.75" customHeight="1">
      <c r="T806" s="7"/>
      <c r="U806" s="7"/>
      <c r="V806" s="7"/>
      <c r="W806" s="7"/>
      <c r="X806" s="7"/>
      <c r="Y806" s="7"/>
    </row>
    <row r="807" ht="15.75" customHeight="1">
      <c r="T807" s="7"/>
      <c r="U807" s="7"/>
      <c r="V807" s="7"/>
      <c r="W807" s="7"/>
      <c r="X807" s="7"/>
      <c r="Y807" s="7"/>
    </row>
    <row r="808" ht="15.75" customHeight="1">
      <c r="T808" s="7"/>
      <c r="U808" s="7"/>
      <c r="V808" s="7"/>
      <c r="W808" s="7"/>
      <c r="X808" s="7"/>
      <c r="Y808" s="7"/>
    </row>
    <row r="809" ht="15.75" customHeight="1">
      <c r="T809" s="7"/>
      <c r="U809" s="7"/>
      <c r="V809" s="7"/>
      <c r="W809" s="7"/>
      <c r="X809" s="7"/>
      <c r="Y809" s="7"/>
    </row>
    <row r="810" ht="15.75" customHeight="1">
      <c r="T810" s="7"/>
      <c r="U810" s="7"/>
      <c r="V810" s="7"/>
      <c r="W810" s="7"/>
      <c r="X810" s="7"/>
      <c r="Y810" s="7"/>
    </row>
    <row r="811" ht="15.75" customHeight="1">
      <c r="T811" s="7"/>
      <c r="U811" s="7"/>
      <c r="V811" s="7"/>
      <c r="W811" s="7"/>
      <c r="X811" s="7"/>
      <c r="Y811" s="7"/>
    </row>
    <row r="812" ht="15.75" customHeight="1">
      <c r="T812" s="7"/>
      <c r="U812" s="7"/>
      <c r="V812" s="7"/>
      <c r="W812" s="7"/>
      <c r="X812" s="7"/>
      <c r="Y812" s="7"/>
    </row>
    <row r="813" ht="15.75" customHeight="1">
      <c r="T813" s="7"/>
      <c r="U813" s="7"/>
      <c r="V813" s="7"/>
      <c r="W813" s="7"/>
      <c r="X813" s="7"/>
      <c r="Y813" s="7"/>
    </row>
    <row r="814" ht="15.75" customHeight="1">
      <c r="T814" s="7"/>
      <c r="U814" s="7"/>
      <c r="V814" s="7"/>
      <c r="W814" s="7"/>
      <c r="X814" s="7"/>
      <c r="Y814" s="7"/>
    </row>
    <row r="815" ht="15.75" customHeight="1">
      <c r="T815" s="7"/>
      <c r="U815" s="7"/>
      <c r="V815" s="7"/>
      <c r="W815" s="7"/>
      <c r="X815" s="7"/>
      <c r="Y815" s="7"/>
    </row>
    <row r="816" ht="15.75" customHeight="1">
      <c r="T816" s="7"/>
      <c r="U816" s="7"/>
      <c r="V816" s="7"/>
      <c r="W816" s="7"/>
      <c r="X816" s="7"/>
      <c r="Y816" s="7"/>
    </row>
    <row r="817" ht="15.75" customHeight="1">
      <c r="T817" s="7"/>
      <c r="U817" s="7"/>
      <c r="V817" s="7"/>
      <c r="W817" s="7"/>
      <c r="X817" s="7"/>
      <c r="Y817" s="7"/>
    </row>
    <row r="818" ht="15.75" customHeight="1">
      <c r="T818" s="7"/>
      <c r="U818" s="7"/>
      <c r="V818" s="7"/>
      <c r="W818" s="7"/>
      <c r="X818" s="7"/>
      <c r="Y818" s="7"/>
    </row>
    <row r="819" ht="15.75" customHeight="1">
      <c r="T819" s="7"/>
      <c r="U819" s="7"/>
      <c r="V819" s="7"/>
      <c r="W819" s="7"/>
      <c r="X819" s="7"/>
      <c r="Y819" s="7"/>
    </row>
    <row r="820" ht="15.75" customHeight="1">
      <c r="T820" s="7"/>
      <c r="U820" s="7"/>
      <c r="V820" s="7"/>
      <c r="W820" s="7"/>
      <c r="X820" s="7"/>
      <c r="Y820" s="7"/>
    </row>
    <row r="821" ht="15.75" customHeight="1">
      <c r="T821" s="7"/>
      <c r="U821" s="7"/>
      <c r="V821" s="7"/>
      <c r="W821" s="7"/>
      <c r="X821" s="7"/>
      <c r="Y821" s="7"/>
    </row>
    <row r="822" ht="15.75" customHeight="1">
      <c r="T822" s="7"/>
      <c r="U822" s="7"/>
      <c r="V822" s="7"/>
      <c r="W822" s="7"/>
      <c r="X822" s="7"/>
      <c r="Y822" s="7"/>
    </row>
    <row r="823" ht="15.75" customHeight="1">
      <c r="T823" s="7"/>
      <c r="U823" s="7"/>
      <c r="V823" s="7"/>
      <c r="W823" s="7"/>
      <c r="X823" s="7"/>
      <c r="Y823" s="7"/>
    </row>
    <row r="824" ht="15.75" customHeight="1">
      <c r="T824" s="7"/>
      <c r="U824" s="7"/>
      <c r="V824" s="7"/>
      <c r="W824" s="7"/>
      <c r="X824" s="7"/>
      <c r="Y824" s="7"/>
    </row>
    <row r="825" ht="15.75" customHeight="1">
      <c r="T825" s="7"/>
      <c r="U825" s="7"/>
      <c r="V825" s="7"/>
      <c r="W825" s="7"/>
      <c r="X825" s="7"/>
      <c r="Y825" s="7"/>
    </row>
    <row r="826" ht="15.75" customHeight="1">
      <c r="T826" s="7"/>
      <c r="U826" s="7"/>
      <c r="V826" s="7"/>
      <c r="W826" s="7"/>
      <c r="X826" s="7"/>
      <c r="Y826" s="7"/>
    </row>
    <row r="827" ht="15.75" customHeight="1">
      <c r="T827" s="7"/>
      <c r="U827" s="7"/>
      <c r="V827" s="7"/>
      <c r="W827" s="7"/>
      <c r="X827" s="7"/>
      <c r="Y827" s="7"/>
    </row>
    <row r="828" ht="15.75" customHeight="1">
      <c r="T828" s="7"/>
      <c r="U828" s="7"/>
      <c r="V828" s="7"/>
      <c r="W828" s="7"/>
      <c r="X828" s="7"/>
      <c r="Y828" s="7"/>
    </row>
    <row r="829" ht="15.75" customHeight="1">
      <c r="T829" s="7"/>
      <c r="U829" s="7"/>
      <c r="V829" s="7"/>
      <c r="W829" s="7"/>
      <c r="X829" s="7"/>
      <c r="Y829" s="7"/>
    </row>
    <row r="830" ht="15.75" customHeight="1">
      <c r="T830" s="7"/>
      <c r="U830" s="7"/>
      <c r="V830" s="7"/>
      <c r="W830" s="7"/>
      <c r="X830" s="7"/>
      <c r="Y830" s="7"/>
    </row>
    <row r="831" ht="15.75" customHeight="1">
      <c r="T831" s="7"/>
      <c r="U831" s="7"/>
      <c r="V831" s="7"/>
      <c r="W831" s="7"/>
      <c r="X831" s="7"/>
      <c r="Y831" s="7"/>
    </row>
    <row r="832" ht="15.75" customHeight="1">
      <c r="T832" s="7"/>
      <c r="U832" s="7"/>
      <c r="V832" s="7"/>
      <c r="W832" s="7"/>
      <c r="X832" s="7"/>
      <c r="Y832" s="7"/>
    </row>
    <row r="833" ht="15.75" customHeight="1">
      <c r="T833" s="7"/>
      <c r="U833" s="7"/>
      <c r="V833" s="7"/>
      <c r="W833" s="7"/>
      <c r="X833" s="7"/>
      <c r="Y833" s="7"/>
    </row>
    <row r="834" ht="15.75" customHeight="1">
      <c r="T834" s="7"/>
      <c r="U834" s="7"/>
      <c r="V834" s="7"/>
      <c r="W834" s="7"/>
      <c r="X834" s="7"/>
      <c r="Y834" s="7"/>
    </row>
    <row r="835" ht="15.75" customHeight="1">
      <c r="T835" s="7"/>
      <c r="U835" s="7"/>
      <c r="V835" s="7"/>
      <c r="W835" s="7"/>
      <c r="X835" s="7"/>
      <c r="Y835" s="7"/>
    </row>
    <row r="836" ht="15.75" customHeight="1">
      <c r="T836" s="7"/>
      <c r="U836" s="7"/>
      <c r="V836" s="7"/>
      <c r="W836" s="7"/>
      <c r="X836" s="7"/>
      <c r="Y836" s="7"/>
    </row>
    <row r="837" ht="15.75" customHeight="1">
      <c r="T837" s="7"/>
      <c r="U837" s="7"/>
      <c r="V837" s="7"/>
      <c r="W837" s="7"/>
      <c r="X837" s="7"/>
      <c r="Y837" s="7"/>
    </row>
    <row r="838" ht="15.75" customHeight="1">
      <c r="T838" s="7"/>
      <c r="U838" s="7"/>
      <c r="V838" s="7"/>
      <c r="W838" s="7"/>
      <c r="X838" s="7"/>
      <c r="Y838" s="7"/>
    </row>
    <row r="839" ht="15.75" customHeight="1">
      <c r="T839" s="7"/>
      <c r="U839" s="7"/>
      <c r="V839" s="7"/>
      <c r="W839" s="7"/>
      <c r="X839" s="7"/>
      <c r="Y839" s="7"/>
    </row>
    <row r="840" ht="15.75" customHeight="1">
      <c r="T840" s="7"/>
      <c r="U840" s="7"/>
      <c r="V840" s="7"/>
      <c r="W840" s="7"/>
      <c r="X840" s="7"/>
      <c r="Y840" s="7"/>
    </row>
    <row r="841" ht="15.75" customHeight="1">
      <c r="T841" s="7"/>
      <c r="U841" s="7"/>
      <c r="V841" s="7"/>
      <c r="W841" s="7"/>
      <c r="X841" s="7"/>
      <c r="Y841" s="7"/>
    </row>
    <row r="842" ht="15.75" customHeight="1">
      <c r="T842" s="7"/>
      <c r="U842" s="7"/>
      <c r="V842" s="7"/>
      <c r="W842" s="7"/>
      <c r="X842" s="7"/>
      <c r="Y842" s="7"/>
    </row>
    <row r="843" ht="15.75" customHeight="1">
      <c r="T843" s="7"/>
      <c r="U843" s="7"/>
      <c r="V843" s="7"/>
      <c r="W843" s="7"/>
      <c r="X843" s="7"/>
      <c r="Y843" s="7"/>
    </row>
    <row r="844" ht="15.75" customHeight="1">
      <c r="T844" s="7"/>
      <c r="U844" s="7"/>
      <c r="V844" s="7"/>
      <c r="W844" s="7"/>
      <c r="X844" s="7"/>
      <c r="Y844" s="7"/>
    </row>
    <row r="845" ht="15.75" customHeight="1">
      <c r="T845" s="7"/>
      <c r="U845" s="7"/>
      <c r="V845" s="7"/>
      <c r="W845" s="7"/>
      <c r="X845" s="7"/>
      <c r="Y845" s="7"/>
    </row>
    <row r="846" ht="15.75" customHeight="1">
      <c r="T846" s="7"/>
      <c r="U846" s="7"/>
      <c r="V846" s="7"/>
      <c r="W846" s="7"/>
      <c r="X846" s="7"/>
      <c r="Y846" s="7"/>
    </row>
    <row r="847" ht="15.75" customHeight="1">
      <c r="T847" s="7"/>
      <c r="U847" s="7"/>
      <c r="V847" s="7"/>
      <c r="W847" s="7"/>
      <c r="X847" s="7"/>
      <c r="Y847" s="7"/>
    </row>
    <row r="848" ht="15.75" customHeight="1">
      <c r="T848" s="7"/>
      <c r="U848" s="7"/>
      <c r="V848" s="7"/>
      <c r="W848" s="7"/>
      <c r="X848" s="7"/>
      <c r="Y848" s="7"/>
    </row>
    <row r="849" ht="15.75" customHeight="1">
      <c r="T849" s="7"/>
      <c r="U849" s="7"/>
      <c r="V849" s="7"/>
      <c r="W849" s="7"/>
      <c r="X849" s="7"/>
      <c r="Y849" s="7"/>
    </row>
    <row r="850" ht="15.75" customHeight="1">
      <c r="T850" s="7"/>
      <c r="U850" s="7"/>
      <c r="V850" s="7"/>
      <c r="W850" s="7"/>
      <c r="X850" s="7"/>
      <c r="Y850" s="7"/>
    </row>
    <row r="851" ht="15.75" customHeight="1">
      <c r="T851" s="7"/>
      <c r="U851" s="7"/>
      <c r="V851" s="7"/>
      <c r="W851" s="7"/>
      <c r="X851" s="7"/>
      <c r="Y851" s="7"/>
    </row>
    <row r="852" ht="15.75" customHeight="1">
      <c r="T852" s="7"/>
      <c r="U852" s="7"/>
      <c r="V852" s="7"/>
      <c r="W852" s="7"/>
      <c r="X852" s="7"/>
      <c r="Y852" s="7"/>
    </row>
    <row r="853" ht="15.75" customHeight="1">
      <c r="T853" s="7"/>
      <c r="U853" s="7"/>
      <c r="V853" s="7"/>
      <c r="W853" s="7"/>
      <c r="X853" s="7"/>
      <c r="Y853" s="7"/>
    </row>
    <row r="854" ht="15.75" customHeight="1">
      <c r="T854" s="7"/>
      <c r="U854" s="7"/>
      <c r="V854" s="7"/>
      <c r="W854" s="7"/>
      <c r="X854" s="7"/>
      <c r="Y854" s="7"/>
    </row>
    <row r="855" ht="15.75" customHeight="1">
      <c r="T855" s="7"/>
      <c r="U855" s="7"/>
      <c r="V855" s="7"/>
      <c r="W855" s="7"/>
      <c r="X855" s="7"/>
      <c r="Y855" s="7"/>
    </row>
    <row r="856" ht="15.75" customHeight="1">
      <c r="T856" s="7"/>
      <c r="U856" s="7"/>
      <c r="V856" s="7"/>
      <c r="W856" s="7"/>
      <c r="X856" s="7"/>
      <c r="Y856" s="7"/>
    </row>
    <row r="857" ht="15.75" customHeight="1">
      <c r="T857" s="7"/>
      <c r="U857" s="7"/>
      <c r="V857" s="7"/>
      <c r="W857" s="7"/>
      <c r="X857" s="7"/>
      <c r="Y857" s="7"/>
    </row>
    <row r="858" ht="15.75" customHeight="1">
      <c r="T858" s="7"/>
      <c r="U858" s="7"/>
      <c r="V858" s="7"/>
      <c r="W858" s="7"/>
      <c r="X858" s="7"/>
      <c r="Y858" s="7"/>
    </row>
    <row r="859" ht="15.75" customHeight="1">
      <c r="T859" s="7"/>
      <c r="U859" s="7"/>
      <c r="V859" s="7"/>
      <c r="W859" s="7"/>
      <c r="X859" s="7"/>
      <c r="Y859" s="7"/>
    </row>
    <row r="860" ht="15.75" customHeight="1">
      <c r="T860" s="7"/>
      <c r="U860" s="7"/>
      <c r="V860" s="7"/>
      <c r="W860" s="7"/>
      <c r="X860" s="7"/>
      <c r="Y860" s="7"/>
    </row>
    <row r="861" ht="15.75" customHeight="1">
      <c r="T861" s="7"/>
      <c r="U861" s="7"/>
      <c r="V861" s="7"/>
      <c r="W861" s="7"/>
      <c r="X861" s="7"/>
      <c r="Y861" s="7"/>
    </row>
    <row r="862" ht="15.75" customHeight="1">
      <c r="T862" s="7"/>
      <c r="U862" s="7"/>
      <c r="V862" s="7"/>
      <c r="W862" s="7"/>
      <c r="X862" s="7"/>
      <c r="Y862" s="7"/>
    </row>
    <row r="863" ht="15.75" customHeight="1">
      <c r="T863" s="7"/>
      <c r="U863" s="7"/>
      <c r="V863" s="7"/>
      <c r="W863" s="7"/>
      <c r="X863" s="7"/>
      <c r="Y863" s="7"/>
    </row>
    <row r="864" ht="15.75" customHeight="1">
      <c r="T864" s="7"/>
      <c r="U864" s="7"/>
      <c r="V864" s="7"/>
      <c r="W864" s="7"/>
      <c r="X864" s="7"/>
      <c r="Y864" s="7"/>
    </row>
    <row r="865" ht="15.75" customHeight="1">
      <c r="T865" s="7"/>
      <c r="U865" s="7"/>
      <c r="V865" s="7"/>
      <c r="W865" s="7"/>
      <c r="X865" s="7"/>
      <c r="Y865" s="7"/>
    </row>
    <row r="866" ht="15.75" customHeight="1">
      <c r="T866" s="7"/>
      <c r="U866" s="7"/>
      <c r="V866" s="7"/>
      <c r="W866" s="7"/>
      <c r="X866" s="7"/>
      <c r="Y866" s="7"/>
    </row>
    <row r="867" ht="15.75" customHeight="1">
      <c r="T867" s="7"/>
      <c r="U867" s="7"/>
      <c r="V867" s="7"/>
      <c r="W867" s="7"/>
      <c r="X867" s="7"/>
      <c r="Y867" s="7"/>
    </row>
    <row r="868" ht="15.75" customHeight="1">
      <c r="T868" s="7"/>
      <c r="U868" s="7"/>
      <c r="V868" s="7"/>
      <c r="W868" s="7"/>
      <c r="X868" s="7"/>
      <c r="Y868" s="7"/>
    </row>
    <row r="869" ht="15.75" customHeight="1">
      <c r="T869" s="7"/>
      <c r="U869" s="7"/>
      <c r="V869" s="7"/>
      <c r="W869" s="7"/>
      <c r="X869" s="7"/>
      <c r="Y869" s="7"/>
    </row>
    <row r="870" ht="15.75" customHeight="1">
      <c r="T870" s="7"/>
      <c r="U870" s="7"/>
      <c r="V870" s="7"/>
      <c r="W870" s="7"/>
      <c r="X870" s="7"/>
      <c r="Y870" s="7"/>
    </row>
    <row r="871" ht="15.75" customHeight="1">
      <c r="T871" s="7"/>
      <c r="U871" s="7"/>
      <c r="V871" s="7"/>
      <c r="W871" s="7"/>
      <c r="X871" s="7"/>
      <c r="Y871" s="7"/>
    </row>
    <row r="872" ht="15.75" customHeight="1">
      <c r="T872" s="7"/>
      <c r="U872" s="7"/>
      <c r="V872" s="7"/>
      <c r="W872" s="7"/>
      <c r="X872" s="7"/>
      <c r="Y872" s="7"/>
    </row>
    <row r="873" ht="15.75" customHeight="1">
      <c r="T873" s="7"/>
      <c r="U873" s="7"/>
      <c r="V873" s="7"/>
      <c r="W873" s="7"/>
      <c r="X873" s="7"/>
      <c r="Y873" s="7"/>
    </row>
    <row r="874" ht="15.75" customHeight="1">
      <c r="T874" s="7"/>
      <c r="U874" s="7"/>
      <c r="V874" s="7"/>
      <c r="W874" s="7"/>
      <c r="X874" s="7"/>
      <c r="Y874" s="7"/>
    </row>
    <row r="875" ht="15.75" customHeight="1">
      <c r="T875" s="7"/>
      <c r="U875" s="7"/>
      <c r="V875" s="7"/>
      <c r="W875" s="7"/>
      <c r="X875" s="7"/>
      <c r="Y875" s="7"/>
    </row>
    <row r="876" ht="15.75" customHeight="1">
      <c r="T876" s="7"/>
      <c r="U876" s="7"/>
      <c r="V876" s="7"/>
      <c r="W876" s="7"/>
      <c r="X876" s="7"/>
      <c r="Y876" s="7"/>
    </row>
    <row r="877" ht="15.75" customHeight="1">
      <c r="T877" s="7"/>
      <c r="U877" s="7"/>
      <c r="V877" s="7"/>
      <c r="W877" s="7"/>
      <c r="X877" s="7"/>
      <c r="Y877" s="7"/>
    </row>
    <row r="878" ht="15.75" customHeight="1">
      <c r="T878" s="7"/>
      <c r="U878" s="7"/>
      <c r="V878" s="7"/>
      <c r="W878" s="7"/>
      <c r="X878" s="7"/>
      <c r="Y878" s="7"/>
    </row>
    <row r="879" ht="15.75" customHeight="1">
      <c r="T879" s="7"/>
      <c r="U879" s="7"/>
      <c r="V879" s="7"/>
      <c r="W879" s="7"/>
      <c r="X879" s="7"/>
      <c r="Y879" s="7"/>
    </row>
    <row r="880" ht="15.75" customHeight="1">
      <c r="T880" s="7"/>
      <c r="U880" s="7"/>
      <c r="V880" s="7"/>
      <c r="W880" s="7"/>
      <c r="X880" s="7"/>
      <c r="Y880" s="7"/>
    </row>
    <row r="881" ht="15.75" customHeight="1">
      <c r="T881" s="7"/>
      <c r="U881" s="7"/>
      <c r="V881" s="7"/>
      <c r="W881" s="7"/>
      <c r="X881" s="7"/>
      <c r="Y881" s="7"/>
    </row>
    <row r="882" ht="15.75" customHeight="1">
      <c r="T882" s="7"/>
      <c r="U882" s="7"/>
      <c r="V882" s="7"/>
      <c r="W882" s="7"/>
      <c r="X882" s="7"/>
      <c r="Y882" s="7"/>
    </row>
    <row r="883" ht="15.75" customHeight="1">
      <c r="T883" s="7"/>
      <c r="U883" s="7"/>
      <c r="V883" s="7"/>
      <c r="W883" s="7"/>
      <c r="X883" s="7"/>
      <c r="Y883" s="7"/>
    </row>
    <row r="884" ht="15.75" customHeight="1">
      <c r="T884" s="7"/>
      <c r="U884" s="7"/>
      <c r="V884" s="7"/>
      <c r="W884" s="7"/>
      <c r="X884" s="7"/>
      <c r="Y884" s="7"/>
    </row>
    <row r="885" ht="15.75" customHeight="1">
      <c r="T885" s="7"/>
      <c r="U885" s="7"/>
      <c r="V885" s="7"/>
      <c r="W885" s="7"/>
      <c r="X885" s="7"/>
      <c r="Y885" s="7"/>
    </row>
    <row r="886" ht="15.75" customHeight="1">
      <c r="T886" s="7"/>
      <c r="U886" s="7"/>
      <c r="V886" s="7"/>
      <c r="W886" s="7"/>
      <c r="X886" s="7"/>
      <c r="Y886" s="7"/>
    </row>
    <row r="887" ht="15.75" customHeight="1">
      <c r="T887" s="7"/>
      <c r="U887" s="7"/>
      <c r="V887" s="7"/>
      <c r="W887" s="7"/>
      <c r="X887" s="7"/>
      <c r="Y887" s="7"/>
    </row>
    <row r="888" ht="15.75" customHeight="1">
      <c r="T888" s="7"/>
      <c r="U888" s="7"/>
      <c r="V888" s="7"/>
      <c r="W888" s="7"/>
      <c r="X888" s="7"/>
      <c r="Y888" s="7"/>
    </row>
    <row r="889" ht="15.75" customHeight="1">
      <c r="T889" s="7"/>
      <c r="U889" s="7"/>
      <c r="V889" s="7"/>
      <c r="W889" s="7"/>
      <c r="X889" s="7"/>
      <c r="Y889" s="7"/>
    </row>
    <row r="890" ht="15.75" customHeight="1">
      <c r="T890" s="7"/>
      <c r="U890" s="7"/>
      <c r="V890" s="7"/>
      <c r="W890" s="7"/>
      <c r="X890" s="7"/>
      <c r="Y890" s="7"/>
    </row>
    <row r="891" ht="15.75" customHeight="1">
      <c r="T891" s="7"/>
      <c r="U891" s="7"/>
      <c r="V891" s="7"/>
      <c r="W891" s="7"/>
      <c r="X891" s="7"/>
      <c r="Y891" s="7"/>
    </row>
    <row r="892" ht="15.75" customHeight="1">
      <c r="T892" s="7"/>
      <c r="U892" s="7"/>
      <c r="V892" s="7"/>
      <c r="W892" s="7"/>
      <c r="X892" s="7"/>
      <c r="Y892" s="7"/>
    </row>
    <row r="893" ht="15.75" customHeight="1">
      <c r="T893" s="7"/>
      <c r="U893" s="7"/>
      <c r="V893" s="7"/>
      <c r="W893" s="7"/>
      <c r="X893" s="7"/>
      <c r="Y893" s="7"/>
    </row>
    <row r="894" ht="15.75" customHeight="1">
      <c r="T894" s="7"/>
      <c r="U894" s="7"/>
      <c r="V894" s="7"/>
      <c r="W894" s="7"/>
      <c r="X894" s="7"/>
      <c r="Y894" s="7"/>
    </row>
    <row r="895" ht="15.75" customHeight="1">
      <c r="T895" s="7"/>
      <c r="U895" s="7"/>
      <c r="V895" s="7"/>
      <c r="W895" s="7"/>
      <c r="X895" s="7"/>
      <c r="Y895" s="7"/>
    </row>
    <row r="896" ht="15.75" customHeight="1">
      <c r="T896" s="7"/>
      <c r="U896" s="7"/>
      <c r="V896" s="7"/>
      <c r="W896" s="7"/>
      <c r="X896" s="7"/>
      <c r="Y896" s="7"/>
    </row>
    <row r="897" ht="15.75" customHeight="1">
      <c r="T897" s="7"/>
      <c r="U897" s="7"/>
      <c r="V897" s="7"/>
      <c r="W897" s="7"/>
      <c r="X897" s="7"/>
      <c r="Y897" s="7"/>
    </row>
    <row r="898" ht="15.75" customHeight="1">
      <c r="T898" s="7"/>
      <c r="U898" s="7"/>
      <c r="V898" s="7"/>
      <c r="W898" s="7"/>
      <c r="X898" s="7"/>
      <c r="Y898" s="7"/>
    </row>
    <row r="899" ht="15.75" customHeight="1">
      <c r="T899" s="7"/>
      <c r="U899" s="7"/>
      <c r="V899" s="7"/>
      <c r="W899" s="7"/>
      <c r="X899" s="7"/>
      <c r="Y899" s="7"/>
    </row>
    <row r="900" ht="15.75" customHeight="1">
      <c r="T900" s="7"/>
      <c r="U900" s="7"/>
      <c r="V900" s="7"/>
      <c r="W900" s="7"/>
      <c r="X900" s="7"/>
      <c r="Y900" s="7"/>
    </row>
    <row r="901" ht="15.75" customHeight="1">
      <c r="T901" s="7"/>
      <c r="U901" s="7"/>
      <c r="V901" s="7"/>
      <c r="W901" s="7"/>
      <c r="X901" s="7"/>
      <c r="Y901" s="7"/>
    </row>
    <row r="902" ht="15.75" customHeight="1">
      <c r="T902" s="7"/>
      <c r="U902" s="7"/>
      <c r="V902" s="7"/>
      <c r="W902" s="7"/>
      <c r="X902" s="7"/>
      <c r="Y902" s="7"/>
    </row>
    <row r="903" ht="15.75" customHeight="1">
      <c r="T903" s="7"/>
      <c r="U903" s="7"/>
      <c r="V903" s="7"/>
      <c r="W903" s="7"/>
      <c r="X903" s="7"/>
      <c r="Y903" s="7"/>
    </row>
    <row r="904" ht="15.75" customHeight="1">
      <c r="T904" s="7"/>
      <c r="U904" s="7"/>
      <c r="V904" s="7"/>
      <c r="W904" s="7"/>
      <c r="X904" s="7"/>
      <c r="Y904" s="7"/>
    </row>
    <row r="905" ht="15.75" customHeight="1">
      <c r="T905" s="7"/>
      <c r="U905" s="7"/>
      <c r="V905" s="7"/>
      <c r="W905" s="7"/>
      <c r="X905" s="7"/>
      <c r="Y905" s="7"/>
    </row>
    <row r="906" ht="15.75" customHeight="1">
      <c r="T906" s="7"/>
      <c r="U906" s="7"/>
      <c r="V906" s="7"/>
      <c r="W906" s="7"/>
      <c r="X906" s="7"/>
      <c r="Y906" s="7"/>
    </row>
    <row r="907" ht="15.75" customHeight="1">
      <c r="T907" s="7"/>
      <c r="U907" s="7"/>
      <c r="V907" s="7"/>
      <c r="W907" s="7"/>
      <c r="X907" s="7"/>
      <c r="Y907" s="7"/>
    </row>
    <row r="908" ht="15.75" customHeight="1">
      <c r="T908" s="7"/>
      <c r="U908" s="7"/>
      <c r="V908" s="7"/>
      <c r="W908" s="7"/>
      <c r="X908" s="7"/>
      <c r="Y908" s="7"/>
    </row>
    <row r="909" ht="15.75" customHeight="1">
      <c r="T909" s="7"/>
      <c r="U909" s="7"/>
      <c r="V909" s="7"/>
      <c r="W909" s="7"/>
      <c r="X909" s="7"/>
      <c r="Y909" s="7"/>
    </row>
    <row r="910" ht="15.75" customHeight="1">
      <c r="T910" s="7"/>
      <c r="U910" s="7"/>
      <c r="V910" s="7"/>
      <c r="W910" s="7"/>
      <c r="X910" s="7"/>
      <c r="Y910" s="7"/>
    </row>
    <row r="911" ht="15.75" customHeight="1">
      <c r="T911" s="7"/>
      <c r="U911" s="7"/>
      <c r="V911" s="7"/>
      <c r="W911" s="7"/>
      <c r="X911" s="7"/>
      <c r="Y911" s="7"/>
    </row>
    <row r="912" ht="15.75" customHeight="1">
      <c r="T912" s="7"/>
      <c r="U912" s="7"/>
      <c r="V912" s="7"/>
      <c r="W912" s="7"/>
      <c r="X912" s="7"/>
      <c r="Y912" s="7"/>
    </row>
    <row r="913" ht="15.75" customHeight="1">
      <c r="T913" s="7"/>
      <c r="U913" s="7"/>
      <c r="V913" s="7"/>
      <c r="W913" s="7"/>
      <c r="X913" s="7"/>
      <c r="Y913" s="7"/>
    </row>
    <row r="914" ht="15.75" customHeight="1">
      <c r="T914" s="7"/>
      <c r="U914" s="7"/>
      <c r="V914" s="7"/>
      <c r="W914" s="7"/>
      <c r="X914" s="7"/>
      <c r="Y914" s="7"/>
    </row>
    <row r="915" ht="15.75" customHeight="1">
      <c r="T915" s="7"/>
      <c r="U915" s="7"/>
      <c r="V915" s="7"/>
      <c r="W915" s="7"/>
      <c r="X915" s="7"/>
      <c r="Y915" s="7"/>
    </row>
    <row r="916" ht="15.75" customHeight="1">
      <c r="T916" s="7"/>
      <c r="U916" s="7"/>
      <c r="V916" s="7"/>
      <c r="W916" s="7"/>
      <c r="X916" s="7"/>
      <c r="Y916" s="7"/>
    </row>
    <row r="917" ht="15.75" customHeight="1">
      <c r="T917" s="7"/>
      <c r="U917" s="7"/>
      <c r="V917" s="7"/>
      <c r="W917" s="7"/>
      <c r="X917" s="7"/>
      <c r="Y917" s="7"/>
    </row>
    <row r="918" ht="15.75" customHeight="1">
      <c r="T918" s="7"/>
      <c r="U918" s="7"/>
      <c r="V918" s="7"/>
      <c r="W918" s="7"/>
      <c r="X918" s="7"/>
      <c r="Y918" s="7"/>
    </row>
    <row r="919" ht="15.75" customHeight="1">
      <c r="T919" s="7"/>
      <c r="U919" s="7"/>
      <c r="V919" s="7"/>
      <c r="W919" s="7"/>
      <c r="X919" s="7"/>
      <c r="Y919" s="7"/>
    </row>
    <row r="920" ht="15.75" customHeight="1">
      <c r="T920" s="7"/>
      <c r="U920" s="7"/>
      <c r="V920" s="7"/>
      <c r="W920" s="7"/>
      <c r="X920" s="7"/>
      <c r="Y920" s="7"/>
    </row>
    <row r="921" ht="15.75" customHeight="1">
      <c r="T921" s="7"/>
      <c r="U921" s="7"/>
      <c r="V921" s="7"/>
      <c r="W921" s="7"/>
      <c r="X921" s="7"/>
      <c r="Y921" s="7"/>
    </row>
    <row r="922" ht="15.75" customHeight="1">
      <c r="T922" s="7"/>
      <c r="U922" s="7"/>
      <c r="V922" s="7"/>
      <c r="W922" s="7"/>
      <c r="X922" s="7"/>
      <c r="Y922" s="7"/>
    </row>
    <row r="923" ht="15.75" customHeight="1">
      <c r="T923" s="7"/>
      <c r="U923" s="7"/>
      <c r="V923" s="7"/>
      <c r="W923" s="7"/>
      <c r="X923" s="7"/>
      <c r="Y923" s="7"/>
    </row>
    <row r="924" ht="15.75" customHeight="1">
      <c r="T924" s="7"/>
      <c r="U924" s="7"/>
      <c r="V924" s="7"/>
      <c r="W924" s="7"/>
      <c r="X924" s="7"/>
      <c r="Y924" s="7"/>
    </row>
    <row r="925" ht="15.75" customHeight="1">
      <c r="T925" s="7"/>
      <c r="U925" s="7"/>
      <c r="V925" s="7"/>
      <c r="W925" s="7"/>
      <c r="X925" s="7"/>
      <c r="Y925" s="7"/>
    </row>
    <row r="926" ht="15.75" customHeight="1">
      <c r="T926" s="7"/>
      <c r="U926" s="7"/>
      <c r="V926" s="7"/>
      <c r="W926" s="7"/>
      <c r="X926" s="7"/>
      <c r="Y926" s="7"/>
    </row>
    <row r="927" ht="15.75" customHeight="1">
      <c r="T927" s="7"/>
      <c r="U927" s="7"/>
      <c r="V927" s="7"/>
      <c r="W927" s="7"/>
      <c r="X927" s="7"/>
      <c r="Y927" s="7"/>
    </row>
    <row r="928" ht="15.75" customHeight="1">
      <c r="T928" s="7"/>
      <c r="U928" s="7"/>
      <c r="V928" s="7"/>
      <c r="W928" s="7"/>
      <c r="X928" s="7"/>
      <c r="Y928" s="7"/>
    </row>
    <row r="929" ht="15.75" customHeight="1">
      <c r="T929" s="7"/>
      <c r="U929" s="7"/>
      <c r="V929" s="7"/>
      <c r="W929" s="7"/>
      <c r="X929" s="7"/>
      <c r="Y929" s="7"/>
    </row>
    <row r="930" ht="15.75" customHeight="1">
      <c r="T930" s="7"/>
      <c r="U930" s="7"/>
      <c r="V930" s="7"/>
      <c r="W930" s="7"/>
      <c r="X930" s="7"/>
      <c r="Y930" s="7"/>
    </row>
    <row r="931" ht="15.75" customHeight="1">
      <c r="T931" s="7"/>
      <c r="U931" s="7"/>
      <c r="V931" s="7"/>
      <c r="W931" s="7"/>
      <c r="X931" s="7"/>
      <c r="Y931" s="7"/>
    </row>
    <row r="932" ht="15.75" customHeight="1">
      <c r="T932" s="7"/>
      <c r="U932" s="7"/>
      <c r="V932" s="7"/>
      <c r="W932" s="7"/>
      <c r="X932" s="7"/>
      <c r="Y932" s="7"/>
    </row>
    <row r="933" ht="15.75" customHeight="1">
      <c r="T933" s="7"/>
      <c r="U933" s="7"/>
      <c r="V933" s="7"/>
      <c r="W933" s="7"/>
      <c r="X933" s="7"/>
      <c r="Y933" s="7"/>
    </row>
    <row r="934" ht="15.75" customHeight="1">
      <c r="T934" s="7"/>
      <c r="U934" s="7"/>
      <c r="V934" s="7"/>
      <c r="W934" s="7"/>
      <c r="X934" s="7"/>
      <c r="Y934" s="7"/>
    </row>
    <row r="935" ht="15.75" customHeight="1">
      <c r="T935" s="7"/>
      <c r="U935" s="7"/>
      <c r="V935" s="7"/>
      <c r="W935" s="7"/>
      <c r="X935" s="7"/>
      <c r="Y935" s="7"/>
    </row>
    <row r="936" ht="15.75" customHeight="1">
      <c r="T936" s="7"/>
      <c r="U936" s="7"/>
      <c r="V936" s="7"/>
      <c r="W936" s="7"/>
      <c r="X936" s="7"/>
      <c r="Y936" s="7"/>
    </row>
    <row r="937" ht="15.75" customHeight="1">
      <c r="T937" s="7"/>
      <c r="U937" s="7"/>
      <c r="V937" s="7"/>
      <c r="W937" s="7"/>
      <c r="X937" s="7"/>
      <c r="Y937" s="7"/>
    </row>
    <row r="938" ht="15.75" customHeight="1">
      <c r="T938" s="7"/>
      <c r="U938" s="7"/>
      <c r="V938" s="7"/>
      <c r="W938" s="7"/>
      <c r="X938" s="7"/>
      <c r="Y938" s="7"/>
    </row>
    <row r="939" ht="15.75" customHeight="1">
      <c r="T939" s="7"/>
      <c r="U939" s="7"/>
      <c r="V939" s="7"/>
      <c r="W939" s="7"/>
      <c r="X939" s="7"/>
      <c r="Y939" s="7"/>
    </row>
    <row r="940" ht="15.75" customHeight="1">
      <c r="T940" s="7"/>
      <c r="U940" s="7"/>
      <c r="V940" s="7"/>
      <c r="W940" s="7"/>
      <c r="X940" s="7"/>
      <c r="Y940" s="7"/>
    </row>
    <row r="941" ht="15.75" customHeight="1">
      <c r="T941" s="7"/>
      <c r="U941" s="7"/>
      <c r="V941" s="7"/>
      <c r="W941" s="7"/>
      <c r="X941" s="7"/>
      <c r="Y941" s="7"/>
    </row>
    <row r="942" ht="15.75" customHeight="1">
      <c r="T942" s="7"/>
      <c r="U942" s="7"/>
      <c r="V942" s="7"/>
      <c r="W942" s="7"/>
      <c r="X942" s="7"/>
      <c r="Y942" s="7"/>
    </row>
    <row r="943" ht="15.75" customHeight="1">
      <c r="T943" s="7"/>
      <c r="U943" s="7"/>
      <c r="V943" s="7"/>
      <c r="W943" s="7"/>
      <c r="X943" s="7"/>
      <c r="Y943" s="7"/>
    </row>
    <row r="944" ht="15.75" customHeight="1">
      <c r="T944" s="7"/>
      <c r="U944" s="7"/>
      <c r="V944" s="7"/>
      <c r="W944" s="7"/>
      <c r="X944" s="7"/>
      <c r="Y944" s="7"/>
    </row>
    <row r="945" ht="15.75" customHeight="1">
      <c r="T945" s="7"/>
      <c r="U945" s="7"/>
      <c r="V945" s="7"/>
      <c r="W945" s="7"/>
      <c r="X945" s="7"/>
      <c r="Y945" s="7"/>
    </row>
    <row r="946" ht="15.75" customHeight="1">
      <c r="T946" s="7"/>
      <c r="U946" s="7"/>
      <c r="V946" s="7"/>
      <c r="W946" s="7"/>
      <c r="X946" s="7"/>
      <c r="Y946" s="7"/>
    </row>
    <row r="947" ht="15.75" customHeight="1">
      <c r="T947" s="7"/>
      <c r="U947" s="7"/>
      <c r="V947" s="7"/>
      <c r="W947" s="7"/>
      <c r="X947" s="7"/>
      <c r="Y947" s="7"/>
    </row>
    <row r="948" ht="15.75" customHeight="1">
      <c r="T948" s="7"/>
      <c r="U948" s="7"/>
      <c r="V948" s="7"/>
      <c r="W948" s="7"/>
      <c r="X948" s="7"/>
      <c r="Y948" s="7"/>
    </row>
    <row r="949" ht="15.75" customHeight="1">
      <c r="T949" s="7"/>
      <c r="U949" s="7"/>
      <c r="V949" s="7"/>
      <c r="W949" s="7"/>
      <c r="X949" s="7"/>
      <c r="Y949" s="7"/>
    </row>
    <row r="950" ht="15.75" customHeight="1">
      <c r="T950" s="7"/>
      <c r="U950" s="7"/>
      <c r="V950" s="7"/>
      <c r="W950" s="7"/>
      <c r="X950" s="7"/>
      <c r="Y950" s="7"/>
    </row>
    <row r="951" ht="15.75" customHeight="1">
      <c r="T951" s="7"/>
      <c r="U951" s="7"/>
      <c r="V951" s="7"/>
      <c r="W951" s="7"/>
      <c r="X951" s="7"/>
      <c r="Y951" s="7"/>
    </row>
    <row r="952" ht="15.75" customHeight="1">
      <c r="T952" s="7"/>
      <c r="U952" s="7"/>
      <c r="V952" s="7"/>
      <c r="W952" s="7"/>
      <c r="X952" s="7"/>
      <c r="Y952" s="7"/>
    </row>
    <row r="953" ht="15.75" customHeight="1">
      <c r="T953" s="7"/>
      <c r="U953" s="7"/>
      <c r="V953" s="7"/>
      <c r="W953" s="7"/>
      <c r="X953" s="7"/>
      <c r="Y953" s="7"/>
    </row>
    <row r="954" ht="15.75" customHeight="1">
      <c r="T954" s="7"/>
      <c r="U954" s="7"/>
      <c r="V954" s="7"/>
      <c r="W954" s="7"/>
      <c r="X954" s="7"/>
      <c r="Y954" s="7"/>
    </row>
    <row r="955" ht="15.75" customHeight="1">
      <c r="T955" s="7"/>
      <c r="U955" s="7"/>
      <c r="V955" s="7"/>
      <c r="W955" s="7"/>
      <c r="X955" s="7"/>
      <c r="Y955" s="7"/>
    </row>
    <row r="956" ht="15.75" customHeight="1">
      <c r="T956" s="7"/>
      <c r="U956" s="7"/>
      <c r="V956" s="7"/>
      <c r="W956" s="7"/>
      <c r="X956" s="7"/>
      <c r="Y956" s="7"/>
    </row>
    <row r="957" ht="15.75" customHeight="1">
      <c r="T957" s="7"/>
      <c r="U957" s="7"/>
      <c r="V957" s="7"/>
      <c r="W957" s="7"/>
      <c r="X957" s="7"/>
      <c r="Y957" s="7"/>
    </row>
    <row r="958" ht="15.75" customHeight="1">
      <c r="T958" s="7"/>
      <c r="U958" s="7"/>
      <c r="V958" s="7"/>
      <c r="W958" s="7"/>
      <c r="X958" s="7"/>
      <c r="Y958" s="7"/>
    </row>
    <row r="959" ht="15.75" customHeight="1">
      <c r="T959" s="7"/>
      <c r="U959" s="7"/>
      <c r="V959" s="7"/>
      <c r="W959" s="7"/>
      <c r="X959" s="7"/>
      <c r="Y959" s="7"/>
    </row>
    <row r="960" ht="15.75" customHeight="1">
      <c r="T960" s="7"/>
      <c r="U960" s="7"/>
      <c r="V960" s="7"/>
      <c r="W960" s="7"/>
      <c r="X960" s="7"/>
      <c r="Y960" s="7"/>
    </row>
    <row r="961" ht="15.75" customHeight="1">
      <c r="T961" s="7"/>
      <c r="U961" s="7"/>
      <c r="V961" s="7"/>
      <c r="W961" s="7"/>
      <c r="X961" s="7"/>
      <c r="Y961" s="7"/>
    </row>
    <row r="962" ht="15.75" customHeight="1">
      <c r="T962" s="7"/>
      <c r="U962" s="7"/>
      <c r="V962" s="7"/>
      <c r="W962" s="7"/>
      <c r="X962" s="7"/>
      <c r="Y962" s="7"/>
    </row>
    <row r="963" ht="15.75" customHeight="1">
      <c r="T963" s="7"/>
      <c r="U963" s="7"/>
      <c r="V963" s="7"/>
      <c r="W963" s="7"/>
      <c r="X963" s="7"/>
      <c r="Y963" s="7"/>
    </row>
    <row r="964" ht="15.75" customHeight="1">
      <c r="T964" s="7"/>
      <c r="U964" s="7"/>
      <c r="V964" s="7"/>
      <c r="W964" s="7"/>
      <c r="X964" s="7"/>
      <c r="Y964" s="7"/>
    </row>
    <row r="965" ht="15.75" customHeight="1">
      <c r="T965" s="7"/>
      <c r="U965" s="7"/>
      <c r="V965" s="7"/>
      <c r="W965" s="7"/>
      <c r="X965" s="7"/>
      <c r="Y965" s="7"/>
    </row>
    <row r="966" ht="15.75" customHeight="1">
      <c r="T966" s="7"/>
      <c r="U966" s="7"/>
      <c r="V966" s="7"/>
      <c r="W966" s="7"/>
      <c r="X966" s="7"/>
      <c r="Y966" s="7"/>
    </row>
    <row r="967" ht="15.75" customHeight="1">
      <c r="T967" s="7"/>
      <c r="U967" s="7"/>
      <c r="V967" s="7"/>
      <c r="W967" s="7"/>
      <c r="X967" s="7"/>
      <c r="Y967" s="7"/>
    </row>
    <row r="968" ht="15.75" customHeight="1">
      <c r="T968" s="7"/>
      <c r="U968" s="7"/>
      <c r="V968" s="7"/>
      <c r="W968" s="7"/>
      <c r="X968" s="7"/>
      <c r="Y968" s="7"/>
    </row>
    <row r="969" ht="15.75" customHeight="1">
      <c r="T969" s="7"/>
      <c r="U969" s="7"/>
      <c r="V969" s="7"/>
      <c r="W969" s="7"/>
      <c r="X969" s="7"/>
      <c r="Y969" s="7"/>
    </row>
    <row r="970" ht="15.75" customHeight="1">
      <c r="T970" s="7"/>
      <c r="U970" s="7"/>
      <c r="V970" s="7"/>
      <c r="W970" s="7"/>
      <c r="X970" s="7"/>
      <c r="Y970" s="7"/>
    </row>
    <row r="971" ht="15.75" customHeight="1">
      <c r="T971" s="7"/>
      <c r="U971" s="7"/>
      <c r="V971" s="7"/>
      <c r="W971" s="7"/>
      <c r="X971" s="7"/>
      <c r="Y971" s="7"/>
    </row>
    <row r="972" ht="15.75" customHeight="1">
      <c r="T972" s="7"/>
      <c r="U972" s="7"/>
      <c r="V972" s="7"/>
      <c r="W972" s="7"/>
      <c r="X972" s="7"/>
      <c r="Y972" s="7"/>
    </row>
    <row r="973" ht="15.75" customHeight="1">
      <c r="T973" s="7"/>
      <c r="U973" s="7"/>
      <c r="V973" s="7"/>
      <c r="W973" s="7"/>
      <c r="X973" s="7"/>
      <c r="Y973" s="7"/>
    </row>
    <row r="974" ht="15.75" customHeight="1">
      <c r="T974" s="7"/>
      <c r="U974" s="7"/>
      <c r="V974" s="7"/>
      <c r="W974" s="7"/>
      <c r="X974" s="7"/>
      <c r="Y974" s="7"/>
    </row>
    <row r="975" ht="15.75" customHeight="1">
      <c r="T975" s="7"/>
      <c r="U975" s="7"/>
      <c r="V975" s="7"/>
      <c r="W975" s="7"/>
      <c r="X975" s="7"/>
      <c r="Y975" s="7"/>
    </row>
    <row r="976" ht="15.75" customHeight="1">
      <c r="T976" s="7"/>
      <c r="U976" s="7"/>
      <c r="V976" s="7"/>
      <c r="W976" s="7"/>
      <c r="X976" s="7"/>
      <c r="Y976" s="7"/>
    </row>
    <row r="977" ht="15.75" customHeight="1">
      <c r="T977" s="7"/>
      <c r="U977" s="7"/>
      <c r="V977" s="7"/>
      <c r="W977" s="7"/>
      <c r="X977" s="7"/>
      <c r="Y977" s="7"/>
    </row>
    <row r="978" ht="15.75" customHeight="1">
      <c r="T978" s="7"/>
      <c r="U978" s="7"/>
      <c r="V978" s="7"/>
      <c r="W978" s="7"/>
      <c r="X978" s="7"/>
      <c r="Y978" s="7"/>
    </row>
    <row r="979" ht="15.75" customHeight="1">
      <c r="T979" s="7"/>
      <c r="U979" s="7"/>
      <c r="V979" s="7"/>
      <c r="W979" s="7"/>
      <c r="X979" s="7"/>
      <c r="Y979" s="7"/>
    </row>
    <row r="980" ht="15.75" customHeight="1">
      <c r="T980" s="7"/>
      <c r="U980" s="7"/>
      <c r="V980" s="7"/>
      <c r="W980" s="7"/>
      <c r="X980" s="7"/>
      <c r="Y980" s="7"/>
    </row>
    <row r="981" ht="15.75" customHeight="1">
      <c r="T981" s="7"/>
      <c r="U981" s="7"/>
      <c r="V981" s="7"/>
      <c r="W981" s="7"/>
      <c r="X981" s="7"/>
      <c r="Y981" s="7"/>
    </row>
    <row r="982" ht="15.75" customHeight="1">
      <c r="T982" s="7"/>
      <c r="U982" s="7"/>
      <c r="V982" s="7"/>
      <c r="W982" s="7"/>
      <c r="X982" s="7"/>
      <c r="Y982" s="7"/>
    </row>
    <row r="983" ht="15.75" customHeight="1">
      <c r="T983" s="7"/>
      <c r="U983" s="7"/>
      <c r="V983" s="7"/>
      <c r="W983" s="7"/>
      <c r="X983" s="7"/>
      <c r="Y983" s="7"/>
    </row>
    <row r="984" ht="15.75" customHeight="1">
      <c r="T984" s="7"/>
      <c r="U984" s="7"/>
      <c r="V984" s="7"/>
      <c r="W984" s="7"/>
      <c r="X984" s="7"/>
      <c r="Y984" s="7"/>
    </row>
    <row r="985" ht="15.75" customHeight="1">
      <c r="T985" s="7"/>
      <c r="U985" s="7"/>
      <c r="V985" s="7"/>
      <c r="W985" s="7"/>
      <c r="X985" s="7"/>
      <c r="Y985" s="7"/>
    </row>
    <row r="986" ht="15.75" customHeight="1">
      <c r="T986" s="7"/>
      <c r="U986" s="7"/>
      <c r="V986" s="7"/>
      <c r="W986" s="7"/>
      <c r="X986" s="7"/>
      <c r="Y986" s="7"/>
    </row>
    <row r="987" ht="15.75" customHeight="1">
      <c r="T987" s="7"/>
      <c r="U987" s="7"/>
      <c r="V987" s="7"/>
      <c r="W987" s="7"/>
      <c r="X987" s="7"/>
      <c r="Y987" s="7"/>
    </row>
    <row r="988" ht="15.75" customHeight="1">
      <c r="T988" s="7"/>
      <c r="U988" s="7"/>
      <c r="V988" s="7"/>
      <c r="W988" s="7"/>
      <c r="X988" s="7"/>
      <c r="Y988" s="7"/>
    </row>
    <row r="989" ht="15.75" customHeight="1">
      <c r="T989" s="7"/>
      <c r="U989" s="7"/>
      <c r="V989" s="7"/>
      <c r="W989" s="7"/>
      <c r="X989" s="7"/>
      <c r="Y989" s="7"/>
    </row>
    <row r="990" ht="15.75" customHeight="1">
      <c r="T990" s="7"/>
      <c r="U990" s="7"/>
      <c r="V990" s="7"/>
      <c r="W990" s="7"/>
      <c r="X990" s="7"/>
      <c r="Y990" s="7"/>
    </row>
    <row r="991" ht="15.75" customHeight="1">
      <c r="T991" s="7"/>
      <c r="U991" s="7"/>
      <c r="V991" s="7"/>
      <c r="W991" s="7"/>
      <c r="X991" s="7"/>
      <c r="Y991" s="7"/>
    </row>
    <row r="992" ht="15.75" customHeight="1">
      <c r="T992" s="7"/>
      <c r="U992" s="7"/>
      <c r="V992" s="7"/>
      <c r="W992" s="7"/>
      <c r="X992" s="7"/>
      <c r="Y992" s="7"/>
    </row>
    <row r="993" ht="15.75" customHeight="1">
      <c r="T993" s="7"/>
      <c r="U993" s="7"/>
      <c r="V993" s="7"/>
      <c r="W993" s="7"/>
      <c r="X993" s="7"/>
      <c r="Y993" s="7"/>
    </row>
    <row r="994" ht="15.75" customHeight="1">
      <c r="T994" s="7"/>
      <c r="U994" s="7"/>
      <c r="V994" s="7"/>
      <c r="W994" s="7"/>
      <c r="X994" s="7"/>
      <c r="Y994" s="7"/>
    </row>
    <row r="995" ht="15.75" customHeight="1">
      <c r="T995" s="7"/>
      <c r="U995" s="7"/>
      <c r="V995" s="7"/>
      <c r="W995" s="7"/>
      <c r="X995" s="7"/>
      <c r="Y995" s="7"/>
    </row>
    <row r="996" ht="15.75" customHeight="1">
      <c r="T996" s="7"/>
      <c r="U996" s="7"/>
      <c r="V996" s="7"/>
      <c r="W996" s="7"/>
      <c r="X996" s="7"/>
      <c r="Y996" s="7"/>
    </row>
    <row r="997" ht="15.75" customHeight="1">
      <c r="T997" s="7"/>
      <c r="U997" s="7"/>
      <c r="V997" s="7"/>
      <c r="W997" s="7"/>
      <c r="X997" s="7"/>
      <c r="Y997" s="7"/>
    </row>
    <row r="998" ht="15.75" customHeight="1">
      <c r="T998" s="7"/>
      <c r="U998" s="7"/>
      <c r="V998" s="7"/>
      <c r="W998" s="7"/>
      <c r="X998" s="7"/>
      <c r="Y998" s="7"/>
    </row>
    <row r="999" ht="15.75" customHeight="1">
      <c r="T999" s="7"/>
      <c r="U999" s="7"/>
      <c r="V999" s="7"/>
      <c r="W999" s="7"/>
      <c r="X999" s="7"/>
      <c r="Y999" s="7"/>
    </row>
    <row r="1000" ht="15.75" customHeight="1">
      <c r="T1000" s="7"/>
      <c r="U1000" s="7"/>
      <c r="V1000" s="7"/>
      <c r="W1000" s="7"/>
      <c r="X1000" s="7"/>
      <c r="Y1000" s="7"/>
    </row>
  </sheetData>
  <mergeCells count="20">
    <mergeCell ref="BB2:BC2"/>
    <mergeCell ref="BH2:BI2"/>
    <mergeCell ref="CJ2:CK2"/>
    <mergeCell ref="B2:D2"/>
    <mergeCell ref="E2:F2"/>
    <mergeCell ref="AH2:AI2"/>
    <mergeCell ref="AJ2:AK2"/>
    <mergeCell ref="AR2:AS2"/>
    <mergeCell ref="AT2:AU2"/>
    <mergeCell ref="AV2:AW2"/>
    <mergeCell ref="CH3:CM3"/>
    <mergeCell ref="CN3:CS3"/>
    <mergeCell ref="CT3:CW3"/>
    <mergeCell ref="B3:C3"/>
    <mergeCell ref="D3:G3"/>
    <mergeCell ref="H3:Y3"/>
    <mergeCell ref="Z3:AM3"/>
    <mergeCell ref="AN3:BM3"/>
    <mergeCell ref="BN3:BW3"/>
    <mergeCell ref="BX3:CG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8.86"/>
    <col customWidth="1" min="3" max="6" width="25.86"/>
    <col customWidth="1" min="7" max="26" width="8.86"/>
  </cols>
  <sheetData>
    <row r="2">
      <c r="B2" s="44" t="s">
        <v>302</v>
      </c>
    </row>
    <row r="4">
      <c r="B4" s="145" t="s">
        <v>303</v>
      </c>
    </row>
    <row r="5">
      <c r="B5" s="145"/>
      <c r="C5" s="145"/>
      <c r="D5" s="145"/>
      <c r="E5" s="145"/>
      <c r="F5" s="145"/>
    </row>
    <row r="6">
      <c r="C6" s="146" t="s">
        <v>305</v>
      </c>
      <c r="D6" s="146" t="s">
        <v>306</v>
      </c>
      <c r="E6" s="146" t="s">
        <v>307</v>
      </c>
      <c r="F6" s="146" t="s">
        <v>308</v>
      </c>
    </row>
    <row r="7">
      <c r="C7" s="147" t="s">
        <v>309</v>
      </c>
      <c r="D7" s="147" t="s">
        <v>310</v>
      </c>
      <c r="E7" s="122" t="s">
        <v>311</v>
      </c>
      <c r="F7" s="122" t="s">
        <v>312</v>
      </c>
    </row>
    <row r="8">
      <c r="C8" s="147" t="s">
        <v>314</v>
      </c>
      <c r="D8" s="147" t="s">
        <v>315</v>
      </c>
      <c r="E8" s="122" t="s">
        <v>316</v>
      </c>
      <c r="F8" s="122" t="s">
        <v>317</v>
      </c>
    </row>
    <row r="9">
      <c r="C9" s="147" t="s">
        <v>318</v>
      </c>
      <c r="D9" s="147" t="s">
        <v>319</v>
      </c>
      <c r="E9" s="122" t="s">
        <v>320</v>
      </c>
      <c r="F9" s="122" t="s">
        <v>321</v>
      </c>
    </row>
    <row r="11">
      <c r="B11" s="44" t="s">
        <v>322</v>
      </c>
      <c r="C11" s="148" t="s">
        <v>323</v>
      </c>
      <c r="F11" s="44" t="s">
        <v>324</v>
      </c>
      <c r="G11" s="44"/>
    </row>
    <row r="12">
      <c r="B12" s="105" t="s">
        <v>325</v>
      </c>
      <c r="C12" s="149" t="s">
        <v>326</v>
      </c>
      <c r="F12" s="105">
        <v>1.0</v>
      </c>
    </row>
    <row r="13">
      <c r="B13" s="105" t="s">
        <v>327</v>
      </c>
      <c r="C13" s="149" t="s">
        <v>328</v>
      </c>
      <c r="F13" s="105">
        <v>2.0</v>
      </c>
    </row>
    <row r="14">
      <c r="B14" s="105" t="s">
        <v>330</v>
      </c>
      <c r="C14" s="149" t="s">
        <v>331</v>
      </c>
      <c r="F14" s="105">
        <v>3.0</v>
      </c>
    </row>
    <row r="15">
      <c r="B15" s="105" t="s">
        <v>332</v>
      </c>
      <c r="C15" s="149" t="s">
        <v>333</v>
      </c>
      <c r="F15" s="105">
        <v>3.0</v>
      </c>
    </row>
    <row r="16">
      <c r="B16" s="105" t="s">
        <v>334</v>
      </c>
      <c r="C16" s="149" t="s">
        <v>335</v>
      </c>
      <c r="F16" s="105">
        <v>3.0</v>
      </c>
    </row>
    <row r="17">
      <c r="B17" s="105" t="s">
        <v>336</v>
      </c>
      <c r="C17" s="149" t="s">
        <v>337</v>
      </c>
      <c r="F17" s="105">
        <v>3.0</v>
      </c>
    </row>
    <row r="18">
      <c r="B18" s="105" t="s">
        <v>338</v>
      </c>
      <c r="C18" s="149" t="s">
        <v>339</v>
      </c>
      <c r="F18" s="105">
        <v>3.0</v>
      </c>
    </row>
    <row r="19">
      <c r="B19" s="105" t="s">
        <v>340</v>
      </c>
      <c r="C19" s="149" t="s">
        <v>341</v>
      </c>
      <c r="F19" s="105">
        <v>3.0</v>
      </c>
    </row>
    <row r="20">
      <c r="B20" s="105" t="s">
        <v>342</v>
      </c>
      <c r="C20" s="149" t="s">
        <v>343</v>
      </c>
      <c r="F20" s="105">
        <v>3.0</v>
      </c>
    </row>
    <row r="21" ht="15.75" customHeight="1">
      <c r="B21" s="105" t="s">
        <v>344</v>
      </c>
      <c r="C21" s="149" t="s">
        <v>345</v>
      </c>
      <c r="F21" s="105">
        <v>2.0</v>
      </c>
    </row>
    <row r="22" ht="15.75" customHeight="1">
      <c r="B22" s="105" t="s">
        <v>346</v>
      </c>
      <c r="C22" s="149" t="s">
        <v>347</v>
      </c>
      <c r="F22" s="105">
        <v>3.0</v>
      </c>
    </row>
    <row r="23" ht="15.75" customHeight="1">
      <c r="B23" s="105" t="s">
        <v>349</v>
      </c>
      <c r="C23" s="149" t="s">
        <v>350</v>
      </c>
      <c r="F23" s="105">
        <v>3.0</v>
      </c>
    </row>
    <row r="24" ht="15.75" customHeight="1">
      <c r="B24" s="105" t="s">
        <v>351</v>
      </c>
      <c r="C24" s="149" t="s">
        <v>352</v>
      </c>
      <c r="F24" s="105">
        <v>3.0</v>
      </c>
    </row>
    <row r="25" ht="15.75" customHeight="1">
      <c r="B25" s="105" t="s">
        <v>353</v>
      </c>
      <c r="C25" s="149" t="s">
        <v>354</v>
      </c>
      <c r="F25" s="105">
        <v>3.0</v>
      </c>
    </row>
    <row r="26" ht="15.75" customHeight="1">
      <c r="B26" s="105" t="s">
        <v>355</v>
      </c>
      <c r="C26" s="149" t="s">
        <v>356</v>
      </c>
      <c r="F26" s="105">
        <v>2.0</v>
      </c>
    </row>
    <row r="27" ht="15.75" customHeight="1">
      <c r="B27" s="105" t="s">
        <v>357</v>
      </c>
      <c r="C27" s="149" t="s">
        <v>358</v>
      </c>
      <c r="F27" s="105">
        <v>3.0</v>
      </c>
    </row>
    <row r="28" ht="15.75" customHeight="1">
      <c r="B28" s="105" t="s">
        <v>359</v>
      </c>
      <c r="C28" s="149" t="s">
        <v>360</v>
      </c>
      <c r="F28" s="105">
        <v>3.0</v>
      </c>
    </row>
    <row r="29" ht="15.75" customHeight="1">
      <c r="B29" s="105" t="s">
        <v>361</v>
      </c>
      <c r="C29" s="149" t="s">
        <v>362</v>
      </c>
      <c r="F29" s="105">
        <v>1.0</v>
      </c>
    </row>
    <row r="30" ht="15.75" customHeight="1">
      <c r="B30" s="105" t="s">
        <v>363</v>
      </c>
      <c r="C30" s="149" t="s">
        <v>364</v>
      </c>
      <c r="F30" s="105">
        <v>2.0</v>
      </c>
    </row>
    <row r="31" ht="15.75" customHeight="1">
      <c r="B31" s="105" t="s">
        <v>366</v>
      </c>
      <c r="C31" s="149" t="s">
        <v>367</v>
      </c>
      <c r="F31" s="105">
        <v>3.0</v>
      </c>
    </row>
    <row r="32" ht="15.75" customHeight="1">
      <c r="B32" s="105" t="s">
        <v>368</v>
      </c>
      <c r="C32" s="149" t="s">
        <v>369</v>
      </c>
      <c r="F32" s="105">
        <v>3.0</v>
      </c>
    </row>
    <row r="33" ht="15.75" customHeight="1">
      <c r="B33" s="105" t="s">
        <v>370</v>
      </c>
      <c r="C33" s="149" t="s">
        <v>371</v>
      </c>
      <c r="F33" s="105">
        <v>2.0</v>
      </c>
    </row>
    <row r="34" ht="15.75" customHeight="1">
      <c r="B34" s="105" t="s">
        <v>372</v>
      </c>
      <c r="C34" s="149" t="s">
        <v>373</v>
      </c>
      <c r="F34" s="105">
        <v>3.0</v>
      </c>
    </row>
    <row r="35" ht="15.75" customHeight="1">
      <c r="B35" s="105" t="s">
        <v>374</v>
      </c>
      <c r="C35" s="149" t="s">
        <v>375</v>
      </c>
      <c r="F35" s="105">
        <v>3.0</v>
      </c>
    </row>
    <row r="36" ht="15.75" customHeight="1">
      <c r="B36" s="105" t="s">
        <v>376</v>
      </c>
      <c r="C36" s="149" t="s">
        <v>377</v>
      </c>
      <c r="F36" s="105">
        <v>2.0</v>
      </c>
    </row>
    <row r="37" ht="15.75" customHeight="1">
      <c r="B37" s="105" t="s">
        <v>378</v>
      </c>
      <c r="C37" s="149" t="s">
        <v>379</v>
      </c>
      <c r="F37" s="105">
        <v>3.0</v>
      </c>
    </row>
    <row r="38" ht="15.75" customHeight="1">
      <c r="B38" s="105" t="s">
        <v>381</v>
      </c>
      <c r="C38" s="149" t="s">
        <v>382</v>
      </c>
      <c r="F38" s="105">
        <v>3.0</v>
      </c>
    </row>
    <row r="39" ht="15.75" customHeight="1">
      <c r="B39" s="105" t="s">
        <v>383</v>
      </c>
      <c r="C39" s="149" t="s">
        <v>384</v>
      </c>
      <c r="F39" s="105">
        <v>2.0</v>
      </c>
    </row>
    <row r="40" ht="15.75" customHeight="1">
      <c r="B40" s="105" t="s">
        <v>386</v>
      </c>
      <c r="C40" s="149" t="s">
        <v>387</v>
      </c>
      <c r="F40" s="105">
        <v>3.0</v>
      </c>
    </row>
    <row r="41" ht="15.75" customHeight="1">
      <c r="B41" s="105" t="s">
        <v>388</v>
      </c>
      <c r="C41" s="149" t="s">
        <v>389</v>
      </c>
      <c r="F41" s="105">
        <v>3.0</v>
      </c>
    </row>
    <row r="42" ht="15.75" customHeight="1">
      <c r="B42" s="105" t="s">
        <v>390</v>
      </c>
      <c r="C42" s="149" t="s">
        <v>391</v>
      </c>
      <c r="F42" s="105">
        <v>2.0</v>
      </c>
    </row>
    <row r="43" ht="15.75" customHeight="1">
      <c r="B43" s="105" t="s">
        <v>392</v>
      </c>
      <c r="C43" s="149" t="s">
        <v>393</v>
      </c>
      <c r="F43" s="105">
        <v>3.0</v>
      </c>
    </row>
    <row r="44" ht="15.75" customHeight="1">
      <c r="B44" s="105" t="s">
        <v>394</v>
      </c>
      <c r="C44" s="149" t="s">
        <v>395</v>
      </c>
      <c r="F44" s="105">
        <v>3.0</v>
      </c>
    </row>
    <row r="45" ht="15.75" customHeight="1">
      <c r="B45" s="105" t="s">
        <v>396</v>
      </c>
      <c r="C45" s="149" t="s">
        <v>397</v>
      </c>
      <c r="F45" s="105">
        <v>1.0</v>
      </c>
    </row>
    <row r="46" ht="15.75" customHeight="1">
      <c r="B46" s="105" t="s">
        <v>399</v>
      </c>
      <c r="C46" s="149" t="s">
        <v>400</v>
      </c>
      <c r="F46" s="105">
        <v>2.0</v>
      </c>
    </row>
    <row r="47" ht="15.75" customHeight="1">
      <c r="B47" s="105" t="s">
        <v>401</v>
      </c>
      <c r="C47" s="149" t="s">
        <v>402</v>
      </c>
      <c r="F47" s="105">
        <v>3.0</v>
      </c>
    </row>
    <row r="48" ht="15.75" customHeight="1">
      <c r="B48" s="105" t="s">
        <v>403</v>
      </c>
      <c r="C48" s="149" t="s">
        <v>404</v>
      </c>
      <c r="F48" s="105">
        <v>3.0</v>
      </c>
    </row>
    <row r="49" ht="15.75" customHeight="1">
      <c r="B49" s="105" t="s">
        <v>405</v>
      </c>
      <c r="C49" s="149" t="s">
        <v>406</v>
      </c>
      <c r="F49" s="105">
        <v>3.0</v>
      </c>
    </row>
    <row r="50" ht="15.75" customHeight="1">
      <c r="B50" s="105" t="s">
        <v>407</v>
      </c>
      <c r="C50" s="149" t="s">
        <v>408</v>
      </c>
      <c r="F50" s="105">
        <v>3.0</v>
      </c>
    </row>
    <row r="51" ht="15.75" customHeight="1">
      <c r="B51" s="105" t="s">
        <v>409</v>
      </c>
      <c r="C51" s="149" t="s">
        <v>410</v>
      </c>
      <c r="F51" s="105">
        <v>3.0</v>
      </c>
    </row>
    <row r="52" ht="15.75" customHeight="1">
      <c r="B52" s="105" t="s">
        <v>411</v>
      </c>
      <c r="C52" s="149" t="s">
        <v>412</v>
      </c>
      <c r="F52" s="105">
        <v>3.0</v>
      </c>
    </row>
    <row r="53" ht="15.75" customHeight="1">
      <c r="B53" s="105" t="s">
        <v>413</v>
      </c>
      <c r="C53" s="149" t="s">
        <v>414</v>
      </c>
      <c r="F53" s="105">
        <v>3.0</v>
      </c>
    </row>
    <row r="54" ht="15.75" customHeight="1">
      <c r="B54" s="105" t="s">
        <v>415</v>
      </c>
      <c r="C54" s="149" t="s">
        <v>417</v>
      </c>
      <c r="F54" s="105">
        <v>3.0</v>
      </c>
    </row>
    <row r="55" ht="15.75" customHeight="1">
      <c r="B55" s="105" t="s">
        <v>418</v>
      </c>
      <c r="C55" s="149" t="s">
        <v>419</v>
      </c>
      <c r="F55" s="105">
        <v>2.0</v>
      </c>
    </row>
    <row r="56" ht="15.75" customHeight="1">
      <c r="B56" s="105" t="s">
        <v>420</v>
      </c>
      <c r="C56" s="149" t="s">
        <v>419</v>
      </c>
      <c r="F56" s="105">
        <v>3.0</v>
      </c>
    </row>
    <row r="57" ht="15.75" customHeight="1">
      <c r="B57" s="105" t="s">
        <v>421</v>
      </c>
      <c r="C57" s="149" t="s">
        <v>422</v>
      </c>
      <c r="F57" s="105">
        <v>2.0</v>
      </c>
    </row>
    <row r="58" ht="15.75" customHeight="1">
      <c r="B58" s="105" t="s">
        <v>424</v>
      </c>
      <c r="C58" s="149" t="s">
        <v>422</v>
      </c>
      <c r="F58" s="105">
        <v>3.0</v>
      </c>
    </row>
    <row r="59" ht="15.75" customHeight="1">
      <c r="B59" s="105" t="s">
        <v>425</v>
      </c>
      <c r="C59" s="149" t="s">
        <v>426</v>
      </c>
      <c r="F59" s="105">
        <v>2.0</v>
      </c>
    </row>
    <row r="60" ht="15.75" customHeight="1">
      <c r="B60" s="105" t="s">
        <v>427</v>
      </c>
      <c r="C60" s="149" t="s">
        <v>428</v>
      </c>
      <c r="F60" s="105">
        <v>3.0</v>
      </c>
    </row>
    <row r="61" ht="15.75" customHeight="1">
      <c r="B61" s="105" t="s">
        <v>429</v>
      </c>
      <c r="C61" s="149" t="s">
        <v>430</v>
      </c>
      <c r="F61" s="105">
        <v>3.0</v>
      </c>
    </row>
    <row r="62" ht="15.75" customHeight="1">
      <c r="B62" s="105" t="s">
        <v>431</v>
      </c>
      <c r="C62" s="149" t="s">
        <v>432</v>
      </c>
      <c r="F62" s="105">
        <v>2.0</v>
      </c>
    </row>
    <row r="63" ht="15.75" customHeight="1">
      <c r="B63" s="105" t="s">
        <v>433</v>
      </c>
      <c r="C63" s="149" t="s">
        <v>434</v>
      </c>
      <c r="F63" s="105">
        <v>3.0</v>
      </c>
    </row>
    <row r="64" ht="15.75" customHeight="1">
      <c r="B64" s="105" t="s">
        <v>435</v>
      </c>
      <c r="C64" s="149" t="s">
        <v>436</v>
      </c>
      <c r="F64" s="105">
        <v>3.0</v>
      </c>
    </row>
    <row r="65" ht="15.75" customHeight="1">
      <c r="B65" s="105" t="s">
        <v>437</v>
      </c>
      <c r="C65" s="149" t="s">
        <v>438</v>
      </c>
      <c r="F65" s="105">
        <v>3.0</v>
      </c>
    </row>
    <row r="66" ht="15.75" customHeight="1">
      <c r="B66" s="105" t="s">
        <v>439</v>
      </c>
      <c r="C66" s="149" t="s">
        <v>440</v>
      </c>
      <c r="F66" s="105">
        <v>2.0</v>
      </c>
    </row>
    <row r="67" ht="15.75" customHeight="1">
      <c r="B67" s="105" t="s">
        <v>441</v>
      </c>
      <c r="C67" s="149" t="s">
        <v>442</v>
      </c>
      <c r="F67" s="105">
        <v>3.0</v>
      </c>
    </row>
    <row r="68" ht="15.75" customHeight="1">
      <c r="B68" s="105" t="s">
        <v>443</v>
      </c>
      <c r="C68" s="149" t="s">
        <v>444</v>
      </c>
      <c r="F68" s="105">
        <v>3.0</v>
      </c>
    </row>
    <row r="69" ht="15.75" customHeight="1">
      <c r="B69" s="105" t="s">
        <v>445</v>
      </c>
      <c r="C69" s="149" t="s">
        <v>446</v>
      </c>
      <c r="F69" s="105">
        <v>2.0</v>
      </c>
    </row>
    <row r="70" ht="15.75" customHeight="1">
      <c r="B70" s="105" t="s">
        <v>447</v>
      </c>
      <c r="C70" s="149" t="s">
        <v>448</v>
      </c>
      <c r="F70" s="105">
        <v>3.0</v>
      </c>
    </row>
    <row r="71" ht="15.75" customHeight="1">
      <c r="B71" s="105" t="s">
        <v>450</v>
      </c>
      <c r="C71" s="149" t="s">
        <v>451</v>
      </c>
      <c r="F71" s="105">
        <v>3.0</v>
      </c>
    </row>
    <row r="72" ht="15.75" customHeight="1">
      <c r="B72" s="105" t="s">
        <v>452</v>
      </c>
      <c r="C72" s="149" t="s">
        <v>453</v>
      </c>
      <c r="F72" s="105">
        <v>2.0</v>
      </c>
    </row>
    <row r="73" ht="15.75" customHeight="1">
      <c r="B73" s="105" t="s">
        <v>454</v>
      </c>
      <c r="C73" s="149" t="s">
        <v>453</v>
      </c>
      <c r="F73" s="105">
        <v>3.0</v>
      </c>
    </row>
    <row r="74" ht="15.75" customHeight="1">
      <c r="B74" s="105" t="s">
        <v>455</v>
      </c>
      <c r="C74" s="149" t="s">
        <v>456</v>
      </c>
      <c r="F74" s="105">
        <v>2.0</v>
      </c>
    </row>
    <row r="75" ht="15.75" customHeight="1">
      <c r="B75" s="105" t="s">
        <v>457</v>
      </c>
      <c r="C75" s="149" t="s">
        <v>458</v>
      </c>
      <c r="F75" s="105">
        <v>3.0</v>
      </c>
    </row>
    <row r="76" ht="15.75" customHeight="1">
      <c r="B76" s="105" t="s">
        <v>459</v>
      </c>
      <c r="C76" s="149" t="s">
        <v>460</v>
      </c>
      <c r="F76" s="105">
        <v>3.0</v>
      </c>
    </row>
    <row r="77" ht="15.75" customHeight="1">
      <c r="B77" s="105" t="s">
        <v>461</v>
      </c>
      <c r="C77" s="149" t="s">
        <v>462</v>
      </c>
      <c r="F77" s="105">
        <v>2.0</v>
      </c>
    </row>
    <row r="78" ht="15.75" customHeight="1">
      <c r="B78" s="105" t="s">
        <v>463</v>
      </c>
      <c r="C78" s="149" t="s">
        <v>464</v>
      </c>
      <c r="F78" s="105">
        <v>3.0</v>
      </c>
    </row>
    <row r="79" ht="15.75" customHeight="1">
      <c r="B79" s="105" t="s">
        <v>466</v>
      </c>
      <c r="C79" s="149" t="s">
        <v>467</v>
      </c>
      <c r="F79" s="105">
        <v>3.0</v>
      </c>
    </row>
    <row r="80" ht="15.75" customHeight="1">
      <c r="B80" s="105" t="s">
        <v>468</v>
      </c>
      <c r="C80" s="149" t="s">
        <v>469</v>
      </c>
      <c r="F80" s="105">
        <v>2.0</v>
      </c>
    </row>
    <row r="81" ht="15.75" customHeight="1">
      <c r="B81" s="105" t="s">
        <v>470</v>
      </c>
      <c r="C81" s="149" t="s">
        <v>471</v>
      </c>
      <c r="F81" s="105">
        <v>3.0</v>
      </c>
    </row>
    <row r="82" ht="15.75" customHeight="1">
      <c r="B82" s="105" t="s">
        <v>473</v>
      </c>
      <c r="C82" s="149" t="s">
        <v>474</v>
      </c>
      <c r="F82" s="105">
        <v>3.0</v>
      </c>
    </row>
    <row r="83" ht="15.75" customHeight="1">
      <c r="B83" s="105" t="s">
        <v>475</v>
      </c>
      <c r="C83" s="149" t="s">
        <v>476</v>
      </c>
      <c r="F83" s="105">
        <v>3.0</v>
      </c>
    </row>
    <row r="84" ht="15.75" customHeight="1">
      <c r="B84" s="105" t="s">
        <v>477</v>
      </c>
      <c r="C84" s="149" t="s">
        <v>478</v>
      </c>
      <c r="F84" s="105">
        <v>2.0</v>
      </c>
    </row>
    <row r="85" ht="15.75" customHeight="1">
      <c r="B85" s="105" t="s">
        <v>479</v>
      </c>
      <c r="C85" s="149" t="s">
        <v>478</v>
      </c>
      <c r="F85" s="105">
        <v>3.0</v>
      </c>
    </row>
    <row r="86" ht="15.75" customHeight="1">
      <c r="B86" s="105" t="s">
        <v>480</v>
      </c>
      <c r="C86" s="149" t="s">
        <v>481</v>
      </c>
      <c r="F86" s="105">
        <v>2.0</v>
      </c>
    </row>
    <row r="87" ht="15.75" customHeight="1">
      <c r="B87" s="105" t="s">
        <v>482</v>
      </c>
      <c r="C87" s="149" t="s">
        <v>483</v>
      </c>
      <c r="F87" s="105">
        <v>3.0</v>
      </c>
    </row>
    <row r="88" ht="15.75" customHeight="1">
      <c r="B88" s="105" t="s">
        <v>484</v>
      </c>
      <c r="C88" s="149" t="s">
        <v>486</v>
      </c>
      <c r="F88" s="105">
        <v>3.0</v>
      </c>
    </row>
    <row r="89" ht="15.75" customHeight="1">
      <c r="B89" s="105" t="s">
        <v>487</v>
      </c>
      <c r="C89" s="149" t="s">
        <v>488</v>
      </c>
      <c r="F89" s="105">
        <v>2.0</v>
      </c>
    </row>
    <row r="90" ht="15.75" customHeight="1">
      <c r="B90" s="105" t="s">
        <v>489</v>
      </c>
      <c r="C90" s="149" t="s">
        <v>490</v>
      </c>
      <c r="F90" s="105">
        <v>3.0</v>
      </c>
    </row>
    <row r="91" ht="15.75" customHeight="1">
      <c r="B91" s="105" t="s">
        <v>491</v>
      </c>
      <c r="C91" s="149" t="s">
        <v>492</v>
      </c>
      <c r="F91" s="105">
        <v>3.0</v>
      </c>
    </row>
    <row r="92" ht="15.75" customHeight="1">
      <c r="B92" s="105" t="s">
        <v>493</v>
      </c>
      <c r="C92" s="149" t="s">
        <v>494</v>
      </c>
      <c r="F92" s="105">
        <v>2.0</v>
      </c>
    </row>
    <row r="93" ht="15.75" customHeight="1">
      <c r="B93" s="105" t="s">
        <v>495</v>
      </c>
      <c r="C93" s="149" t="s">
        <v>496</v>
      </c>
      <c r="F93" s="105">
        <v>3.0</v>
      </c>
    </row>
    <row r="94" ht="15.75" customHeight="1">
      <c r="B94" s="105" t="s">
        <v>497</v>
      </c>
      <c r="C94" s="149" t="s">
        <v>498</v>
      </c>
      <c r="F94" s="105">
        <v>3.0</v>
      </c>
    </row>
    <row r="95" ht="15.75" customHeight="1">
      <c r="B95" s="105" t="s">
        <v>499</v>
      </c>
      <c r="C95" s="149" t="s">
        <v>501</v>
      </c>
      <c r="F95" s="105">
        <v>3.0</v>
      </c>
    </row>
    <row r="96" ht="15.75" customHeight="1">
      <c r="B96" s="105" t="s">
        <v>502</v>
      </c>
      <c r="C96" s="149" t="s">
        <v>503</v>
      </c>
      <c r="F96" s="105">
        <v>2.0</v>
      </c>
    </row>
    <row r="97" ht="15.75" customHeight="1">
      <c r="B97" s="105" t="s">
        <v>504</v>
      </c>
      <c r="C97" s="149" t="s">
        <v>505</v>
      </c>
      <c r="F97" s="105">
        <v>3.0</v>
      </c>
    </row>
    <row r="98" ht="15.75" customHeight="1">
      <c r="B98" s="105" t="s">
        <v>506</v>
      </c>
      <c r="C98" s="149" t="s">
        <v>507</v>
      </c>
      <c r="F98" s="105">
        <v>3.0</v>
      </c>
    </row>
    <row r="99" ht="15.75" customHeight="1">
      <c r="B99" s="105" t="s">
        <v>508</v>
      </c>
      <c r="C99" s="149" t="s">
        <v>509</v>
      </c>
      <c r="F99" s="105">
        <v>3.0</v>
      </c>
    </row>
    <row r="100" ht="15.75" customHeight="1">
      <c r="B100" s="105" t="s">
        <v>510</v>
      </c>
      <c r="C100" s="149" t="s">
        <v>511</v>
      </c>
      <c r="F100" s="105">
        <v>2.0</v>
      </c>
    </row>
    <row r="101" ht="15.75" customHeight="1">
      <c r="B101" s="105" t="s">
        <v>512</v>
      </c>
      <c r="C101" s="149" t="s">
        <v>513</v>
      </c>
      <c r="F101" s="105">
        <v>3.0</v>
      </c>
    </row>
    <row r="102" ht="15.75" customHeight="1">
      <c r="B102" s="105" t="s">
        <v>514</v>
      </c>
      <c r="C102" s="149" t="s">
        <v>515</v>
      </c>
      <c r="F102" s="105">
        <v>3.0</v>
      </c>
    </row>
    <row r="103" ht="15.75" customHeight="1">
      <c r="B103" s="105" t="s">
        <v>516</v>
      </c>
      <c r="C103" s="149" t="s">
        <v>517</v>
      </c>
      <c r="F103" s="105">
        <v>3.0</v>
      </c>
    </row>
    <row r="104" ht="15.75" customHeight="1">
      <c r="B104" s="105" t="s">
        <v>518</v>
      </c>
      <c r="C104" s="149" t="s">
        <v>519</v>
      </c>
      <c r="F104" s="105">
        <v>3.0</v>
      </c>
    </row>
    <row r="105" ht="15.75" customHeight="1">
      <c r="B105" s="105" t="s">
        <v>521</v>
      </c>
      <c r="C105" s="149" t="s">
        <v>522</v>
      </c>
      <c r="F105" s="105">
        <v>3.0</v>
      </c>
    </row>
    <row r="106" ht="15.75" customHeight="1">
      <c r="B106" s="105" t="s">
        <v>523</v>
      </c>
      <c r="C106" s="149" t="s">
        <v>524</v>
      </c>
      <c r="F106" s="105">
        <v>3.0</v>
      </c>
    </row>
    <row r="107" ht="15.75" customHeight="1">
      <c r="B107" s="105" t="s">
        <v>525</v>
      </c>
      <c r="C107" s="149" t="s">
        <v>526</v>
      </c>
      <c r="F107" s="105">
        <v>3.0</v>
      </c>
    </row>
    <row r="108" ht="15.75" customHeight="1">
      <c r="B108" s="105" t="s">
        <v>527</v>
      </c>
      <c r="C108" s="149" t="s">
        <v>528</v>
      </c>
      <c r="F108" s="105">
        <v>3.0</v>
      </c>
    </row>
    <row r="109" ht="15.75" customHeight="1">
      <c r="B109" s="105" t="s">
        <v>529</v>
      </c>
      <c r="C109" s="149" t="s">
        <v>530</v>
      </c>
      <c r="F109" s="105">
        <v>2.0</v>
      </c>
    </row>
    <row r="110" ht="15.75" customHeight="1">
      <c r="B110" s="105" t="s">
        <v>531</v>
      </c>
      <c r="C110" s="149" t="s">
        <v>532</v>
      </c>
      <c r="F110" s="105">
        <v>3.0</v>
      </c>
    </row>
    <row r="111" ht="15.75" customHeight="1">
      <c r="B111" s="105" t="s">
        <v>533</v>
      </c>
      <c r="C111" s="149" t="s">
        <v>534</v>
      </c>
      <c r="F111" s="105">
        <v>3.0</v>
      </c>
    </row>
    <row r="112" ht="15.75" customHeight="1">
      <c r="B112" s="105" t="s">
        <v>535</v>
      </c>
      <c r="C112" s="149" t="s">
        <v>536</v>
      </c>
      <c r="F112" s="105">
        <v>3.0</v>
      </c>
    </row>
    <row r="113" ht="15.75" customHeight="1">
      <c r="B113" s="105" t="s">
        <v>537</v>
      </c>
      <c r="C113" s="149" t="s">
        <v>538</v>
      </c>
      <c r="F113" s="105">
        <v>3.0</v>
      </c>
    </row>
    <row r="114" ht="15.75" customHeight="1">
      <c r="B114" s="105" t="s">
        <v>539</v>
      </c>
      <c r="C114" s="149" t="s">
        <v>540</v>
      </c>
      <c r="F114" s="105">
        <v>3.0</v>
      </c>
    </row>
    <row r="115" ht="15.75" customHeight="1">
      <c r="B115" s="105" t="s">
        <v>542</v>
      </c>
      <c r="C115" s="149" t="s">
        <v>543</v>
      </c>
      <c r="F115" s="105">
        <v>3.0</v>
      </c>
    </row>
    <row r="116" ht="15.75" customHeight="1">
      <c r="B116" s="105" t="s">
        <v>544</v>
      </c>
      <c r="C116" s="149" t="s">
        <v>545</v>
      </c>
      <c r="F116" s="105">
        <v>2.0</v>
      </c>
    </row>
    <row r="117" ht="15.75" customHeight="1">
      <c r="B117" s="105" t="s">
        <v>546</v>
      </c>
      <c r="C117" s="149" t="s">
        <v>547</v>
      </c>
      <c r="F117" s="105">
        <v>3.0</v>
      </c>
    </row>
    <row r="118" ht="15.75" customHeight="1">
      <c r="B118" s="105" t="s">
        <v>548</v>
      </c>
      <c r="C118" s="149" t="s">
        <v>549</v>
      </c>
      <c r="F118" s="105">
        <v>3.0</v>
      </c>
    </row>
    <row r="119" ht="15.75" customHeight="1">
      <c r="B119" s="105" t="s">
        <v>550</v>
      </c>
      <c r="C119" s="149" t="s">
        <v>551</v>
      </c>
      <c r="F119" s="105">
        <v>2.0</v>
      </c>
    </row>
    <row r="120" ht="15.75" customHeight="1">
      <c r="B120" s="105" t="s">
        <v>552</v>
      </c>
      <c r="C120" s="149" t="s">
        <v>553</v>
      </c>
      <c r="F120" s="105">
        <v>3.0</v>
      </c>
    </row>
    <row r="121" ht="15.75" customHeight="1">
      <c r="B121" s="105" t="s">
        <v>554</v>
      </c>
      <c r="C121" s="149" t="s">
        <v>555</v>
      </c>
      <c r="F121" s="105">
        <v>3.0</v>
      </c>
    </row>
    <row r="122" ht="15.75" customHeight="1">
      <c r="B122" s="105" t="s">
        <v>556</v>
      </c>
      <c r="C122" s="149" t="s">
        <v>557</v>
      </c>
      <c r="F122" s="105">
        <v>3.0</v>
      </c>
    </row>
    <row r="123" ht="15.75" customHeight="1">
      <c r="B123" s="105" t="s">
        <v>559</v>
      </c>
      <c r="C123" s="149" t="s">
        <v>560</v>
      </c>
      <c r="F123" s="105">
        <v>2.0</v>
      </c>
    </row>
    <row r="124" ht="15.75" customHeight="1">
      <c r="B124" s="105" t="s">
        <v>561</v>
      </c>
      <c r="C124" s="149" t="s">
        <v>562</v>
      </c>
      <c r="F124" s="105">
        <v>3.0</v>
      </c>
    </row>
    <row r="125" ht="15.75" customHeight="1">
      <c r="B125" s="105" t="s">
        <v>563</v>
      </c>
      <c r="C125" s="149" t="s">
        <v>564</v>
      </c>
      <c r="F125" s="105">
        <v>3.0</v>
      </c>
    </row>
    <row r="126" ht="15.75" customHeight="1">
      <c r="B126" s="105" t="s">
        <v>565</v>
      </c>
      <c r="C126" s="149" t="s">
        <v>566</v>
      </c>
      <c r="F126" s="105">
        <v>3.0</v>
      </c>
    </row>
    <row r="127" ht="15.75" customHeight="1">
      <c r="B127" s="105" t="s">
        <v>567</v>
      </c>
      <c r="C127" s="149" t="s">
        <v>568</v>
      </c>
      <c r="F127" s="105">
        <v>3.0</v>
      </c>
    </row>
    <row r="128" ht="15.75" customHeight="1">
      <c r="B128" s="105" t="s">
        <v>569</v>
      </c>
      <c r="C128" s="149" t="s">
        <v>570</v>
      </c>
      <c r="F128" s="105">
        <v>3.0</v>
      </c>
    </row>
    <row r="129" ht="15.75" customHeight="1">
      <c r="B129" s="105" t="s">
        <v>571</v>
      </c>
      <c r="C129" s="149" t="s">
        <v>572</v>
      </c>
      <c r="F129" s="105">
        <v>2.0</v>
      </c>
    </row>
    <row r="130" ht="15.75" customHeight="1">
      <c r="B130" s="105" t="s">
        <v>573</v>
      </c>
      <c r="C130" s="149" t="s">
        <v>572</v>
      </c>
      <c r="F130" s="105">
        <v>3.0</v>
      </c>
    </row>
    <row r="131" ht="15.75" customHeight="1">
      <c r="B131" s="105" t="s">
        <v>575</v>
      </c>
      <c r="C131" s="149" t="s">
        <v>576</v>
      </c>
      <c r="F131" s="105">
        <v>2.0</v>
      </c>
    </row>
    <row r="132" ht="15.75" customHeight="1">
      <c r="B132" s="105" t="s">
        <v>577</v>
      </c>
      <c r="C132" s="149" t="s">
        <v>578</v>
      </c>
      <c r="F132" s="105">
        <v>3.0</v>
      </c>
    </row>
    <row r="133" ht="15.75" customHeight="1">
      <c r="B133" s="105" t="s">
        <v>579</v>
      </c>
      <c r="C133" s="149" t="s">
        <v>580</v>
      </c>
      <c r="F133" s="105">
        <v>3.0</v>
      </c>
    </row>
    <row r="134" ht="15.75" customHeight="1">
      <c r="B134" s="105" t="s">
        <v>581</v>
      </c>
      <c r="C134" s="149" t="s">
        <v>582</v>
      </c>
      <c r="F134" s="105">
        <v>3.0</v>
      </c>
    </row>
    <row r="135" ht="15.75" customHeight="1">
      <c r="B135" s="105" t="s">
        <v>583</v>
      </c>
      <c r="C135" s="149" t="s">
        <v>584</v>
      </c>
      <c r="F135" s="105">
        <v>3.0</v>
      </c>
    </row>
    <row r="136" ht="15.75" customHeight="1">
      <c r="B136" s="105" t="s">
        <v>585</v>
      </c>
      <c r="C136" s="149" t="s">
        <v>586</v>
      </c>
      <c r="F136" s="105">
        <v>3.0</v>
      </c>
    </row>
    <row r="137" ht="15.75" customHeight="1">
      <c r="B137" s="105" t="s">
        <v>587</v>
      </c>
      <c r="C137" s="149" t="s">
        <v>588</v>
      </c>
      <c r="F137" s="105">
        <v>3.0</v>
      </c>
    </row>
    <row r="138" ht="15.75" customHeight="1">
      <c r="B138" s="105" t="s">
        <v>589</v>
      </c>
      <c r="C138" s="149" t="s">
        <v>590</v>
      </c>
      <c r="F138" s="105">
        <v>2.0</v>
      </c>
    </row>
    <row r="139" ht="15.75" customHeight="1">
      <c r="B139" s="105" t="s">
        <v>591</v>
      </c>
      <c r="C139" s="149" t="s">
        <v>592</v>
      </c>
      <c r="F139" s="105">
        <v>3.0</v>
      </c>
    </row>
    <row r="140" ht="15.75" customHeight="1">
      <c r="B140" s="105" t="s">
        <v>593</v>
      </c>
      <c r="C140" s="149" t="s">
        <v>594</v>
      </c>
      <c r="F140" s="105">
        <v>3.0</v>
      </c>
    </row>
    <row r="141" ht="15.75" customHeight="1">
      <c r="B141" s="105" t="s">
        <v>595</v>
      </c>
      <c r="C141" s="149" t="s">
        <v>596</v>
      </c>
      <c r="F141" s="105">
        <v>1.0</v>
      </c>
    </row>
    <row r="142" ht="15.75" customHeight="1">
      <c r="B142" s="105" t="s">
        <v>597</v>
      </c>
      <c r="C142" s="149" t="s">
        <v>596</v>
      </c>
      <c r="F142" s="105">
        <v>2.0</v>
      </c>
    </row>
    <row r="143" ht="15.75" customHeight="1">
      <c r="B143" s="105" t="s">
        <v>598</v>
      </c>
      <c r="C143" s="149" t="s">
        <v>599</v>
      </c>
      <c r="F143" s="105">
        <v>3.0</v>
      </c>
    </row>
    <row r="144" ht="15.75" customHeight="1">
      <c r="B144" s="105" t="s">
        <v>600</v>
      </c>
      <c r="C144" s="149" t="s">
        <v>601</v>
      </c>
      <c r="F144" s="105">
        <v>3.0</v>
      </c>
    </row>
    <row r="145" ht="15.75" customHeight="1">
      <c r="B145" s="105" t="s">
        <v>602</v>
      </c>
      <c r="C145" s="149" t="s">
        <v>603</v>
      </c>
      <c r="F145" s="105">
        <v>3.0</v>
      </c>
    </row>
    <row r="146" ht="15.75" customHeight="1">
      <c r="B146" s="105" t="s">
        <v>604</v>
      </c>
      <c r="C146" s="149" t="s">
        <v>605</v>
      </c>
      <c r="F146" s="105">
        <v>1.0</v>
      </c>
    </row>
    <row r="147" ht="15.75" customHeight="1">
      <c r="B147" s="105" t="s">
        <v>607</v>
      </c>
      <c r="C147" s="149" t="s">
        <v>608</v>
      </c>
      <c r="F147" s="105">
        <v>2.0</v>
      </c>
    </row>
    <row r="148" ht="15.75" customHeight="1">
      <c r="B148" s="105" t="s">
        <v>609</v>
      </c>
      <c r="C148" s="149" t="s">
        <v>608</v>
      </c>
      <c r="F148" s="105">
        <v>3.0</v>
      </c>
    </row>
    <row r="149" ht="15.75" customHeight="1">
      <c r="B149" s="105" t="s">
        <v>610</v>
      </c>
      <c r="C149" s="149" t="s">
        <v>611</v>
      </c>
      <c r="F149" s="105">
        <v>2.0</v>
      </c>
    </row>
    <row r="150" ht="15.75" customHeight="1">
      <c r="B150" s="105" t="s">
        <v>612</v>
      </c>
      <c r="C150" s="149" t="s">
        <v>611</v>
      </c>
      <c r="F150" s="105">
        <v>3.0</v>
      </c>
    </row>
    <row r="151" ht="15.75" customHeight="1">
      <c r="B151" s="105" t="s">
        <v>613</v>
      </c>
      <c r="C151" s="149" t="s">
        <v>614</v>
      </c>
      <c r="F151" s="105">
        <v>2.0</v>
      </c>
    </row>
    <row r="152" ht="15.75" customHeight="1">
      <c r="B152" s="105" t="s">
        <v>616</v>
      </c>
      <c r="C152" s="149" t="s">
        <v>617</v>
      </c>
      <c r="F152" s="105">
        <v>3.0</v>
      </c>
    </row>
    <row r="153" ht="15.75" customHeight="1">
      <c r="B153" s="105" t="s">
        <v>618</v>
      </c>
      <c r="C153" s="149" t="s">
        <v>619</v>
      </c>
      <c r="F153" s="105">
        <v>3.0</v>
      </c>
    </row>
    <row r="154" ht="15.75" customHeight="1">
      <c r="B154" s="105" t="s">
        <v>620</v>
      </c>
      <c r="C154" s="149" t="s">
        <v>621</v>
      </c>
      <c r="F154" s="105">
        <v>3.0</v>
      </c>
    </row>
    <row r="155" ht="15.75" customHeight="1">
      <c r="B155" s="105" t="s">
        <v>622</v>
      </c>
      <c r="C155" s="149" t="s">
        <v>623</v>
      </c>
      <c r="F155" s="105">
        <v>2.0</v>
      </c>
    </row>
    <row r="156" ht="15.75" customHeight="1">
      <c r="B156" s="105" t="s">
        <v>624</v>
      </c>
      <c r="C156" s="149" t="s">
        <v>623</v>
      </c>
      <c r="F156" s="105">
        <v>3.0</v>
      </c>
    </row>
    <row r="157" ht="15.75" customHeight="1">
      <c r="B157" s="105" t="s">
        <v>625</v>
      </c>
      <c r="C157" s="149" t="s">
        <v>626</v>
      </c>
      <c r="F157" s="105">
        <v>1.0</v>
      </c>
    </row>
    <row r="158" ht="15.75" customHeight="1">
      <c r="B158" s="105" t="s">
        <v>627</v>
      </c>
      <c r="C158" s="149" t="s">
        <v>628</v>
      </c>
      <c r="F158" s="105">
        <v>2.0</v>
      </c>
    </row>
    <row r="159" ht="15.75" customHeight="1">
      <c r="B159" s="105" t="s">
        <v>629</v>
      </c>
      <c r="C159" s="149" t="s">
        <v>628</v>
      </c>
      <c r="F159" s="105">
        <v>3.0</v>
      </c>
    </row>
    <row r="160" ht="15.75" customHeight="1">
      <c r="B160" s="105" t="s">
        <v>630</v>
      </c>
      <c r="C160" s="149" t="s">
        <v>631</v>
      </c>
      <c r="F160" s="105">
        <v>2.0</v>
      </c>
    </row>
    <row r="161" ht="15.75" customHeight="1">
      <c r="B161" s="105" t="s">
        <v>632</v>
      </c>
      <c r="C161" s="149" t="s">
        <v>633</v>
      </c>
      <c r="F161" s="105">
        <v>3.0</v>
      </c>
    </row>
    <row r="162" ht="15.75" customHeight="1">
      <c r="B162" s="105" t="s">
        <v>634</v>
      </c>
      <c r="C162" s="149" t="s">
        <v>635</v>
      </c>
      <c r="F162" s="105">
        <v>3.0</v>
      </c>
    </row>
    <row r="163" ht="15.75" customHeight="1">
      <c r="B163" s="105" t="s">
        <v>636</v>
      </c>
      <c r="C163" s="149" t="s">
        <v>637</v>
      </c>
      <c r="F163" s="105">
        <v>3.0</v>
      </c>
    </row>
    <row r="164" ht="15.75" customHeight="1">
      <c r="B164" s="105" t="s">
        <v>638</v>
      </c>
      <c r="C164" s="149" t="s">
        <v>639</v>
      </c>
      <c r="F164" s="105">
        <v>2.0</v>
      </c>
    </row>
    <row r="165" ht="15.75" customHeight="1">
      <c r="B165" s="105" t="s">
        <v>641</v>
      </c>
      <c r="C165" s="149" t="s">
        <v>642</v>
      </c>
      <c r="F165" s="105">
        <v>3.0</v>
      </c>
    </row>
    <row r="166" ht="15.75" customHeight="1">
      <c r="B166" s="105" t="s">
        <v>643</v>
      </c>
      <c r="C166" s="149" t="s">
        <v>644</v>
      </c>
      <c r="F166" s="105">
        <v>3.0</v>
      </c>
    </row>
    <row r="167" ht="15.75" customHeight="1">
      <c r="B167" s="105" t="s">
        <v>645</v>
      </c>
      <c r="C167" s="149" t="s">
        <v>646</v>
      </c>
      <c r="F167" s="105">
        <v>3.0</v>
      </c>
    </row>
    <row r="168" ht="15.75" customHeight="1">
      <c r="B168" s="105" t="s">
        <v>647</v>
      </c>
      <c r="C168" s="149" t="s">
        <v>648</v>
      </c>
      <c r="F168" s="105">
        <v>3.0</v>
      </c>
    </row>
    <row r="169" ht="15.75" customHeight="1">
      <c r="B169" s="105" t="s">
        <v>649</v>
      </c>
      <c r="C169" s="149" t="s">
        <v>650</v>
      </c>
      <c r="F169" s="105">
        <v>1.0</v>
      </c>
    </row>
    <row r="170" ht="15.75" customHeight="1">
      <c r="B170" s="105" t="s">
        <v>651</v>
      </c>
      <c r="C170" s="149" t="s">
        <v>652</v>
      </c>
      <c r="F170" s="105">
        <v>2.0</v>
      </c>
    </row>
    <row r="171" ht="15.75" customHeight="1">
      <c r="B171" s="105" t="s">
        <v>653</v>
      </c>
      <c r="C171" s="149" t="s">
        <v>654</v>
      </c>
      <c r="F171" s="105">
        <v>3.0</v>
      </c>
    </row>
    <row r="172" ht="15.75" customHeight="1">
      <c r="B172" s="105" t="s">
        <v>655</v>
      </c>
      <c r="C172" s="149" t="s">
        <v>656</v>
      </c>
      <c r="F172" s="105">
        <v>3.0</v>
      </c>
    </row>
    <row r="173" ht="15.75" customHeight="1">
      <c r="B173" s="105" t="s">
        <v>657</v>
      </c>
      <c r="C173" s="149" t="s">
        <v>658</v>
      </c>
      <c r="F173" s="105">
        <v>3.0</v>
      </c>
    </row>
    <row r="174" ht="15.75" customHeight="1">
      <c r="B174" s="105" t="s">
        <v>659</v>
      </c>
      <c r="C174" s="149" t="s">
        <v>660</v>
      </c>
      <c r="F174" s="105">
        <v>3.0</v>
      </c>
    </row>
    <row r="175" ht="15.75" customHeight="1">
      <c r="B175" s="105" t="s">
        <v>662</v>
      </c>
      <c r="C175" s="149" t="s">
        <v>663</v>
      </c>
      <c r="F175" s="105">
        <v>2.0</v>
      </c>
    </row>
    <row r="176" ht="15.75" customHeight="1">
      <c r="B176" s="105" t="s">
        <v>664</v>
      </c>
      <c r="C176" s="149" t="s">
        <v>665</v>
      </c>
      <c r="F176" s="105">
        <v>3.0</v>
      </c>
    </row>
    <row r="177" ht="15.75" customHeight="1">
      <c r="B177" s="105" t="s">
        <v>666</v>
      </c>
      <c r="C177" s="149" t="s">
        <v>667</v>
      </c>
      <c r="F177" s="105">
        <v>3.0</v>
      </c>
    </row>
    <row r="178" ht="15.75" customHeight="1">
      <c r="B178" s="105" t="s">
        <v>668</v>
      </c>
      <c r="C178" s="149" t="s">
        <v>669</v>
      </c>
      <c r="F178" s="105">
        <v>3.0</v>
      </c>
    </row>
    <row r="179" ht="15.75" customHeight="1">
      <c r="B179" s="105" t="s">
        <v>670</v>
      </c>
      <c r="C179" s="149" t="s">
        <v>671</v>
      </c>
      <c r="F179" s="105">
        <v>3.0</v>
      </c>
    </row>
    <row r="180" ht="15.75" customHeight="1">
      <c r="B180" s="105" t="s">
        <v>672</v>
      </c>
      <c r="C180" s="149" t="s">
        <v>673</v>
      </c>
      <c r="F180" s="105">
        <v>3.0</v>
      </c>
    </row>
    <row r="181" ht="15.75" customHeight="1">
      <c r="B181" s="105" t="s">
        <v>674</v>
      </c>
      <c r="C181" s="149" t="s">
        <v>675</v>
      </c>
      <c r="F181" s="105">
        <v>3.0</v>
      </c>
    </row>
    <row r="182" ht="15.75" customHeight="1">
      <c r="B182" s="105" t="s">
        <v>677</v>
      </c>
      <c r="C182" s="149" t="s">
        <v>678</v>
      </c>
      <c r="F182" s="105">
        <v>3.0</v>
      </c>
    </row>
    <row r="183" ht="15.75" customHeight="1">
      <c r="B183" s="105" t="s">
        <v>679</v>
      </c>
      <c r="C183" s="149" t="s">
        <v>680</v>
      </c>
      <c r="F183" s="105">
        <v>2.0</v>
      </c>
    </row>
    <row r="184" ht="15.75" customHeight="1">
      <c r="B184" s="105" t="s">
        <v>681</v>
      </c>
      <c r="C184" s="149" t="s">
        <v>682</v>
      </c>
      <c r="F184" s="105">
        <v>3.0</v>
      </c>
    </row>
    <row r="185" ht="15.75" customHeight="1">
      <c r="B185" s="105" t="s">
        <v>683</v>
      </c>
      <c r="C185" s="149" t="s">
        <v>684</v>
      </c>
      <c r="F185" s="105">
        <v>3.0</v>
      </c>
    </row>
    <row r="186" ht="15.75" customHeight="1">
      <c r="B186" s="105" t="s">
        <v>685</v>
      </c>
      <c r="C186" s="149" t="s">
        <v>686</v>
      </c>
      <c r="F186" s="105">
        <v>3.0</v>
      </c>
    </row>
    <row r="187" ht="15.75" customHeight="1">
      <c r="B187" s="105" t="s">
        <v>687</v>
      </c>
      <c r="C187" s="149" t="s">
        <v>688</v>
      </c>
      <c r="F187" s="105">
        <v>3.0</v>
      </c>
    </row>
    <row r="188" ht="15.75" customHeight="1">
      <c r="B188" s="105" t="s">
        <v>689</v>
      </c>
      <c r="C188" s="149" t="s">
        <v>690</v>
      </c>
      <c r="F188" s="105">
        <v>3.0</v>
      </c>
    </row>
    <row r="189" ht="15.75" customHeight="1">
      <c r="B189" s="105" t="s">
        <v>691</v>
      </c>
      <c r="C189" s="149" t="s">
        <v>692</v>
      </c>
      <c r="F189" s="105">
        <v>3.0</v>
      </c>
    </row>
    <row r="190" ht="15.75" customHeight="1">
      <c r="B190" s="105" t="s">
        <v>693</v>
      </c>
      <c r="C190" s="149" t="s">
        <v>694</v>
      </c>
      <c r="F190" s="105">
        <v>3.0</v>
      </c>
    </row>
    <row r="191" ht="15.75" customHeight="1">
      <c r="B191" s="105" t="s">
        <v>695</v>
      </c>
      <c r="C191" s="149" t="s">
        <v>696</v>
      </c>
      <c r="F191" s="105">
        <v>3.0</v>
      </c>
    </row>
    <row r="192" ht="15.75" customHeight="1">
      <c r="B192" s="105" t="s">
        <v>697</v>
      </c>
      <c r="C192" s="149" t="s">
        <v>698</v>
      </c>
      <c r="F192" s="105">
        <v>3.0</v>
      </c>
    </row>
    <row r="193" ht="15.75" customHeight="1">
      <c r="B193" s="105" t="s">
        <v>699</v>
      </c>
      <c r="C193" s="149" t="s">
        <v>700</v>
      </c>
      <c r="F193" s="105">
        <v>1.0</v>
      </c>
    </row>
    <row r="194" ht="15.75" customHeight="1">
      <c r="B194" s="105" t="s">
        <v>701</v>
      </c>
      <c r="C194" s="149" t="s">
        <v>702</v>
      </c>
      <c r="F194" s="105">
        <v>2.0</v>
      </c>
    </row>
    <row r="195" ht="15.75" customHeight="1">
      <c r="B195" s="105" t="s">
        <v>703</v>
      </c>
      <c r="C195" s="149" t="s">
        <v>704</v>
      </c>
      <c r="F195" s="105">
        <v>3.0</v>
      </c>
    </row>
    <row r="196" ht="15.75" customHeight="1">
      <c r="B196" s="105" t="s">
        <v>705</v>
      </c>
      <c r="C196" s="149" t="s">
        <v>706</v>
      </c>
      <c r="F196" s="105">
        <v>3.0</v>
      </c>
    </row>
    <row r="197" ht="15.75" customHeight="1">
      <c r="B197" s="105" t="s">
        <v>707</v>
      </c>
      <c r="C197" s="149" t="s">
        <v>708</v>
      </c>
      <c r="F197" s="105">
        <v>3.0</v>
      </c>
    </row>
    <row r="198" ht="15.75" customHeight="1">
      <c r="B198" s="105" t="s">
        <v>709</v>
      </c>
      <c r="C198" s="149" t="s">
        <v>710</v>
      </c>
      <c r="F198" s="105">
        <v>2.0</v>
      </c>
    </row>
    <row r="199" ht="15.75" customHeight="1">
      <c r="B199" s="105" t="s">
        <v>711</v>
      </c>
      <c r="C199" s="149" t="s">
        <v>712</v>
      </c>
      <c r="F199" s="105">
        <v>3.0</v>
      </c>
    </row>
    <row r="200" ht="15.75" customHeight="1">
      <c r="B200" s="105" t="s">
        <v>713</v>
      </c>
      <c r="C200" s="149" t="s">
        <v>714</v>
      </c>
      <c r="F200" s="105">
        <v>3.0</v>
      </c>
    </row>
    <row r="201" ht="15.75" customHeight="1">
      <c r="B201" s="105" t="s">
        <v>715</v>
      </c>
      <c r="C201" s="149" t="s">
        <v>716</v>
      </c>
      <c r="F201" s="105">
        <v>2.0</v>
      </c>
    </row>
    <row r="202" ht="15.75" customHeight="1">
      <c r="B202" s="105" t="s">
        <v>717</v>
      </c>
      <c r="C202" s="149" t="s">
        <v>718</v>
      </c>
      <c r="F202" s="105">
        <v>3.0</v>
      </c>
    </row>
    <row r="203" ht="15.75" customHeight="1">
      <c r="B203" s="105" t="s">
        <v>719</v>
      </c>
      <c r="C203" s="149" t="s">
        <v>720</v>
      </c>
      <c r="F203" s="105">
        <v>3.0</v>
      </c>
    </row>
    <row r="204" ht="15.75" customHeight="1">
      <c r="B204" s="105" t="s">
        <v>721</v>
      </c>
      <c r="C204" s="149" t="s">
        <v>722</v>
      </c>
      <c r="F204" s="105">
        <v>2.0</v>
      </c>
    </row>
    <row r="205" ht="15.75" customHeight="1">
      <c r="B205" s="105" t="s">
        <v>723</v>
      </c>
      <c r="C205" s="149" t="s">
        <v>724</v>
      </c>
      <c r="F205" s="105">
        <v>3.0</v>
      </c>
    </row>
    <row r="206" ht="15.75" customHeight="1">
      <c r="B206" s="105" t="s">
        <v>725</v>
      </c>
      <c r="C206" s="149" t="s">
        <v>726</v>
      </c>
      <c r="F206" s="105">
        <v>3.0</v>
      </c>
    </row>
    <row r="207" ht="15.75" customHeight="1">
      <c r="B207" s="105" t="s">
        <v>727</v>
      </c>
      <c r="C207" s="149" t="s">
        <v>728</v>
      </c>
      <c r="F207" s="105">
        <v>2.0</v>
      </c>
    </row>
    <row r="208" ht="15.75" customHeight="1">
      <c r="B208" s="105" t="s">
        <v>729</v>
      </c>
      <c r="C208" s="149" t="s">
        <v>728</v>
      </c>
      <c r="F208" s="105">
        <v>3.0</v>
      </c>
    </row>
    <row r="209" ht="15.75" customHeight="1">
      <c r="B209" s="105" t="s">
        <v>730</v>
      </c>
      <c r="C209" s="149" t="s">
        <v>731</v>
      </c>
      <c r="F209" s="105">
        <v>3.0</v>
      </c>
    </row>
    <row r="210" ht="15.75" customHeight="1">
      <c r="B210" s="105" t="s">
        <v>732</v>
      </c>
      <c r="C210" s="149" t="s">
        <v>733</v>
      </c>
      <c r="F210" s="105">
        <v>1.0</v>
      </c>
    </row>
    <row r="211" ht="15.75" customHeight="1">
      <c r="B211" s="105" t="s">
        <v>734</v>
      </c>
      <c r="C211" s="149" t="s">
        <v>735</v>
      </c>
      <c r="F211" s="105">
        <v>2.0</v>
      </c>
    </row>
    <row r="212" ht="15.75" customHeight="1">
      <c r="B212" s="105" t="s">
        <v>736</v>
      </c>
      <c r="C212" s="149" t="s">
        <v>737</v>
      </c>
      <c r="F212" s="105">
        <v>3.0</v>
      </c>
    </row>
    <row r="213" ht="15.75" customHeight="1">
      <c r="B213" s="105" t="s">
        <v>738</v>
      </c>
      <c r="C213" s="149" t="s">
        <v>739</v>
      </c>
      <c r="F213" s="105">
        <v>3.0</v>
      </c>
    </row>
    <row r="214" ht="15.75" customHeight="1">
      <c r="B214" s="105" t="s">
        <v>740</v>
      </c>
      <c r="C214" s="149" t="s">
        <v>741</v>
      </c>
      <c r="F214" s="105">
        <v>3.0</v>
      </c>
    </row>
    <row r="215" ht="15.75" customHeight="1">
      <c r="B215" s="105" t="s">
        <v>743</v>
      </c>
      <c r="C215" s="149" t="s">
        <v>745</v>
      </c>
      <c r="F215" s="105">
        <v>2.0</v>
      </c>
    </row>
    <row r="216" ht="15.75" customHeight="1">
      <c r="B216" s="105" t="s">
        <v>746</v>
      </c>
      <c r="C216" s="149" t="s">
        <v>747</v>
      </c>
      <c r="F216" s="105">
        <v>3.0</v>
      </c>
    </row>
    <row r="217" ht="15.75" customHeight="1">
      <c r="B217" s="105" t="s">
        <v>748</v>
      </c>
      <c r="C217" s="149" t="s">
        <v>749</v>
      </c>
      <c r="F217" s="105">
        <v>3.0</v>
      </c>
    </row>
    <row r="218" ht="15.75" customHeight="1">
      <c r="B218" s="105" t="s">
        <v>750</v>
      </c>
      <c r="C218" s="149" t="s">
        <v>751</v>
      </c>
      <c r="F218" s="105">
        <v>3.0</v>
      </c>
    </row>
    <row r="219" ht="15.75" customHeight="1">
      <c r="B219" s="105" t="s">
        <v>753</v>
      </c>
      <c r="C219" s="149" t="s">
        <v>754</v>
      </c>
      <c r="F219" s="105">
        <v>1.0</v>
      </c>
    </row>
    <row r="220" ht="15.75" customHeight="1">
      <c r="B220" s="105" t="s">
        <v>755</v>
      </c>
      <c r="C220" s="149" t="s">
        <v>756</v>
      </c>
      <c r="F220" s="105">
        <v>2.0</v>
      </c>
    </row>
    <row r="221" ht="15.75" customHeight="1">
      <c r="B221" s="105" t="s">
        <v>757</v>
      </c>
      <c r="C221" s="149" t="s">
        <v>758</v>
      </c>
      <c r="F221" s="105">
        <v>3.0</v>
      </c>
    </row>
    <row r="222" ht="15.75" customHeight="1">
      <c r="B222" s="105" t="s">
        <v>759</v>
      </c>
      <c r="C222" s="149" t="s">
        <v>760</v>
      </c>
      <c r="F222" s="105">
        <v>3.0</v>
      </c>
    </row>
    <row r="223" ht="15.75" customHeight="1">
      <c r="B223" s="105" t="s">
        <v>761</v>
      </c>
      <c r="C223" s="149" t="s">
        <v>762</v>
      </c>
      <c r="F223" s="105">
        <v>2.0</v>
      </c>
    </row>
    <row r="224" ht="15.75" customHeight="1">
      <c r="B224" s="105" t="s">
        <v>763</v>
      </c>
      <c r="C224" s="149" t="s">
        <v>764</v>
      </c>
      <c r="F224" s="105">
        <v>3.0</v>
      </c>
    </row>
    <row r="225" ht="15.75" customHeight="1">
      <c r="B225" s="105" t="s">
        <v>765</v>
      </c>
      <c r="C225" s="149" t="s">
        <v>766</v>
      </c>
      <c r="F225" s="105">
        <v>3.0</v>
      </c>
    </row>
    <row r="226" ht="15.75" customHeight="1">
      <c r="B226" s="105" t="s">
        <v>767</v>
      </c>
      <c r="C226" s="149" t="s">
        <v>768</v>
      </c>
      <c r="F226" s="105">
        <v>2.0</v>
      </c>
    </row>
    <row r="227" ht="15.75" customHeight="1">
      <c r="B227" s="105" t="s">
        <v>769</v>
      </c>
      <c r="C227" s="149" t="s">
        <v>770</v>
      </c>
      <c r="F227" s="105">
        <v>3.0</v>
      </c>
    </row>
    <row r="228" ht="15.75" customHeight="1">
      <c r="B228" s="105" t="s">
        <v>771</v>
      </c>
      <c r="C228" s="149" t="s">
        <v>772</v>
      </c>
      <c r="F228" s="105">
        <v>3.0</v>
      </c>
    </row>
    <row r="229" ht="15.75" customHeight="1">
      <c r="B229" s="105" t="s">
        <v>773</v>
      </c>
      <c r="C229" s="149" t="s">
        <v>774</v>
      </c>
      <c r="F229" s="105">
        <v>2.0</v>
      </c>
    </row>
    <row r="230" ht="15.75" customHeight="1">
      <c r="B230" s="105" t="s">
        <v>775</v>
      </c>
      <c r="C230" s="149" t="s">
        <v>776</v>
      </c>
      <c r="F230" s="105">
        <v>3.0</v>
      </c>
    </row>
    <row r="231" ht="15.75" customHeight="1">
      <c r="B231" s="105" t="s">
        <v>777</v>
      </c>
      <c r="C231" s="149" t="s">
        <v>778</v>
      </c>
      <c r="F231" s="105">
        <v>3.0</v>
      </c>
    </row>
    <row r="232" ht="15.75" customHeight="1">
      <c r="B232" s="105" t="s">
        <v>779</v>
      </c>
      <c r="C232" s="149" t="s">
        <v>781</v>
      </c>
      <c r="F232" s="105">
        <v>3.0</v>
      </c>
    </row>
    <row r="233" ht="15.75" customHeight="1">
      <c r="B233" s="105" t="s">
        <v>782</v>
      </c>
      <c r="C233" s="149" t="s">
        <v>783</v>
      </c>
      <c r="F233" s="105">
        <v>3.0</v>
      </c>
    </row>
    <row r="234" ht="15.75" customHeight="1">
      <c r="B234" s="105" t="s">
        <v>784</v>
      </c>
      <c r="C234" s="149" t="s">
        <v>785</v>
      </c>
      <c r="F234" s="105">
        <v>2.0</v>
      </c>
    </row>
    <row r="235" ht="15.75" customHeight="1">
      <c r="B235" s="105" t="s">
        <v>786</v>
      </c>
      <c r="C235" s="149" t="s">
        <v>787</v>
      </c>
      <c r="F235" s="105">
        <v>3.0</v>
      </c>
    </row>
    <row r="236" ht="15.75" customHeight="1">
      <c r="B236" s="105" t="s">
        <v>788</v>
      </c>
      <c r="C236" s="149" t="s">
        <v>789</v>
      </c>
      <c r="F236" s="105">
        <v>2.0</v>
      </c>
    </row>
    <row r="237" ht="15.75" customHeight="1">
      <c r="B237" s="105" t="s">
        <v>790</v>
      </c>
      <c r="C237" s="149" t="s">
        <v>791</v>
      </c>
      <c r="F237" s="105">
        <v>3.0</v>
      </c>
    </row>
    <row r="238" ht="15.75" customHeight="1">
      <c r="B238" s="105" t="s">
        <v>792</v>
      </c>
      <c r="C238" s="149" t="s">
        <v>793</v>
      </c>
      <c r="F238" s="105">
        <v>3.0</v>
      </c>
    </row>
    <row r="239" ht="15.75" customHeight="1">
      <c r="B239" s="105" t="s">
        <v>794</v>
      </c>
      <c r="C239" s="149" t="s">
        <v>795</v>
      </c>
      <c r="F239" s="105">
        <v>1.0</v>
      </c>
    </row>
    <row r="240" ht="15.75" customHeight="1">
      <c r="B240" s="105" t="s">
        <v>796</v>
      </c>
      <c r="C240" s="149" t="s">
        <v>797</v>
      </c>
      <c r="F240" s="105">
        <v>2.0</v>
      </c>
    </row>
    <row r="241" ht="15.75" customHeight="1">
      <c r="B241" s="105" t="s">
        <v>798</v>
      </c>
      <c r="C241" s="149" t="s">
        <v>799</v>
      </c>
      <c r="F241" s="105">
        <v>3.0</v>
      </c>
    </row>
    <row r="242" ht="15.75" customHeight="1">
      <c r="B242" s="105" t="s">
        <v>800</v>
      </c>
      <c r="C242" s="149" t="s">
        <v>801</v>
      </c>
      <c r="F242" s="105">
        <v>3.0</v>
      </c>
    </row>
    <row r="243" ht="15.75" customHeight="1">
      <c r="B243" s="105" t="s">
        <v>802</v>
      </c>
      <c r="C243" s="149" t="s">
        <v>803</v>
      </c>
      <c r="F243" s="105">
        <v>3.0</v>
      </c>
    </row>
    <row r="244" ht="15.75" customHeight="1">
      <c r="B244" s="105" t="s">
        <v>804</v>
      </c>
      <c r="C244" s="149" t="s">
        <v>805</v>
      </c>
      <c r="F244" s="105">
        <v>3.0</v>
      </c>
    </row>
    <row r="245" ht="15.75" customHeight="1">
      <c r="B245" s="105" t="s">
        <v>806</v>
      </c>
      <c r="C245" s="149" t="s">
        <v>807</v>
      </c>
      <c r="F245" s="105">
        <v>2.0</v>
      </c>
    </row>
    <row r="246" ht="15.75" customHeight="1">
      <c r="B246" s="105" t="s">
        <v>808</v>
      </c>
      <c r="C246" s="149" t="s">
        <v>809</v>
      </c>
      <c r="F246" s="105">
        <v>3.0</v>
      </c>
    </row>
    <row r="247" ht="15.75" customHeight="1">
      <c r="B247" s="105" t="s">
        <v>810</v>
      </c>
      <c r="C247" s="149" t="s">
        <v>811</v>
      </c>
      <c r="F247" s="105">
        <v>3.0</v>
      </c>
    </row>
    <row r="248" ht="15.75" customHeight="1">
      <c r="B248" s="105" t="s">
        <v>812</v>
      </c>
      <c r="C248" s="149" t="s">
        <v>813</v>
      </c>
      <c r="F248" s="105">
        <v>3.0</v>
      </c>
    </row>
    <row r="249" ht="15.75" customHeight="1">
      <c r="B249" s="105" t="s">
        <v>814</v>
      </c>
      <c r="C249" s="149" t="s">
        <v>815</v>
      </c>
      <c r="F249" s="105">
        <v>2.0</v>
      </c>
    </row>
    <row r="250" ht="15.75" customHeight="1">
      <c r="B250" s="105" t="s">
        <v>816</v>
      </c>
      <c r="C250" s="149" t="s">
        <v>817</v>
      </c>
      <c r="F250" s="105">
        <v>3.0</v>
      </c>
    </row>
    <row r="251" ht="15.75" customHeight="1">
      <c r="B251" s="105" t="s">
        <v>818</v>
      </c>
      <c r="C251" s="149" t="s">
        <v>819</v>
      </c>
      <c r="F251" s="105">
        <v>3.0</v>
      </c>
    </row>
    <row r="252" ht="15.75" customHeight="1">
      <c r="B252" s="105" t="s">
        <v>820</v>
      </c>
      <c r="C252" s="149" t="s">
        <v>821</v>
      </c>
      <c r="F252" s="105">
        <v>3.0</v>
      </c>
    </row>
    <row r="253" ht="15.75" customHeight="1">
      <c r="B253" s="105" t="s">
        <v>822</v>
      </c>
      <c r="C253" s="149" t="s">
        <v>823</v>
      </c>
      <c r="F253" s="105">
        <v>1.0</v>
      </c>
    </row>
    <row r="254" ht="15.75" customHeight="1">
      <c r="B254" s="105" t="s">
        <v>824</v>
      </c>
      <c r="C254" s="149" t="s">
        <v>823</v>
      </c>
      <c r="F254" s="105">
        <v>2.0</v>
      </c>
    </row>
    <row r="255" ht="15.75" customHeight="1">
      <c r="B255" s="105" t="s">
        <v>825</v>
      </c>
      <c r="C255" s="149" t="s">
        <v>826</v>
      </c>
      <c r="F255" s="105">
        <v>3.0</v>
      </c>
    </row>
    <row r="256" ht="15.75" customHeight="1">
      <c r="B256" s="105" t="s">
        <v>827</v>
      </c>
      <c r="C256" s="149" t="s">
        <v>828</v>
      </c>
      <c r="F256" s="105">
        <v>3.0</v>
      </c>
    </row>
    <row r="257" ht="15.75" customHeight="1">
      <c r="B257" s="105" t="s">
        <v>830</v>
      </c>
      <c r="C257" s="149" t="s">
        <v>831</v>
      </c>
      <c r="F257" s="105">
        <v>1.0</v>
      </c>
    </row>
    <row r="258" ht="15.75" customHeight="1">
      <c r="B258" s="105" t="s">
        <v>832</v>
      </c>
      <c r="C258" s="149" t="s">
        <v>833</v>
      </c>
      <c r="F258" s="105">
        <v>2.0</v>
      </c>
    </row>
    <row r="259" ht="15.75" customHeight="1">
      <c r="B259" s="105" t="s">
        <v>834</v>
      </c>
      <c r="C259" s="149" t="s">
        <v>835</v>
      </c>
      <c r="F259" s="105">
        <v>3.0</v>
      </c>
    </row>
    <row r="260" ht="15.75" customHeight="1">
      <c r="B260" s="105" t="s">
        <v>836</v>
      </c>
      <c r="C260" s="149" t="s">
        <v>837</v>
      </c>
      <c r="F260" s="105">
        <v>3.0</v>
      </c>
    </row>
    <row r="261" ht="15.75" customHeight="1">
      <c r="B261" s="105" t="s">
        <v>838</v>
      </c>
      <c r="C261" s="149" t="s">
        <v>839</v>
      </c>
      <c r="F261" s="105">
        <v>2.0</v>
      </c>
    </row>
    <row r="262" ht="15.75" customHeight="1">
      <c r="B262" s="105" t="s">
        <v>840</v>
      </c>
      <c r="C262" s="149" t="s">
        <v>841</v>
      </c>
      <c r="F262" s="105">
        <v>3.0</v>
      </c>
    </row>
    <row r="263" ht="15.75" customHeight="1">
      <c r="B263" s="105" t="s">
        <v>842</v>
      </c>
      <c r="C263" s="149" t="s">
        <v>843</v>
      </c>
      <c r="F263" s="105">
        <v>3.0</v>
      </c>
    </row>
    <row r="264" ht="15.75" customHeight="1">
      <c r="B264" s="105" t="s">
        <v>844</v>
      </c>
      <c r="C264" s="149" t="s">
        <v>845</v>
      </c>
      <c r="F264" s="105">
        <v>2.0</v>
      </c>
    </row>
    <row r="265" ht="15.75" customHeight="1">
      <c r="B265" s="105" t="s">
        <v>846</v>
      </c>
      <c r="C265" s="149" t="s">
        <v>847</v>
      </c>
      <c r="F265" s="105">
        <v>3.0</v>
      </c>
    </row>
    <row r="266" ht="15.75" customHeight="1">
      <c r="B266" s="105" t="s">
        <v>848</v>
      </c>
      <c r="C266" s="149" t="s">
        <v>849</v>
      </c>
      <c r="F266" s="105">
        <v>3.0</v>
      </c>
    </row>
    <row r="267" ht="15.75" customHeight="1">
      <c r="B267" s="105" t="s">
        <v>851</v>
      </c>
      <c r="C267" s="149" t="s">
        <v>852</v>
      </c>
      <c r="F267" s="105">
        <v>2.0</v>
      </c>
    </row>
    <row r="268" ht="15.75" customHeight="1">
      <c r="B268" s="105" t="s">
        <v>853</v>
      </c>
      <c r="C268" s="149" t="s">
        <v>854</v>
      </c>
      <c r="F268" s="105">
        <v>3.0</v>
      </c>
    </row>
    <row r="269" ht="15.75" customHeight="1">
      <c r="B269" s="105" t="s">
        <v>855</v>
      </c>
      <c r="C269" s="149" t="s">
        <v>856</v>
      </c>
      <c r="F269" s="105">
        <v>3.0</v>
      </c>
    </row>
    <row r="270" ht="15.75" customHeight="1">
      <c r="B270" s="105" t="s">
        <v>857</v>
      </c>
      <c r="C270" s="149" t="s">
        <v>858</v>
      </c>
      <c r="F270" s="105">
        <v>2.0</v>
      </c>
    </row>
    <row r="271" ht="15.75" customHeight="1">
      <c r="B271" s="105" t="s">
        <v>859</v>
      </c>
      <c r="C271" s="149" t="s">
        <v>860</v>
      </c>
      <c r="F271" s="105">
        <v>3.0</v>
      </c>
    </row>
    <row r="272" ht="15.75" customHeight="1">
      <c r="B272" s="105" t="s">
        <v>861</v>
      </c>
      <c r="C272" s="149" t="s">
        <v>862</v>
      </c>
      <c r="F272" s="105">
        <v>3.0</v>
      </c>
    </row>
    <row r="273" ht="15.75" customHeight="1">
      <c r="B273" s="105" t="s">
        <v>863</v>
      </c>
      <c r="C273" s="149" t="s">
        <v>865</v>
      </c>
      <c r="F273" s="105">
        <v>2.0</v>
      </c>
    </row>
    <row r="274" ht="15.75" customHeight="1">
      <c r="B274" s="105" t="s">
        <v>866</v>
      </c>
      <c r="C274" s="149" t="s">
        <v>867</v>
      </c>
      <c r="F274" s="105">
        <v>3.0</v>
      </c>
    </row>
    <row r="275" ht="15.75" customHeight="1">
      <c r="B275" s="105" t="s">
        <v>868</v>
      </c>
      <c r="C275" s="149" t="s">
        <v>869</v>
      </c>
      <c r="F275" s="105">
        <v>3.0</v>
      </c>
    </row>
    <row r="276" ht="15.75" customHeight="1">
      <c r="B276" s="105" t="s">
        <v>870</v>
      </c>
      <c r="C276" s="149" t="s">
        <v>871</v>
      </c>
      <c r="F276" s="105">
        <v>3.0</v>
      </c>
    </row>
    <row r="277" ht="15.75" customHeight="1">
      <c r="B277" s="105" t="s">
        <v>872</v>
      </c>
      <c r="C277" s="149" t="s">
        <v>873</v>
      </c>
      <c r="F277" s="105">
        <v>2.0</v>
      </c>
    </row>
    <row r="278" ht="15.75" customHeight="1">
      <c r="B278" s="105" t="s">
        <v>874</v>
      </c>
      <c r="C278" s="149" t="s">
        <v>873</v>
      </c>
      <c r="F278" s="105">
        <v>3.0</v>
      </c>
    </row>
    <row r="279" ht="15.75" customHeight="1">
      <c r="B279" s="105" t="s">
        <v>875</v>
      </c>
      <c r="C279" s="149" t="s">
        <v>876</v>
      </c>
      <c r="F279" s="105">
        <v>1.0</v>
      </c>
    </row>
    <row r="280" ht="15.75" customHeight="1">
      <c r="B280" s="105" t="s">
        <v>877</v>
      </c>
      <c r="C280" s="149" t="s">
        <v>878</v>
      </c>
      <c r="F280" s="105">
        <v>2.0</v>
      </c>
    </row>
    <row r="281" ht="15.75" customHeight="1">
      <c r="B281" s="105" t="s">
        <v>879</v>
      </c>
      <c r="C281" s="149" t="s">
        <v>880</v>
      </c>
      <c r="F281" s="105">
        <v>3.0</v>
      </c>
    </row>
    <row r="282" ht="15.75" customHeight="1">
      <c r="B282" s="105" t="s">
        <v>881</v>
      </c>
      <c r="C282" s="149" t="s">
        <v>882</v>
      </c>
      <c r="F282" s="105">
        <v>3.0</v>
      </c>
    </row>
    <row r="283" ht="15.75" customHeight="1">
      <c r="B283" s="105" t="s">
        <v>883</v>
      </c>
      <c r="C283" s="149" t="s">
        <v>884</v>
      </c>
      <c r="F283" s="105">
        <v>3.0</v>
      </c>
    </row>
    <row r="284" ht="15.75" customHeight="1">
      <c r="B284" s="105" t="s">
        <v>886</v>
      </c>
      <c r="C284" s="149" t="s">
        <v>887</v>
      </c>
      <c r="F284" s="105">
        <v>3.0</v>
      </c>
    </row>
    <row r="285" ht="15.75" customHeight="1">
      <c r="B285" s="105" t="s">
        <v>888</v>
      </c>
      <c r="C285" s="149" t="s">
        <v>889</v>
      </c>
      <c r="F285" s="105">
        <v>2.0</v>
      </c>
    </row>
    <row r="286" ht="15.75" customHeight="1">
      <c r="B286" s="105" t="s">
        <v>890</v>
      </c>
      <c r="C286" s="149" t="s">
        <v>891</v>
      </c>
      <c r="F286" s="105">
        <v>3.0</v>
      </c>
    </row>
    <row r="287" ht="15.75" customHeight="1">
      <c r="B287" s="105" t="s">
        <v>893</v>
      </c>
      <c r="C287" s="149" t="s">
        <v>894</v>
      </c>
      <c r="F287" s="105">
        <v>3.0</v>
      </c>
    </row>
    <row r="288" ht="15.75" customHeight="1">
      <c r="B288" s="105" t="s">
        <v>895</v>
      </c>
      <c r="C288" s="149" t="s">
        <v>896</v>
      </c>
      <c r="F288" s="105">
        <v>3.0</v>
      </c>
    </row>
    <row r="289" ht="15.75" customHeight="1">
      <c r="B289" s="105" t="s">
        <v>897</v>
      </c>
      <c r="C289" s="149" t="s">
        <v>898</v>
      </c>
      <c r="F289" s="105">
        <v>2.0</v>
      </c>
    </row>
    <row r="290" ht="15.75" customHeight="1">
      <c r="B290" s="105" t="s">
        <v>899</v>
      </c>
      <c r="C290" s="149" t="s">
        <v>900</v>
      </c>
      <c r="F290" s="105">
        <v>3.0</v>
      </c>
    </row>
    <row r="291" ht="15.75" customHeight="1">
      <c r="B291" s="105" t="s">
        <v>901</v>
      </c>
      <c r="C291" s="149" t="s">
        <v>902</v>
      </c>
      <c r="F291" s="105">
        <v>3.0</v>
      </c>
    </row>
    <row r="292" ht="15.75" customHeight="1">
      <c r="B292" s="105" t="s">
        <v>903</v>
      </c>
      <c r="C292" s="149" t="s">
        <v>904</v>
      </c>
      <c r="F292" s="105">
        <v>2.0</v>
      </c>
    </row>
    <row r="293" ht="15.75" customHeight="1">
      <c r="B293" s="105" t="s">
        <v>905</v>
      </c>
      <c r="C293" s="149" t="s">
        <v>906</v>
      </c>
      <c r="F293" s="105">
        <v>3.0</v>
      </c>
    </row>
    <row r="294" ht="15.75" customHeight="1">
      <c r="B294" s="105" t="s">
        <v>907</v>
      </c>
      <c r="C294" s="149" t="s">
        <v>908</v>
      </c>
      <c r="F294" s="105">
        <v>3.0</v>
      </c>
    </row>
    <row r="295" ht="15.75" customHeight="1">
      <c r="B295" s="105" t="s">
        <v>909</v>
      </c>
      <c r="C295" s="149" t="s">
        <v>910</v>
      </c>
      <c r="F295" s="105">
        <v>3.0</v>
      </c>
    </row>
    <row r="296" ht="15.75" customHeight="1">
      <c r="B296" s="105" t="s">
        <v>911</v>
      </c>
      <c r="C296" s="149" t="s">
        <v>912</v>
      </c>
      <c r="F296" s="105">
        <v>2.0</v>
      </c>
    </row>
    <row r="297" ht="15.75" customHeight="1">
      <c r="B297" s="105" t="s">
        <v>913</v>
      </c>
      <c r="C297" s="149" t="s">
        <v>914</v>
      </c>
      <c r="F297" s="105">
        <v>3.0</v>
      </c>
    </row>
    <row r="298" ht="15.75" customHeight="1">
      <c r="B298" s="105" t="s">
        <v>916</v>
      </c>
      <c r="C298" s="149" t="s">
        <v>917</v>
      </c>
      <c r="F298" s="105">
        <v>3.0</v>
      </c>
    </row>
    <row r="299" ht="15.75" customHeight="1">
      <c r="B299" s="105" t="s">
        <v>918</v>
      </c>
      <c r="C299" s="149" t="s">
        <v>919</v>
      </c>
      <c r="F299" s="105">
        <v>3.0</v>
      </c>
    </row>
    <row r="300" ht="15.75" customHeight="1">
      <c r="B300" s="105" t="s">
        <v>920</v>
      </c>
      <c r="C300" s="149" t="s">
        <v>921</v>
      </c>
      <c r="F300" s="105">
        <v>2.0</v>
      </c>
    </row>
    <row r="301" ht="15.75" customHeight="1">
      <c r="B301" s="105" t="s">
        <v>922</v>
      </c>
      <c r="C301" s="149" t="s">
        <v>923</v>
      </c>
      <c r="F301" s="105">
        <v>3.0</v>
      </c>
    </row>
    <row r="302" ht="15.75" customHeight="1">
      <c r="B302" s="105" t="s">
        <v>924</v>
      </c>
      <c r="C302" s="149" t="s">
        <v>925</v>
      </c>
      <c r="F302" s="105">
        <v>3.0</v>
      </c>
    </row>
    <row r="303" ht="15.75" customHeight="1">
      <c r="B303" s="105" t="s">
        <v>926</v>
      </c>
      <c r="C303" s="149" t="s">
        <v>927</v>
      </c>
      <c r="F303" s="105">
        <v>3.0</v>
      </c>
    </row>
    <row r="304" ht="15.75" customHeight="1">
      <c r="B304" s="105" t="s">
        <v>928</v>
      </c>
      <c r="C304" s="149" t="s">
        <v>929</v>
      </c>
      <c r="F304" s="105">
        <v>3.0</v>
      </c>
    </row>
    <row r="305" ht="15.75" customHeight="1">
      <c r="B305" s="105" t="s">
        <v>930</v>
      </c>
      <c r="C305" s="149" t="s">
        <v>931</v>
      </c>
      <c r="F305" s="105">
        <v>1.0</v>
      </c>
    </row>
    <row r="306" ht="15.75" customHeight="1">
      <c r="B306" s="105" t="s">
        <v>932</v>
      </c>
      <c r="C306" s="149" t="s">
        <v>931</v>
      </c>
      <c r="F306" s="105">
        <v>2.0</v>
      </c>
    </row>
    <row r="307" ht="15.75" customHeight="1">
      <c r="B307" s="105" t="s">
        <v>933</v>
      </c>
      <c r="C307" s="149" t="s">
        <v>934</v>
      </c>
      <c r="F307" s="105">
        <v>3.0</v>
      </c>
    </row>
    <row r="308" ht="15.75" customHeight="1">
      <c r="B308" s="105" t="s">
        <v>935</v>
      </c>
      <c r="C308" s="149" t="s">
        <v>936</v>
      </c>
      <c r="F308" s="105">
        <v>3.0</v>
      </c>
    </row>
    <row r="309" ht="15.75" customHeight="1">
      <c r="B309" s="105" t="s">
        <v>937</v>
      </c>
      <c r="C309" s="149" t="s">
        <v>938</v>
      </c>
      <c r="F309" s="105">
        <v>3.0</v>
      </c>
    </row>
    <row r="310" ht="15.75" customHeight="1">
      <c r="B310" s="105" t="s">
        <v>939</v>
      </c>
      <c r="C310" s="149" t="s">
        <v>940</v>
      </c>
      <c r="F310" s="105">
        <v>1.0</v>
      </c>
    </row>
    <row r="311" ht="15.75" customHeight="1">
      <c r="B311" s="105" t="s">
        <v>941</v>
      </c>
      <c r="C311" s="149" t="s">
        <v>940</v>
      </c>
      <c r="F311" s="105">
        <v>2.0</v>
      </c>
    </row>
    <row r="312" ht="15.75" customHeight="1">
      <c r="B312" s="105" t="s">
        <v>942</v>
      </c>
      <c r="C312" s="149" t="s">
        <v>943</v>
      </c>
      <c r="F312" s="105">
        <v>3.0</v>
      </c>
    </row>
    <row r="313" ht="15.75" customHeight="1">
      <c r="B313" s="105" t="s">
        <v>944</v>
      </c>
      <c r="C313" s="149" t="s">
        <v>945</v>
      </c>
      <c r="F313" s="105">
        <v>3.0</v>
      </c>
    </row>
    <row r="314" ht="15.75" customHeight="1">
      <c r="B314" s="105" t="s">
        <v>946</v>
      </c>
      <c r="C314" s="149" t="s">
        <v>947</v>
      </c>
      <c r="F314" s="105">
        <v>3.0</v>
      </c>
    </row>
    <row r="315" ht="15.75" customHeight="1">
      <c r="B315" s="105" t="s">
        <v>948</v>
      </c>
      <c r="C315" s="149" t="s">
        <v>949</v>
      </c>
      <c r="F315" s="105">
        <v>3.0</v>
      </c>
    </row>
    <row r="316" ht="15.75" customHeight="1">
      <c r="B316" s="105" t="s">
        <v>950</v>
      </c>
      <c r="C316" s="149" t="s">
        <v>951</v>
      </c>
      <c r="F316" s="105">
        <v>3.0</v>
      </c>
    </row>
    <row r="317" ht="15.75" customHeight="1">
      <c r="B317" s="105" t="s">
        <v>952</v>
      </c>
      <c r="C317" s="149" t="s">
        <v>953</v>
      </c>
      <c r="F317" s="105">
        <v>1.0</v>
      </c>
    </row>
    <row r="318" ht="15.75" customHeight="1">
      <c r="B318" s="105" t="s">
        <v>954</v>
      </c>
      <c r="C318" s="149" t="s">
        <v>955</v>
      </c>
      <c r="F318" s="105">
        <v>2.0</v>
      </c>
    </row>
    <row r="319" ht="15.75" customHeight="1">
      <c r="B319" s="105" t="s">
        <v>956</v>
      </c>
      <c r="C319" s="149" t="s">
        <v>957</v>
      </c>
      <c r="F319" s="105">
        <v>3.0</v>
      </c>
    </row>
    <row r="320" ht="15.75" customHeight="1">
      <c r="B320" s="105" t="s">
        <v>958</v>
      </c>
      <c r="C320" s="149" t="s">
        <v>959</v>
      </c>
      <c r="F320" s="105">
        <v>3.0</v>
      </c>
    </row>
    <row r="321" ht="15.75" customHeight="1">
      <c r="B321" s="105" t="s">
        <v>960</v>
      </c>
      <c r="C321" s="149" t="s">
        <v>961</v>
      </c>
      <c r="F321" s="105">
        <v>3.0</v>
      </c>
    </row>
    <row r="322" ht="15.75" customHeight="1">
      <c r="B322" s="105" t="s">
        <v>962</v>
      </c>
      <c r="C322" s="149" t="s">
        <v>963</v>
      </c>
      <c r="F322" s="105">
        <v>2.0</v>
      </c>
    </row>
    <row r="323" ht="15.75" customHeight="1">
      <c r="B323" s="105" t="s">
        <v>964</v>
      </c>
      <c r="C323" s="149" t="s">
        <v>965</v>
      </c>
      <c r="F323" s="105">
        <v>3.0</v>
      </c>
    </row>
    <row r="324" ht="15.75" customHeight="1">
      <c r="B324" s="105" t="s">
        <v>966</v>
      </c>
      <c r="C324" s="149" t="s">
        <v>967</v>
      </c>
      <c r="F324" s="105">
        <v>3.0</v>
      </c>
    </row>
    <row r="325" ht="15.75" customHeight="1">
      <c r="B325" s="105" t="s">
        <v>968</v>
      </c>
      <c r="C325" s="149" t="s">
        <v>969</v>
      </c>
      <c r="F325" s="105">
        <v>3.0</v>
      </c>
    </row>
    <row r="326" ht="15.75" customHeight="1">
      <c r="B326" s="105" t="s">
        <v>970</v>
      </c>
      <c r="C326" s="149" t="s">
        <v>971</v>
      </c>
      <c r="F326" s="105">
        <v>3.0</v>
      </c>
    </row>
    <row r="327" ht="15.75" customHeight="1">
      <c r="B327" s="105" t="s">
        <v>972</v>
      </c>
      <c r="C327" s="149" t="s">
        <v>973</v>
      </c>
      <c r="F327" s="105">
        <v>2.0</v>
      </c>
    </row>
    <row r="328" ht="15.75" customHeight="1">
      <c r="B328" s="105" t="s">
        <v>974</v>
      </c>
      <c r="C328" s="149" t="s">
        <v>975</v>
      </c>
      <c r="F328" s="105">
        <v>3.0</v>
      </c>
    </row>
    <row r="329" ht="15.75" customHeight="1">
      <c r="B329" s="105" t="s">
        <v>976</v>
      </c>
      <c r="C329" s="149" t="s">
        <v>977</v>
      </c>
      <c r="F329" s="105">
        <v>3.0</v>
      </c>
    </row>
    <row r="330" ht="15.75" customHeight="1">
      <c r="B330" s="105" t="s">
        <v>978</v>
      </c>
      <c r="C330" s="149" t="s">
        <v>979</v>
      </c>
      <c r="F330" s="105">
        <v>1.0</v>
      </c>
    </row>
    <row r="331" ht="15.75" customHeight="1">
      <c r="B331" s="105" t="s">
        <v>980</v>
      </c>
      <c r="C331" s="149" t="s">
        <v>981</v>
      </c>
      <c r="F331" s="105">
        <v>2.0</v>
      </c>
    </row>
    <row r="332" ht="15.75" customHeight="1">
      <c r="B332" s="105" t="s">
        <v>982</v>
      </c>
      <c r="C332" s="149" t="s">
        <v>981</v>
      </c>
      <c r="F332" s="105">
        <v>3.0</v>
      </c>
    </row>
    <row r="333" ht="15.75" customHeight="1">
      <c r="B333" s="105" t="s">
        <v>983</v>
      </c>
      <c r="C333" s="149" t="s">
        <v>984</v>
      </c>
      <c r="F333" s="105">
        <v>2.0</v>
      </c>
    </row>
    <row r="334" ht="15.75" customHeight="1">
      <c r="B334" s="105" t="s">
        <v>985</v>
      </c>
      <c r="C334" s="149" t="s">
        <v>984</v>
      </c>
      <c r="F334" s="105">
        <v>3.0</v>
      </c>
    </row>
    <row r="335" ht="15.75" customHeight="1">
      <c r="B335" s="105" t="s">
        <v>986</v>
      </c>
      <c r="C335" s="149" t="s">
        <v>987</v>
      </c>
      <c r="F335" s="105">
        <v>2.0</v>
      </c>
    </row>
    <row r="336" ht="15.75" customHeight="1">
      <c r="B336" s="105" t="s">
        <v>988</v>
      </c>
      <c r="C336" s="149" t="s">
        <v>987</v>
      </c>
      <c r="F336" s="105">
        <v>3.0</v>
      </c>
    </row>
    <row r="337" ht="15.75" customHeight="1">
      <c r="B337" s="105" t="s">
        <v>989</v>
      </c>
      <c r="C337" s="149" t="s">
        <v>990</v>
      </c>
      <c r="F337" s="105">
        <v>2.0</v>
      </c>
    </row>
    <row r="338" ht="15.75" customHeight="1">
      <c r="B338" s="105" t="s">
        <v>991</v>
      </c>
      <c r="C338" s="149" t="s">
        <v>992</v>
      </c>
      <c r="F338" s="105">
        <v>3.0</v>
      </c>
    </row>
    <row r="339" ht="15.75" customHeight="1">
      <c r="B339" s="105" t="s">
        <v>993</v>
      </c>
      <c r="C339" s="149" t="s">
        <v>994</v>
      </c>
      <c r="F339" s="105">
        <v>3.0</v>
      </c>
    </row>
    <row r="340" ht="15.75" customHeight="1">
      <c r="B340" s="105" t="s">
        <v>995</v>
      </c>
      <c r="C340" s="149" t="s">
        <v>996</v>
      </c>
      <c r="F340" s="105">
        <v>1.0</v>
      </c>
    </row>
    <row r="341" ht="15.75" customHeight="1">
      <c r="B341" s="105" t="s">
        <v>997</v>
      </c>
      <c r="C341" s="149" t="s">
        <v>998</v>
      </c>
      <c r="F341" s="105">
        <v>2.0</v>
      </c>
    </row>
    <row r="342" ht="15.75" customHeight="1">
      <c r="B342" s="105" t="s">
        <v>999</v>
      </c>
      <c r="C342" s="149" t="s">
        <v>1000</v>
      </c>
      <c r="F342" s="105">
        <v>3.0</v>
      </c>
    </row>
    <row r="343" ht="15.75" customHeight="1">
      <c r="B343" s="105" t="s">
        <v>1001</v>
      </c>
      <c r="C343" s="149" t="s">
        <v>1002</v>
      </c>
      <c r="F343" s="105">
        <v>3.0</v>
      </c>
    </row>
    <row r="344" ht="15.75" customHeight="1">
      <c r="B344" s="105" t="s">
        <v>1003</v>
      </c>
      <c r="C344" s="149" t="s">
        <v>1004</v>
      </c>
      <c r="F344" s="105">
        <v>3.0</v>
      </c>
    </row>
    <row r="345" ht="15.75" customHeight="1">
      <c r="B345" s="105" t="s">
        <v>1005</v>
      </c>
      <c r="C345" s="149" t="s">
        <v>1006</v>
      </c>
      <c r="F345" s="105">
        <v>2.0</v>
      </c>
    </row>
    <row r="346" ht="15.75" customHeight="1">
      <c r="B346" s="105" t="s">
        <v>1007</v>
      </c>
      <c r="C346" s="149" t="s">
        <v>1008</v>
      </c>
      <c r="F346" s="105">
        <v>3.0</v>
      </c>
    </row>
    <row r="347" ht="15.75" customHeight="1">
      <c r="B347" s="105" t="s">
        <v>1009</v>
      </c>
      <c r="C347" s="149" t="s">
        <v>1010</v>
      </c>
      <c r="F347" s="105">
        <v>3.0</v>
      </c>
    </row>
    <row r="348" ht="15.75" customHeight="1">
      <c r="B348" s="105" t="s">
        <v>1011</v>
      </c>
      <c r="C348" s="149" t="s">
        <v>1012</v>
      </c>
      <c r="F348" s="105">
        <v>2.0</v>
      </c>
    </row>
    <row r="349" ht="15.75" customHeight="1">
      <c r="B349" s="105" t="s">
        <v>1013</v>
      </c>
      <c r="C349" s="149" t="s">
        <v>1012</v>
      </c>
      <c r="F349" s="105">
        <v>3.0</v>
      </c>
    </row>
    <row r="350" ht="15.75" customHeight="1">
      <c r="B350" s="105" t="s">
        <v>1014</v>
      </c>
      <c r="C350" s="149" t="s">
        <v>1015</v>
      </c>
      <c r="F350" s="105">
        <v>1.0</v>
      </c>
    </row>
    <row r="351" ht="15.75" customHeight="1">
      <c r="B351" s="105" t="s">
        <v>1016</v>
      </c>
      <c r="C351" s="149" t="s">
        <v>1017</v>
      </c>
      <c r="F351" s="105">
        <v>2.0</v>
      </c>
    </row>
    <row r="352" ht="15.75" customHeight="1">
      <c r="B352" s="105" t="s">
        <v>1018</v>
      </c>
      <c r="C352" s="149" t="s">
        <v>1017</v>
      </c>
      <c r="F352" s="105">
        <v>3.0</v>
      </c>
    </row>
    <row r="353" ht="15.75" customHeight="1">
      <c r="B353" s="105" t="s">
        <v>1019</v>
      </c>
      <c r="C353" s="149" t="s">
        <v>1020</v>
      </c>
      <c r="F353" s="105">
        <v>2.0</v>
      </c>
    </row>
    <row r="354" ht="15.75" customHeight="1">
      <c r="B354" s="105" t="s">
        <v>1021</v>
      </c>
      <c r="C354" s="149" t="s">
        <v>1020</v>
      </c>
      <c r="F354" s="105">
        <v>3.0</v>
      </c>
    </row>
    <row r="355" ht="15.75" customHeight="1">
      <c r="B355" s="105" t="s">
        <v>1022</v>
      </c>
      <c r="C355" s="149" t="s">
        <v>1023</v>
      </c>
      <c r="F355" s="105">
        <v>3.0</v>
      </c>
    </row>
    <row r="356" ht="15.75" customHeight="1">
      <c r="B356" s="105" t="s">
        <v>1024</v>
      </c>
      <c r="C356" s="149" t="s">
        <v>1025</v>
      </c>
      <c r="F356" s="105">
        <v>1.0</v>
      </c>
    </row>
    <row r="357" ht="15.75" customHeight="1">
      <c r="B357" s="105" t="s">
        <v>1026</v>
      </c>
      <c r="C357" s="149" t="s">
        <v>1025</v>
      </c>
      <c r="F357" s="105">
        <v>2.0</v>
      </c>
    </row>
    <row r="358" ht="15.75" customHeight="1">
      <c r="B358" s="105" t="s">
        <v>1027</v>
      </c>
      <c r="C358" s="149" t="s">
        <v>1025</v>
      </c>
      <c r="F358" s="105">
        <v>3.0</v>
      </c>
    </row>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0">
    <mergeCell ref="B2:F2"/>
    <mergeCell ref="B4:F4"/>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C122:E122"/>
    <mergeCell ref="C123:E123"/>
    <mergeCell ref="C124:E124"/>
    <mergeCell ref="C125:E125"/>
    <mergeCell ref="C126:E126"/>
    <mergeCell ref="C127:E127"/>
    <mergeCell ref="C128:E128"/>
    <mergeCell ref="C129:E129"/>
    <mergeCell ref="C130:E130"/>
    <mergeCell ref="C131:E131"/>
    <mergeCell ref="C132:E132"/>
    <mergeCell ref="C133:E133"/>
    <mergeCell ref="C134:E134"/>
    <mergeCell ref="C135:E135"/>
    <mergeCell ref="C136:E136"/>
    <mergeCell ref="C137:E137"/>
    <mergeCell ref="C138:E138"/>
    <mergeCell ref="C139:E139"/>
    <mergeCell ref="C140:E140"/>
    <mergeCell ref="C141:E141"/>
    <mergeCell ref="C142:E142"/>
    <mergeCell ref="C143:E143"/>
    <mergeCell ref="C144:E144"/>
    <mergeCell ref="C145:E145"/>
    <mergeCell ref="C146:E146"/>
    <mergeCell ref="C147:E147"/>
    <mergeCell ref="C148:E148"/>
    <mergeCell ref="C149:E149"/>
    <mergeCell ref="C150:E150"/>
    <mergeCell ref="C151:E151"/>
    <mergeCell ref="C152:E152"/>
    <mergeCell ref="C153:E153"/>
    <mergeCell ref="C154:E154"/>
    <mergeCell ref="C155:E155"/>
    <mergeCell ref="C156:E156"/>
    <mergeCell ref="C157:E157"/>
    <mergeCell ref="C158:E158"/>
    <mergeCell ref="C159:E159"/>
    <mergeCell ref="C160:E160"/>
    <mergeCell ref="C161:E161"/>
    <mergeCell ref="C162:E162"/>
    <mergeCell ref="C163:E163"/>
    <mergeCell ref="C164:E164"/>
    <mergeCell ref="C165:E165"/>
    <mergeCell ref="C166:E166"/>
    <mergeCell ref="C167:E167"/>
    <mergeCell ref="C168:E168"/>
    <mergeCell ref="C169:E169"/>
    <mergeCell ref="C170:E170"/>
    <mergeCell ref="C171:E171"/>
    <mergeCell ref="C172:E172"/>
    <mergeCell ref="C173:E173"/>
    <mergeCell ref="C174:E174"/>
    <mergeCell ref="C175:E175"/>
    <mergeCell ref="C176:E176"/>
    <mergeCell ref="C177:E177"/>
    <mergeCell ref="C178:E178"/>
    <mergeCell ref="C179:E179"/>
    <mergeCell ref="C180:E180"/>
    <mergeCell ref="C181:E181"/>
    <mergeCell ref="C182:E182"/>
    <mergeCell ref="C183:E183"/>
    <mergeCell ref="C184:E184"/>
    <mergeCell ref="C185:E185"/>
    <mergeCell ref="C186:E186"/>
    <mergeCell ref="C187:E187"/>
    <mergeCell ref="C188:E188"/>
    <mergeCell ref="C189:E189"/>
    <mergeCell ref="C190:E190"/>
    <mergeCell ref="C191:E191"/>
    <mergeCell ref="C192:E192"/>
    <mergeCell ref="C193:E193"/>
    <mergeCell ref="C194:E194"/>
    <mergeCell ref="C195:E195"/>
    <mergeCell ref="C196:E196"/>
    <mergeCell ref="C197:E197"/>
    <mergeCell ref="C198:E198"/>
    <mergeCell ref="C199:E199"/>
    <mergeCell ref="C200:E200"/>
    <mergeCell ref="C201:E201"/>
    <mergeCell ref="C202:E202"/>
    <mergeCell ref="C203:E203"/>
    <mergeCell ref="C204:E204"/>
    <mergeCell ref="C205:E205"/>
    <mergeCell ref="C206:E206"/>
    <mergeCell ref="C207:E207"/>
    <mergeCell ref="C208:E208"/>
    <mergeCell ref="C209:E209"/>
    <mergeCell ref="C210:E210"/>
    <mergeCell ref="C211:E211"/>
    <mergeCell ref="C212:E212"/>
    <mergeCell ref="C213:E213"/>
    <mergeCell ref="C214:E214"/>
    <mergeCell ref="C215:E215"/>
    <mergeCell ref="C216:E216"/>
    <mergeCell ref="C217:E217"/>
    <mergeCell ref="C218:E218"/>
    <mergeCell ref="C219:E219"/>
    <mergeCell ref="C220:E220"/>
    <mergeCell ref="C221:E221"/>
    <mergeCell ref="C222:E222"/>
    <mergeCell ref="C223:E223"/>
    <mergeCell ref="C224:E224"/>
    <mergeCell ref="C225:E225"/>
    <mergeCell ref="C226:E226"/>
    <mergeCell ref="C227:E227"/>
    <mergeCell ref="C228:E228"/>
    <mergeCell ref="C229:E229"/>
    <mergeCell ref="C230:E230"/>
    <mergeCell ref="C231:E231"/>
    <mergeCell ref="C232:E232"/>
    <mergeCell ref="C233:E233"/>
    <mergeCell ref="C234:E234"/>
    <mergeCell ref="C235:E235"/>
    <mergeCell ref="C236:E236"/>
    <mergeCell ref="C237:E237"/>
    <mergeCell ref="C238:E238"/>
    <mergeCell ref="C239:E239"/>
    <mergeCell ref="C240:E240"/>
    <mergeCell ref="C241:E241"/>
    <mergeCell ref="C242:E242"/>
    <mergeCell ref="C243:E243"/>
    <mergeCell ref="C244:E244"/>
    <mergeCell ref="C245:E245"/>
    <mergeCell ref="C246:E246"/>
    <mergeCell ref="C247:E247"/>
    <mergeCell ref="C248:E248"/>
    <mergeCell ref="C249:E249"/>
    <mergeCell ref="C250:E250"/>
    <mergeCell ref="C251:E251"/>
    <mergeCell ref="C252:E252"/>
    <mergeCell ref="C253:E253"/>
    <mergeCell ref="C303:E303"/>
    <mergeCell ref="C304:E304"/>
    <mergeCell ref="C305:E305"/>
    <mergeCell ref="C306:E306"/>
    <mergeCell ref="C307:E307"/>
    <mergeCell ref="C308:E308"/>
    <mergeCell ref="C309:E309"/>
    <mergeCell ref="C310:E310"/>
    <mergeCell ref="C311:E311"/>
    <mergeCell ref="C312:E312"/>
    <mergeCell ref="C313:E313"/>
    <mergeCell ref="C314:E314"/>
    <mergeCell ref="C315:E315"/>
    <mergeCell ref="C316:E316"/>
    <mergeCell ref="C317:E317"/>
    <mergeCell ref="C318:E318"/>
    <mergeCell ref="C319:E319"/>
    <mergeCell ref="C320:E320"/>
    <mergeCell ref="C321:E321"/>
    <mergeCell ref="C322:E322"/>
    <mergeCell ref="C323:E323"/>
    <mergeCell ref="C324:E324"/>
    <mergeCell ref="C325:E325"/>
    <mergeCell ref="C326:E326"/>
    <mergeCell ref="C327:E327"/>
    <mergeCell ref="C328:E328"/>
    <mergeCell ref="C329:E329"/>
    <mergeCell ref="C330:E330"/>
    <mergeCell ref="C331:E331"/>
    <mergeCell ref="C332:E332"/>
    <mergeCell ref="C333:E333"/>
    <mergeCell ref="C334:E334"/>
    <mergeCell ref="C335:E335"/>
    <mergeCell ref="C336:E336"/>
    <mergeCell ref="C337:E337"/>
    <mergeCell ref="C338:E338"/>
    <mergeCell ref="C339:E339"/>
    <mergeCell ref="C340:E340"/>
    <mergeCell ref="C341:E341"/>
    <mergeCell ref="C342:E342"/>
    <mergeCell ref="C343:E343"/>
    <mergeCell ref="C344:E344"/>
    <mergeCell ref="C352:E352"/>
    <mergeCell ref="C353:E353"/>
    <mergeCell ref="C354:E354"/>
    <mergeCell ref="C355:E355"/>
    <mergeCell ref="C356:E356"/>
    <mergeCell ref="C357:E357"/>
    <mergeCell ref="C358:E358"/>
    <mergeCell ref="C345:E345"/>
    <mergeCell ref="C346:E346"/>
    <mergeCell ref="C347:E347"/>
    <mergeCell ref="C348:E348"/>
    <mergeCell ref="C349:E349"/>
    <mergeCell ref="C350:E350"/>
    <mergeCell ref="C351:E351"/>
    <mergeCell ref="C254:E254"/>
    <mergeCell ref="C255:E255"/>
    <mergeCell ref="C256:E256"/>
    <mergeCell ref="C257:E257"/>
    <mergeCell ref="C258:E258"/>
    <mergeCell ref="C259:E259"/>
    <mergeCell ref="C260:E260"/>
    <mergeCell ref="C261:E261"/>
    <mergeCell ref="C262:E262"/>
    <mergeCell ref="C263:E263"/>
    <mergeCell ref="C264:E264"/>
    <mergeCell ref="C265:E265"/>
    <mergeCell ref="C266:E266"/>
    <mergeCell ref="C267:E267"/>
    <mergeCell ref="C268:E268"/>
    <mergeCell ref="C269:E269"/>
    <mergeCell ref="C270:E270"/>
    <mergeCell ref="C271:E271"/>
    <mergeCell ref="C272:E272"/>
    <mergeCell ref="C273:E273"/>
    <mergeCell ref="C274:E274"/>
    <mergeCell ref="C275:E275"/>
    <mergeCell ref="C276:E276"/>
    <mergeCell ref="C277:E277"/>
    <mergeCell ref="C278:E278"/>
    <mergeCell ref="C279:E279"/>
    <mergeCell ref="C280:E280"/>
    <mergeCell ref="C281:E281"/>
    <mergeCell ref="C282:E282"/>
    <mergeCell ref="C283:E283"/>
    <mergeCell ref="C284:E284"/>
    <mergeCell ref="C285:E285"/>
    <mergeCell ref="C286:E286"/>
    <mergeCell ref="C287:E287"/>
    <mergeCell ref="C288:E288"/>
    <mergeCell ref="C289:E289"/>
    <mergeCell ref="C290:E290"/>
    <mergeCell ref="C291:E291"/>
    <mergeCell ref="C292:E292"/>
    <mergeCell ref="C293:E293"/>
    <mergeCell ref="C294:E294"/>
    <mergeCell ref="C295:E295"/>
    <mergeCell ref="C296:E296"/>
    <mergeCell ref="C297:E297"/>
    <mergeCell ref="C298:E298"/>
    <mergeCell ref="C299:E299"/>
    <mergeCell ref="C300:E300"/>
    <mergeCell ref="C301:E301"/>
    <mergeCell ref="C302:E30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3" width="160.0"/>
    <col customWidth="1" min="4" max="26" width="8.86"/>
  </cols>
  <sheetData>
    <row r="2">
      <c r="B2" s="25" t="s">
        <v>1032</v>
      </c>
    </row>
    <row r="4">
      <c r="B4" s="105" t="s">
        <v>1033</v>
      </c>
    </row>
    <row r="5">
      <c r="B5" s="105" t="s">
        <v>1034</v>
      </c>
    </row>
    <row r="6">
      <c r="B6" s="105" t="s">
        <v>1035</v>
      </c>
    </row>
    <row r="7">
      <c r="B7" s="105" t="s">
        <v>1036</v>
      </c>
    </row>
    <row r="8">
      <c r="B8" s="105" t="s">
        <v>1037</v>
      </c>
    </row>
    <row r="9">
      <c r="B9" s="105" t="s">
        <v>1038</v>
      </c>
    </row>
    <row r="10">
      <c r="B10" s="105" t="s">
        <v>1040</v>
      </c>
    </row>
    <row r="11">
      <c r="B11" s="105" t="s">
        <v>1041</v>
      </c>
    </row>
    <row r="12">
      <c r="B12" s="105" t="s">
        <v>1042</v>
      </c>
    </row>
    <row r="13">
      <c r="B13" s="105" t="s">
        <v>1043</v>
      </c>
    </row>
    <row r="14">
      <c r="B14" s="105" t="s">
        <v>1044</v>
      </c>
    </row>
    <row r="15">
      <c r="B15" s="105" t="s">
        <v>1045</v>
      </c>
    </row>
    <row r="16">
      <c r="B16" s="105" t="s">
        <v>1046</v>
      </c>
    </row>
    <row r="17">
      <c r="B17" s="105" t="s">
        <v>1047</v>
      </c>
    </row>
    <row r="18">
      <c r="B18" s="105" t="s">
        <v>1048</v>
      </c>
    </row>
    <row r="19">
      <c r="B19" s="105" t="s">
        <v>1049</v>
      </c>
    </row>
    <row r="20">
      <c r="B20" s="105" t="s">
        <v>1050</v>
      </c>
    </row>
    <row r="21" ht="15.75" customHeight="1">
      <c r="B21" s="105" t="s">
        <v>1051</v>
      </c>
    </row>
    <row r="22" ht="15.75" customHeight="1">
      <c r="B22" s="105" t="s">
        <v>1052</v>
      </c>
    </row>
    <row r="23" ht="15.75" customHeight="1">
      <c r="B23" s="105" t="s">
        <v>1053</v>
      </c>
    </row>
    <row r="24" ht="15.75" customHeight="1">
      <c r="B24" s="105" t="s">
        <v>1054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3" width="161.86"/>
    <col customWidth="1" min="4" max="26" width="8.86"/>
  </cols>
  <sheetData>
    <row r="1">
      <c r="B1" s="149"/>
    </row>
    <row r="2">
      <c r="B2" s="148" t="s">
        <v>1055</v>
      </c>
    </row>
    <row r="3">
      <c r="B3" s="79"/>
    </row>
    <row r="4">
      <c r="B4" s="159" t="s">
        <v>317</v>
      </c>
    </row>
    <row r="5">
      <c r="B5" s="159" t="s">
        <v>1056</v>
      </c>
    </row>
    <row r="6">
      <c r="B6" s="159" t="s">
        <v>1057</v>
      </c>
    </row>
    <row r="7">
      <c r="B7" s="159" t="s">
        <v>1058</v>
      </c>
    </row>
    <row r="8">
      <c r="B8" s="159" t="s">
        <v>1059</v>
      </c>
    </row>
    <row r="9">
      <c r="B9" s="159" t="s">
        <v>1060</v>
      </c>
    </row>
    <row r="10">
      <c r="B10" s="159" t="s">
        <v>1061</v>
      </c>
    </row>
    <row r="11">
      <c r="B11" s="159" t="s">
        <v>1062</v>
      </c>
    </row>
    <row r="12">
      <c r="B12" s="159" t="s">
        <v>1063</v>
      </c>
    </row>
    <row r="13">
      <c r="B13" s="159" t="s">
        <v>1064</v>
      </c>
    </row>
    <row r="14">
      <c r="B14" s="159" t="s">
        <v>1065</v>
      </c>
    </row>
    <row r="15">
      <c r="B15" s="159" t="s">
        <v>1066</v>
      </c>
    </row>
    <row r="16">
      <c r="B16" s="159" t="s">
        <v>1067</v>
      </c>
    </row>
    <row r="17">
      <c r="B17" s="159" t="s">
        <v>1068</v>
      </c>
    </row>
    <row r="18">
      <c r="B18" s="159" t="s">
        <v>1069</v>
      </c>
    </row>
    <row r="19">
      <c r="B19" s="159" t="s">
        <v>1070</v>
      </c>
    </row>
    <row r="20">
      <c r="B20" s="159" t="s">
        <v>1071</v>
      </c>
    </row>
    <row r="21" ht="15.75" customHeight="1">
      <c r="B21" s="159" t="s">
        <v>1072</v>
      </c>
    </row>
    <row r="22" ht="15.75" customHeight="1">
      <c r="B22" s="159" t="s">
        <v>1073</v>
      </c>
    </row>
    <row r="23" ht="15.75" customHeight="1">
      <c r="B23" s="159" t="s">
        <v>1074</v>
      </c>
    </row>
    <row r="24" ht="15.75" customHeight="1">
      <c r="B24" s="159" t="s">
        <v>1075</v>
      </c>
    </row>
    <row r="25" ht="15.75" customHeight="1">
      <c r="B25" s="159" t="s">
        <v>1076</v>
      </c>
    </row>
    <row r="26" ht="15.75" customHeight="1">
      <c r="B26" s="159" t="s">
        <v>1077</v>
      </c>
    </row>
    <row r="27" ht="15.75" customHeight="1">
      <c r="B27" s="159" t="s">
        <v>1078</v>
      </c>
    </row>
    <row r="28" ht="15.75" customHeight="1">
      <c r="B28" s="159" t="s">
        <v>1079</v>
      </c>
    </row>
    <row r="29" ht="15.75" customHeight="1">
      <c r="B29" s="159" t="s">
        <v>1080</v>
      </c>
    </row>
    <row r="30" ht="15.75" customHeight="1">
      <c r="B30" s="159" t="s">
        <v>1081</v>
      </c>
    </row>
    <row r="31" ht="15.75" customHeight="1">
      <c r="B31" s="159" t="s">
        <v>1082</v>
      </c>
    </row>
    <row r="32" ht="15.75" customHeight="1">
      <c r="B32" s="159" t="s">
        <v>1083</v>
      </c>
    </row>
    <row r="33" ht="15.75" customHeight="1">
      <c r="B33" s="159" t="s">
        <v>1084</v>
      </c>
    </row>
    <row r="34" ht="15.75" customHeight="1">
      <c r="B34" s="159" t="s">
        <v>1085</v>
      </c>
    </row>
    <row r="35" ht="15.75" customHeight="1">
      <c r="B35" s="159" t="s">
        <v>1086</v>
      </c>
    </row>
    <row r="36" ht="15.75" customHeight="1">
      <c r="B36" s="159" t="s">
        <v>1087</v>
      </c>
    </row>
    <row r="37" ht="15.75" customHeight="1">
      <c r="B37" s="159" t="s">
        <v>1088</v>
      </c>
    </row>
    <row r="38" ht="15.75" customHeight="1">
      <c r="B38" s="159" t="s">
        <v>1089</v>
      </c>
    </row>
    <row r="39" ht="15.75" customHeight="1">
      <c r="B39" s="159" t="s">
        <v>1090</v>
      </c>
    </row>
    <row r="40" ht="15.75" customHeight="1">
      <c r="B40" s="159" t="s">
        <v>1091</v>
      </c>
    </row>
    <row r="41" ht="15.75" customHeight="1">
      <c r="B41" s="159" t="s">
        <v>1092</v>
      </c>
    </row>
    <row r="42" ht="15.75" customHeight="1">
      <c r="B42" s="159" t="s">
        <v>1093</v>
      </c>
    </row>
    <row r="43" ht="15.75" customHeight="1">
      <c r="B43" s="159" t="s">
        <v>1094</v>
      </c>
    </row>
    <row r="44" ht="15.75" customHeight="1">
      <c r="B44" s="159" t="s">
        <v>1095</v>
      </c>
    </row>
    <row r="45" ht="15.75" customHeight="1">
      <c r="B45" s="159" t="s">
        <v>1096</v>
      </c>
    </row>
    <row r="46" ht="15.75" customHeight="1">
      <c r="B46" s="159" t="s">
        <v>1097</v>
      </c>
    </row>
    <row r="47" ht="15.75" customHeight="1">
      <c r="B47" s="159" t="s">
        <v>1098</v>
      </c>
    </row>
    <row r="48" ht="15.75" customHeight="1">
      <c r="B48" s="159" t="s">
        <v>1099</v>
      </c>
    </row>
    <row r="49" ht="15.75" customHeight="1">
      <c r="B49" s="159" t="s">
        <v>1100</v>
      </c>
    </row>
    <row r="50" ht="15.75" customHeight="1">
      <c r="B50" s="159" t="s">
        <v>1101</v>
      </c>
    </row>
    <row r="51" ht="15.75" customHeight="1">
      <c r="B51" s="159" t="s">
        <v>1102</v>
      </c>
    </row>
    <row r="52" ht="15.75" customHeight="1">
      <c r="B52" s="159" t="s">
        <v>1103</v>
      </c>
    </row>
    <row r="53" ht="15.75" customHeight="1">
      <c r="B53" s="159" t="s">
        <v>1104</v>
      </c>
    </row>
    <row r="54" ht="15.75" customHeight="1">
      <c r="B54" s="159" t="s">
        <v>1105</v>
      </c>
    </row>
    <row r="55" ht="15.75" customHeight="1">
      <c r="B55" s="159" t="s">
        <v>1106</v>
      </c>
    </row>
    <row r="56" ht="15.75" customHeight="1">
      <c r="B56" s="159" t="s">
        <v>1107</v>
      </c>
    </row>
    <row r="57" ht="15.75" customHeight="1">
      <c r="B57" s="159" t="s">
        <v>1108</v>
      </c>
    </row>
    <row r="58" ht="15.75" customHeight="1">
      <c r="B58" s="159" t="s">
        <v>1109</v>
      </c>
    </row>
    <row r="59" ht="15.75" customHeight="1">
      <c r="B59" s="159" t="s">
        <v>1110</v>
      </c>
    </row>
    <row r="60" ht="15.75" customHeight="1">
      <c r="B60" s="159" t="s">
        <v>1111</v>
      </c>
    </row>
    <row r="61" ht="15.75" customHeight="1">
      <c r="B61" s="159" t="s">
        <v>1112</v>
      </c>
    </row>
    <row r="62" ht="15.75" customHeight="1">
      <c r="B62" s="159" t="s">
        <v>1113</v>
      </c>
    </row>
    <row r="63" ht="15.75" customHeight="1">
      <c r="B63" s="159" t="s">
        <v>1114</v>
      </c>
    </row>
    <row r="64" ht="15.75" customHeight="1">
      <c r="B64" s="159" t="s">
        <v>1115</v>
      </c>
    </row>
    <row r="65" ht="15.75" customHeight="1">
      <c r="B65" s="159" t="s">
        <v>1116</v>
      </c>
    </row>
    <row r="66" ht="15.75" customHeight="1">
      <c r="B66" s="159" t="s">
        <v>1117</v>
      </c>
    </row>
    <row r="67" ht="15.75" customHeight="1">
      <c r="B67" s="159" t="s">
        <v>1118</v>
      </c>
    </row>
    <row r="68" ht="15.75" customHeight="1">
      <c r="B68" s="159" t="s">
        <v>1119</v>
      </c>
    </row>
    <row r="69" ht="15.75" customHeight="1">
      <c r="B69" s="159" t="s">
        <v>1120</v>
      </c>
    </row>
    <row r="70" ht="15.75" customHeight="1">
      <c r="B70" s="159" t="s">
        <v>1121</v>
      </c>
    </row>
    <row r="71" ht="15.75" customHeight="1">
      <c r="B71" s="159" t="s">
        <v>1122</v>
      </c>
    </row>
    <row r="72" ht="15.75" customHeight="1">
      <c r="B72" s="159" t="s">
        <v>1123</v>
      </c>
    </row>
    <row r="73" ht="15.75" customHeight="1">
      <c r="B73" s="159" t="s">
        <v>1124</v>
      </c>
    </row>
    <row r="74" ht="15.75" customHeight="1">
      <c r="B74" s="159" t="s">
        <v>1125</v>
      </c>
    </row>
    <row r="75" ht="15.75" customHeight="1">
      <c r="B75" s="159" t="s">
        <v>1126</v>
      </c>
    </row>
    <row r="76" ht="15.75" customHeight="1">
      <c r="B76" s="159" t="s">
        <v>1127</v>
      </c>
    </row>
    <row r="77" ht="15.75" customHeight="1">
      <c r="B77" s="159" t="s">
        <v>1128</v>
      </c>
    </row>
    <row r="78" ht="15.75" customHeight="1">
      <c r="B78" s="159" t="s">
        <v>1129</v>
      </c>
    </row>
    <row r="79" ht="15.75" customHeight="1">
      <c r="B79" s="159" t="s">
        <v>1130</v>
      </c>
    </row>
    <row r="80" ht="15.75" customHeight="1">
      <c r="B80" s="159" t="s">
        <v>1131</v>
      </c>
    </row>
    <row r="81" ht="15.75" customHeight="1">
      <c r="B81" s="159" t="s">
        <v>1132</v>
      </c>
    </row>
    <row r="82" ht="15.75" customHeight="1">
      <c r="B82" s="159" t="s">
        <v>1133</v>
      </c>
    </row>
    <row r="83" ht="15.75" customHeight="1">
      <c r="B83" s="159" t="s">
        <v>1134</v>
      </c>
    </row>
    <row r="84" ht="15.75" customHeight="1">
      <c r="B84" s="159" t="s">
        <v>1135</v>
      </c>
    </row>
    <row r="85" ht="15.75" customHeight="1">
      <c r="B85" s="159" t="s">
        <v>1136</v>
      </c>
    </row>
    <row r="86" ht="15.75" customHeight="1">
      <c r="B86" s="159" t="s">
        <v>1137</v>
      </c>
    </row>
    <row r="87" ht="15.75" customHeight="1">
      <c r="B87" s="159" t="s">
        <v>1138</v>
      </c>
    </row>
    <row r="88" ht="15.75" customHeight="1">
      <c r="B88" s="159" t="s">
        <v>1139</v>
      </c>
    </row>
    <row r="89" ht="15.75" customHeight="1">
      <c r="B89" s="159" t="s">
        <v>1140</v>
      </c>
    </row>
    <row r="90" ht="15.75" customHeight="1">
      <c r="B90" s="159" t="s">
        <v>1141</v>
      </c>
    </row>
    <row r="91" ht="15.75" customHeight="1">
      <c r="B91" s="159" t="s">
        <v>1142</v>
      </c>
    </row>
    <row r="92" ht="15.75" customHeight="1">
      <c r="B92" s="79"/>
    </row>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86"/>
    <col customWidth="1" min="2" max="3" width="151.71"/>
    <col customWidth="1" min="4" max="26" width="8.86"/>
  </cols>
  <sheetData>
    <row r="2">
      <c r="B2" s="25" t="s">
        <v>1143</v>
      </c>
    </row>
    <row r="4">
      <c r="B4" s="105" t="s">
        <v>1144</v>
      </c>
    </row>
    <row r="5">
      <c r="B5" s="105" t="s">
        <v>1145</v>
      </c>
    </row>
    <row r="6">
      <c r="B6" s="105" t="s">
        <v>1146</v>
      </c>
    </row>
    <row r="7">
      <c r="B7" s="105" t="s">
        <v>321</v>
      </c>
    </row>
    <row r="8">
      <c r="B8" s="105" t="s">
        <v>1147</v>
      </c>
    </row>
    <row r="9">
      <c r="B9" s="105" t="s">
        <v>1148</v>
      </c>
    </row>
    <row r="10">
      <c r="B10" s="105" t="s">
        <v>1149</v>
      </c>
    </row>
    <row r="11">
      <c r="B11" s="105" t="s">
        <v>1150</v>
      </c>
    </row>
    <row r="12">
      <c r="B12" s="105" t="s">
        <v>1151</v>
      </c>
    </row>
    <row r="13">
      <c r="B13" s="105" t="s">
        <v>1152</v>
      </c>
    </row>
    <row r="14">
      <c r="B14" s="105" t="s">
        <v>1153</v>
      </c>
    </row>
    <row r="15">
      <c r="B15" s="105" t="s">
        <v>1154</v>
      </c>
    </row>
    <row r="16">
      <c r="B16" s="105" t="s">
        <v>1155</v>
      </c>
    </row>
    <row r="17">
      <c r="B17" s="105" t="s">
        <v>1156</v>
      </c>
    </row>
    <row r="18">
      <c r="B18" s="105" t="s">
        <v>1157</v>
      </c>
    </row>
    <row r="19">
      <c r="B19" s="105" t="s">
        <v>1158</v>
      </c>
    </row>
    <row r="20">
      <c r="B20" s="105" t="s">
        <v>1159</v>
      </c>
    </row>
    <row r="21" ht="15.75" customHeight="1">
      <c r="B21" s="105" t="s">
        <v>1161</v>
      </c>
    </row>
    <row r="22" ht="15.75" customHeight="1">
      <c r="B22" s="105" t="s">
        <v>1162</v>
      </c>
    </row>
    <row r="23" ht="15.75" customHeight="1">
      <c r="B23" s="105" t="s">
        <v>1163</v>
      </c>
    </row>
    <row r="24" ht="15.75" customHeight="1">
      <c r="B24" s="105" t="s">
        <v>1164</v>
      </c>
    </row>
    <row r="25" ht="15.75" customHeight="1">
      <c r="B25" s="105" t="s">
        <v>1165</v>
      </c>
    </row>
    <row r="26" ht="15.75" customHeight="1">
      <c r="B26" s="105" t="s">
        <v>1167</v>
      </c>
    </row>
    <row r="27" ht="15.75" customHeight="1">
      <c r="B27" s="105" t="s">
        <v>1168</v>
      </c>
    </row>
    <row r="28" ht="15.75" customHeight="1">
      <c r="B28" s="105" t="s">
        <v>1169</v>
      </c>
    </row>
    <row r="29" ht="15.75" customHeight="1">
      <c r="B29" s="105" t="s">
        <v>1170</v>
      </c>
    </row>
    <row r="30" ht="15.75" customHeight="1">
      <c r="B30" s="105" t="s">
        <v>1171</v>
      </c>
    </row>
    <row r="31" ht="15.75" customHeight="1">
      <c r="B31" s="105" t="s">
        <v>1172</v>
      </c>
    </row>
    <row r="32" ht="15.75" customHeight="1">
      <c r="B32" s="105" t="s">
        <v>1173</v>
      </c>
    </row>
    <row r="33" ht="15.75" customHeight="1">
      <c r="B33" s="105" t="s">
        <v>1174</v>
      </c>
    </row>
    <row r="34" ht="15.75" customHeight="1">
      <c r="B34" s="105" t="s">
        <v>1175</v>
      </c>
    </row>
    <row r="35" ht="15.75" customHeight="1">
      <c r="B35" s="105" t="s">
        <v>1176</v>
      </c>
    </row>
    <row r="36" ht="15.75" customHeight="1">
      <c r="B36" s="105" t="s">
        <v>1177</v>
      </c>
    </row>
    <row r="37" ht="15.75" customHeight="1">
      <c r="B37" s="105" t="s">
        <v>1178</v>
      </c>
    </row>
    <row r="38" ht="15.75" customHeight="1">
      <c r="B38" s="105" t="s">
        <v>1179</v>
      </c>
    </row>
    <row r="39" ht="15.75" customHeight="1">
      <c r="B39" s="105" t="s">
        <v>1180</v>
      </c>
    </row>
    <row r="40" ht="15.75" customHeight="1">
      <c r="B40" s="105" t="s">
        <v>1181</v>
      </c>
    </row>
    <row r="41" ht="15.75" customHeight="1">
      <c r="B41" s="105" t="s">
        <v>1182</v>
      </c>
    </row>
    <row r="42" ht="15.75" customHeight="1">
      <c r="B42" s="105" t="s">
        <v>1183</v>
      </c>
    </row>
    <row r="43" ht="15.75" customHeight="1">
      <c r="B43" s="105" t="s">
        <v>1184</v>
      </c>
    </row>
    <row r="44" ht="15.75" customHeight="1">
      <c r="B44" s="105" t="s">
        <v>1185</v>
      </c>
    </row>
    <row r="45" ht="15.75" customHeight="1">
      <c r="B45" s="105" t="s">
        <v>1186</v>
      </c>
    </row>
    <row r="46" ht="15.75" customHeight="1">
      <c r="B46" s="105" t="s">
        <v>1187</v>
      </c>
    </row>
    <row r="47" ht="15.75" customHeight="1">
      <c r="B47" s="105" t="s">
        <v>1188</v>
      </c>
    </row>
    <row r="48" ht="15.75" customHeight="1">
      <c r="B48" s="105" t="s">
        <v>1189</v>
      </c>
    </row>
    <row r="49" ht="15.75" customHeight="1">
      <c r="B49" s="105" t="s">
        <v>1190</v>
      </c>
    </row>
    <row r="50" ht="15.75" customHeight="1">
      <c r="B50" s="105" t="s">
        <v>1191</v>
      </c>
    </row>
    <row r="51" ht="15.75" customHeight="1">
      <c r="B51" s="105" t="s">
        <v>1192</v>
      </c>
    </row>
    <row r="52" ht="15.75" customHeight="1">
      <c r="B52" s="105" t="s">
        <v>1193</v>
      </c>
    </row>
    <row r="53" ht="15.75" customHeight="1">
      <c r="B53" s="105" t="s">
        <v>1194</v>
      </c>
    </row>
    <row r="54" ht="15.75" customHeight="1">
      <c r="B54" s="105" t="s">
        <v>1196</v>
      </c>
    </row>
    <row r="55" ht="15.75" customHeight="1">
      <c r="B55" s="105" t="s">
        <v>1197</v>
      </c>
    </row>
    <row r="56" ht="15.75" customHeight="1">
      <c r="B56" s="105" t="s">
        <v>1198</v>
      </c>
    </row>
    <row r="57" ht="15.75" customHeight="1">
      <c r="B57" s="105" t="s">
        <v>1199</v>
      </c>
    </row>
    <row r="58" ht="15.75" customHeight="1">
      <c r="B58" s="105" t="s">
        <v>1200</v>
      </c>
    </row>
    <row r="59" ht="15.75" customHeight="1">
      <c r="B59" s="105" t="s">
        <v>1201</v>
      </c>
    </row>
    <row r="60" ht="15.75" customHeight="1">
      <c r="B60" s="105" t="s">
        <v>1202</v>
      </c>
    </row>
    <row r="61" ht="15.75" customHeight="1">
      <c r="B61" s="105" t="s">
        <v>1203</v>
      </c>
    </row>
    <row r="62" ht="15.75" customHeight="1">
      <c r="B62" s="105" t="s">
        <v>1204</v>
      </c>
    </row>
    <row r="63" ht="15.75" customHeight="1">
      <c r="B63" s="105" t="s">
        <v>1205</v>
      </c>
    </row>
    <row r="64" ht="15.75" customHeight="1">
      <c r="B64" s="105" t="s">
        <v>1206</v>
      </c>
    </row>
    <row r="65" ht="15.75" customHeight="1">
      <c r="B65" s="105" t="s">
        <v>1207</v>
      </c>
    </row>
    <row r="66" ht="15.75" customHeight="1">
      <c r="B66" s="105" t="s">
        <v>1208</v>
      </c>
    </row>
    <row r="67" ht="15.75" customHeight="1">
      <c r="B67" s="105" t="s">
        <v>1209</v>
      </c>
    </row>
    <row r="68" ht="15.75" customHeight="1">
      <c r="B68" s="105" t="s">
        <v>1210</v>
      </c>
    </row>
    <row r="69" ht="15.75" customHeight="1">
      <c r="B69" s="105" t="s">
        <v>1211</v>
      </c>
    </row>
    <row r="70" ht="15.75" customHeight="1">
      <c r="B70" s="105" t="s">
        <v>1212</v>
      </c>
    </row>
    <row r="71" ht="15.75" customHeight="1">
      <c r="B71" s="105" t="s">
        <v>1213</v>
      </c>
    </row>
    <row r="72" ht="15.75" customHeight="1">
      <c r="B72" s="105" t="s">
        <v>1214</v>
      </c>
    </row>
    <row r="73" ht="15.75" customHeight="1">
      <c r="B73" s="105" t="s">
        <v>1215</v>
      </c>
    </row>
    <row r="74" ht="15.75" customHeight="1">
      <c r="B74" s="105" t="s">
        <v>1216</v>
      </c>
    </row>
    <row r="75" ht="15.75" customHeight="1">
      <c r="B75" s="105" t="s">
        <v>1217</v>
      </c>
    </row>
    <row r="76" ht="15.75" customHeight="1">
      <c r="B76" s="105" t="s">
        <v>1218</v>
      </c>
    </row>
    <row r="77" ht="15.75" customHeight="1">
      <c r="B77" s="105" t="s">
        <v>1219</v>
      </c>
    </row>
    <row r="78" ht="15.75" customHeight="1">
      <c r="B78" s="105" t="s">
        <v>1220</v>
      </c>
    </row>
    <row r="79" ht="15.75" customHeight="1">
      <c r="B79" s="105" t="s">
        <v>1221</v>
      </c>
    </row>
    <row r="80" ht="15.75" customHeight="1">
      <c r="B80" s="105" t="s">
        <v>1222</v>
      </c>
    </row>
    <row r="81" ht="15.75" customHeight="1">
      <c r="B81" s="105" t="s">
        <v>1223</v>
      </c>
    </row>
    <row r="82" ht="15.75" customHeight="1">
      <c r="B82" s="105" t="s">
        <v>1224</v>
      </c>
    </row>
    <row r="83" ht="15.75" customHeight="1">
      <c r="B83" s="105" t="s">
        <v>1225</v>
      </c>
    </row>
    <row r="84" ht="15.75" customHeight="1">
      <c r="B84" s="105" t="s">
        <v>1226</v>
      </c>
    </row>
    <row r="85" ht="15.75" customHeight="1">
      <c r="B85" s="105" t="s">
        <v>1227</v>
      </c>
    </row>
    <row r="86" ht="15.75" customHeight="1">
      <c r="B86" s="105" t="s">
        <v>1228</v>
      </c>
    </row>
    <row r="87" ht="15.75" customHeight="1">
      <c r="B87" s="105" t="s">
        <v>1229</v>
      </c>
    </row>
    <row r="88" ht="15.75" customHeight="1">
      <c r="B88" s="105" t="s">
        <v>1230</v>
      </c>
    </row>
    <row r="89" ht="15.75" customHeight="1">
      <c r="B89" s="105" t="s">
        <v>1231</v>
      </c>
    </row>
    <row r="90" ht="15.75" customHeight="1">
      <c r="B90" s="105" t="s">
        <v>1232</v>
      </c>
    </row>
    <row r="91" ht="15.75" customHeight="1">
      <c r="B91" s="105" t="s">
        <v>1233</v>
      </c>
    </row>
    <row r="92" ht="15.75" customHeight="1">
      <c r="B92" s="105" t="s">
        <v>1234</v>
      </c>
    </row>
    <row r="93" ht="15.75" customHeight="1">
      <c r="B93" s="105" t="s">
        <v>1235</v>
      </c>
    </row>
    <row r="94" ht="15.75" customHeight="1">
      <c r="B94" s="105" t="s">
        <v>1236</v>
      </c>
    </row>
    <row r="95" ht="15.75" customHeight="1">
      <c r="B95" s="105" t="s">
        <v>1237</v>
      </c>
    </row>
    <row r="96" ht="15.75" customHeight="1">
      <c r="B96" s="105" t="s">
        <v>1238</v>
      </c>
    </row>
    <row r="97" ht="15.75" customHeight="1">
      <c r="B97" s="105" t="s">
        <v>1239</v>
      </c>
    </row>
    <row r="98" ht="15.75" customHeight="1">
      <c r="B98" s="105" t="s">
        <v>1240</v>
      </c>
    </row>
    <row r="99" ht="15.75" customHeight="1">
      <c r="B99" s="105" t="s">
        <v>1241</v>
      </c>
    </row>
    <row r="100" ht="15.75" customHeight="1">
      <c r="B100" s="105" t="s">
        <v>1242</v>
      </c>
    </row>
    <row r="101" ht="15.75" customHeight="1">
      <c r="B101" s="105" t="s">
        <v>1243</v>
      </c>
    </row>
    <row r="102" ht="15.75" customHeight="1">
      <c r="B102" s="105" t="s">
        <v>1244</v>
      </c>
    </row>
    <row r="103" ht="15.75" customHeight="1">
      <c r="B103" s="105" t="s">
        <v>1245</v>
      </c>
    </row>
    <row r="104" ht="15.75" customHeight="1">
      <c r="B104" s="105" t="s">
        <v>1246</v>
      </c>
    </row>
    <row r="105" ht="15.75" customHeight="1">
      <c r="B105" s="105" t="s">
        <v>1247</v>
      </c>
    </row>
    <row r="106" ht="15.75" customHeight="1">
      <c r="B106" s="105" t="s">
        <v>1248</v>
      </c>
    </row>
    <row r="107" ht="15.75" customHeight="1">
      <c r="B107" s="105" t="s">
        <v>1249</v>
      </c>
    </row>
    <row r="108" ht="15.75" customHeight="1">
      <c r="B108" s="105" t="s">
        <v>1250</v>
      </c>
    </row>
    <row r="109" ht="15.75" customHeight="1">
      <c r="B109" s="105" t="s">
        <v>1251</v>
      </c>
    </row>
    <row r="110" ht="15.75" customHeight="1">
      <c r="B110" s="105" t="s">
        <v>1252</v>
      </c>
    </row>
    <row r="111" ht="15.75" customHeight="1">
      <c r="B111" s="105" t="s">
        <v>1253</v>
      </c>
    </row>
    <row r="112" ht="15.75" customHeight="1">
      <c r="B112" s="105" t="s">
        <v>1254</v>
      </c>
    </row>
    <row r="113" ht="15.75" customHeight="1">
      <c r="B113" s="105" t="s">
        <v>1255</v>
      </c>
    </row>
    <row r="114" ht="15.75" customHeight="1">
      <c r="B114" s="105" t="s">
        <v>1256</v>
      </c>
    </row>
    <row r="115" ht="15.75" customHeight="1">
      <c r="B115" s="105" t="s">
        <v>1257</v>
      </c>
    </row>
    <row r="116" ht="15.75" customHeight="1">
      <c r="B116" s="105" t="s">
        <v>1258</v>
      </c>
    </row>
    <row r="117" ht="15.75" customHeight="1">
      <c r="B117" s="105" t="s">
        <v>1259</v>
      </c>
    </row>
    <row r="118" ht="15.75" customHeight="1">
      <c r="B118" s="105" t="s">
        <v>1260</v>
      </c>
    </row>
    <row r="119" ht="15.75" customHeight="1">
      <c r="B119" s="105" t="s">
        <v>1261</v>
      </c>
    </row>
    <row r="120" ht="15.75" customHeight="1">
      <c r="B120" s="105" t="s">
        <v>1262</v>
      </c>
    </row>
    <row r="121" ht="15.75" customHeight="1">
      <c r="B121" s="105" t="s">
        <v>1263</v>
      </c>
    </row>
    <row r="122" ht="15.75" customHeight="1">
      <c r="B122" s="105" t="s">
        <v>1264</v>
      </c>
    </row>
    <row r="123" ht="15.75" customHeight="1">
      <c r="B123" s="105" t="s">
        <v>1265</v>
      </c>
    </row>
    <row r="124" ht="15.75" customHeight="1">
      <c r="B124" s="105" t="s">
        <v>1266</v>
      </c>
    </row>
    <row r="125" ht="15.75" customHeight="1">
      <c r="B125" s="105" t="s">
        <v>1267</v>
      </c>
    </row>
    <row r="126" ht="15.75" customHeight="1">
      <c r="B126" s="105" t="s">
        <v>1268</v>
      </c>
    </row>
    <row r="127" ht="15.75" customHeight="1">
      <c r="B127" s="105" t="s">
        <v>1269</v>
      </c>
    </row>
    <row r="128" ht="15.75" customHeight="1">
      <c r="B128" s="105" t="s">
        <v>1270</v>
      </c>
    </row>
    <row r="129" ht="15.75" customHeight="1">
      <c r="B129" s="105" t="s">
        <v>1271</v>
      </c>
    </row>
    <row r="130" ht="15.75" customHeight="1">
      <c r="B130" s="105" t="s">
        <v>1272</v>
      </c>
    </row>
    <row r="131" ht="15.75" customHeight="1">
      <c r="B131" s="105" t="s">
        <v>1273</v>
      </c>
    </row>
    <row r="132" ht="15.75" customHeight="1">
      <c r="B132" s="105" t="s">
        <v>1274</v>
      </c>
    </row>
    <row r="133" ht="15.75" customHeight="1">
      <c r="B133" s="105" t="s">
        <v>1275</v>
      </c>
    </row>
    <row r="134" ht="15.75" customHeight="1">
      <c r="B134" s="105" t="s">
        <v>1276</v>
      </c>
    </row>
    <row r="135" ht="15.75" customHeight="1">
      <c r="B135" s="105" t="s">
        <v>1277</v>
      </c>
    </row>
    <row r="136" ht="15.75" customHeight="1">
      <c r="B136" s="105" t="s">
        <v>1278</v>
      </c>
    </row>
    <row r="137" ht="15.75" customHeight="1">
      <c r="B137" s="105" t="s">
        <v>1279</v>
      </c>
    </row>
    <row r="138" ht="15.75" customHeight="1">
      <c r="B138" s="105" t="s">
        <v>1280</v>
      </c>
    </row>
    <row r="139" ht="15.75" customHeight="1">
      <c r="B139" s="105" t="s">
        <v>1281</v>
      </c>
    </row>
    <row r="140" ht="15.75" customHeight="1">
      <c r="B140" s="105" t="s">
        <v>1282</v>
      </c>
    </row>
    <row r="141" ht="15.75" customHeight="1">
      <c r="B141" s="105" t="s">
        <v>1283</v>
      </c>
    </row>
    <row r="142" ht="15.75" customHeight="1">
      <c r="B142" s="105" t="s">
        <v>1284</v>
      </c>
    </row>
    <row r="143" ht="15.75" customHeight="1">
      <c r="B143" s="105" t="s">
        <v>1285</v>
      </c>
    </row>
    <row r="144" ht="15.75" customHeight="1">
      <c r="B144" s="105" t="s">
        <v>1286</v>
      </c>
    </row>
    <row r="145" ht="15.75" customHeight="1">
      <c r="B145" s="105" t="s">
        <v>1287</v>
      </c>
    </row>
    <row r="146" ht="15.75" customHeight="1">
      <c r="B146" s="105" t="s">
        <v>1288</v>
      </c>
    </row>
    <row r="147" ht="15.75" customHeight="1">
      <c r="B147" s="105" t="s">
        <v>1289</v>
      </c>
    </row>
    <row r="148" ht="15.75" customHeight="1">
      <c r="B148" s="105" t="s">
        <v>1290</v>
      </c>
    </row>
    <row r="149" ht="15.75" customHeight="1">
      <c r="B149" s="105" t="s">
        <v>1291</v>
      </c>
    </row>
    <row r="150" ht="15.75" customHeight="1">
      <c r="B150" s="105" t="s">
        <v>1292</v>
      </c>
    </row>
    <row r="151" ht="15.75" customHeight="1">
      <c r="B151" s="105" t="s">
        <v>1293</v>
      </c>
    </row>
    <row r="152" ht="15.75" customHeight="1">
      <c r="B152" s="105" t="s">
        <v>1294</v>
      </c>
    </row>
    <row r="153" ht="15.75" customHeight="1">
      <c r="B153" s="105" t="s">
        <v>1295</v>
      </c>
    </row>
    <row r="154" ht="15.75" customHeight="1">
      <c r="B154" s="105" t="s">
        <v>1296</v>
      </c>
    </row>
    <row r="155" ht="15.75" customHeight="1">
      <c r="B155" s="105" t="s">
        <v>1297</v>
      </c>
    </row>
    <row r="156" ht="15.75" customHeight="1">
      <c r="B156" s="105" t="s">
        <v>1298</v>
      </c>
    </row>
    <row r="157" ht="15.75" customHeight="1">
      <c r="B157" s="105" t="s">
        <v>1299</v>
      </c>
    </row>
    <row r="158" ht="15.75" customHeight="1">
      <c r="B158" s="105" t="s">
        <v>1300</v>
      </c>
    </row>
    <row r="159" ht="15.75" customHeight="1">
      <c r="B159" s="105" t="s">
        <v>1301</v>
      </c>
    </row>
    <row r="160" ht="15.75" customHeight="1">
      <c r="B160" s="105" t="s">
        <v>1302</v>
      </c>
    </row>
    <row r="161" ht="15.75" customHeight="1">
      <c r="B161" s="105" t="s">
        <v>1303</v>
      </c>
    </row>
    <row r="162" ht="15.75" customHeight="1">
      <c r="B162" s="105" t="s">
        <v>1304</v>
      </c>
    </row>
    <row r="163" ht="15.75" customHeight="1">
      <c r="B163" s="105" t="s">
        <v>1305</v>
      </c>
    </row>
    <row r="164" ht="15.75" customHeight="1">
      <c r="B164" s="105" t="s">
        <v>1306</v>
      </c>
    </row>
    <row r="165" ht="15.75" customHeight="1">
      <c r="B165" s="105" t="s">
        <v>1307</v>
      </c>
    </row>
    <row r="166" ht="15.75" customHeight="1">
      <c r="B166" s="105" t="s">
        <v>1308</v>
      </c>
    </row>
    <row r="167" ht="15.75" customHeight="1">
      <c r="B167" s="105" t="s">
        <v>1309</v>
      </c>
    </row>
    <row r="168" ht="15.75" customHeight="1">
      <c r="B168" s="105" t="s">
        <v>1310</v>
      </c>
    </row>
    <row r="169" ht="15.75" customHeight="1">
      <c r="B169" s="105" t="s">
        <v>1311</v>
      </c>
    </row>
    <row r="170" ht="15.75" customHeight="1">
      <c r="B170" s="105" t="s">
        <v>1312</v>
      </c>
    </row>
    <row r="171" ht="15.75" customHeight="1">
      <c r="B171" s="105" t="s">
        <v>1313</v>
      </c>
    </row>
    <row r="172" ht="15.75" customHeight="1">
      <c r="B172" s="105" t="s">
        <v>1314</v>
      </c>
    </row>
    <row r="173" ht="15.75" customHeight="1">
      <c r="B173" s="105" t="s">
        <v>1315</v>
      </c>
    </row>
    <row r="174" ht="15.75" customHeight="1">
      <c r="B174" s="105" t="s">
        <v>1316</v>
      </c>
    </row>
    <row r="175" ht="15.75" customHeight="1">
      <c r="B175" s="105" t="s">
        <v>1317</v>
      </c>
    </row>
    <row r="176" ht="15.75" customHeight="1">
      <c r="B176" s="105" t="s">
        <v>1318</v>
      </c>
    </row>
    <row r="177" ht="15.75" customHeight="1">
      <c r="B177" s="105" t="s">
        <v>1319</v>
      </c>
    </row>
    <row r="178" ht="15.75" customHeight="1">
      <c r="B178" s="105" t="s">
        <v>1320</v>
      </c>
    </row>
    <row r="179" ht="15.75" customHeight="1">
      <c r="B179" s="105" t="s">
        <v>1321</v>
      </c>
    </row>
    <row r="180" ht="15.75" customHeight="1">
      <c r="B180" s="105" t="s">
        <v>1322</v>
      </c>
    </row>
    <row r="181" ht="15.75" customHeight="1">
      <c r="B181" s="105" t="s">
        <v>1323</v>
      </c>
    </row>
    <row r="182" ht="15.75" customHeight="1">
      <c r="B182" s="105" t="s">
        <v>1324</v>
      </c>
    </row>
    <row r="183" ht="15.75" customHeight="1">
      <c r="B183" s="105" t="s">
        <v>1325</v>
      </c>
    </row>
    <row r="184" ht="15.75" customHeight="1">
      <c r="B184" s="105" t="s">
        <v>1326</v>
      </c>
    </row>
    <row r="185" ht="15.75" customHeight="1">
      <c r="B185" s="105" t="s">
        <v>1327</v>
      </c>
    </row>
    <row r="186" ht="15.75" customHeight="1">
      <c r="B186" s="105" t="s">
        <v>1328</v>
      </c>
    </row>
    <row r="187" ht="15.75" customHeight="1">
      <c r="B187" s="105" t="s">
        <v>1329</v>
      </c>
    </row>
    <row r="188" ht="15.75" customHeight="1">
      <c r="B188" s="105" t="s">
        <v>1330</v>
      </c>
    </row>
    <row r="189" ht="15.75" customHeight="1">
      <c r="B189" s="105" t="s">
        <v>1331</v>
      </c>
    </row>
    <row r="190" ht="15.75" customHeight="1">
      <c r="B190" s="105" t="s">
        <v>1332</v>
      </c>
    </row>
    <row r="191" ht="15.75" customHeight="1">
      <c r="B191" s="105" t="s">
        <v>1334</v>
      </c>
    </row>
    <row r="192" ht="15.75" customHeight="1">
      <c r="B192" s="105" t="s">
        <v>1335</v>
      </c>
    </row>
    <row r="193" ht="15.75" customHeight="1">
      <c r="B193" s="105" t="s">
        <v>1336</v>
      </c>
    </row>
    <row r="194" ht="15.75" customHeight="1">
      <c r="B194" s="105" t="s">
        <v>1337</v>
      </c>
    </row>
    <row r="195" ht="15.75" customHeight="1">
      <c r="B195" s="105" t="s">
        <v>1338</v>
      </c>
    </row>
    <row r="196" ht="15.75" customHeight="1">
      <c r="B196" s="105" t="s">
        <v>1339</v>
      </c>
    </row>
    <row r="197" ht="15.75" customHeight="1">
      <c r="B197" s="105" t="s">
        <v>1340</v>
      </c>
    </row>
    <row r="198" ht="15.75" customHeight="1">
      <c r="B198" s="105" t="s">
        <v>1341</v>
      </c>
    </row>
    <row r="199" ht="15.75" customHeight="1">
      <c r="B199" s="105" t="s">
        <v>1342</v>
      </c>
    </row>
    <row r="200" ht="15.75" customHeight="1">
      <c r="B200" s="105" t="s">
        <v>1343</v>
      </c>
    </row>
    <row r="201" ht="15.75" customHeight="1">
      <c r="B201" s="105" t="s">
        <v>1344</v>
      </c>
    </row>
    <row r="202" ht="15.75" customHeight="1">
      <c r="B202" s="105" t="s">
        <v>1345</v>
      </c>
    </row>
    <row r="203" ht="15.75" customHeight="1">
      <c r="B203" s="105" t="s">
        <v>1346</v>
      </c>
    </row>
    <row r="204" ht="15.75" customHeight="1">
      <c r="B204" s="105" t="s">
        <v>1347</v>
      </c>
    </row>
    <row r="205" ht="15.75" customHeight="1">
      <c r="B205" s="105" t="s">
        <v>1348</v>
      </c>
    </row>
    <row r="206" ht="15.75" customHeight="1">
      <c r="B206" s="105" t="s">
        <v>1349</v>
      </c>
    </row>
    <row r="207" ht="15.75" customHeight="1">
      <c r="B207" s="105" t="s">
        <v>1350</v>
      </c>
    </row>
    <row r="208" ht="15.75" customHeight="1">
      <c r="B208" s="105" t="s">
        <v>1351</v>
      </c>
    </row>
    <row r="209" ht="15.75" customHeight="1">
      <c r="B209" s="105" t="s">
        <v>1352</v>
      </c>
    </row>
    <row r="210" ht="15.75" customHeight="1">
      <c r="B210" s="105" t="s">
        <v>1353</v>
      </c>
    </row>
    <row r="211" ht="15.75" customHeight="1">
      <c r="B211" s="105" t="s">
        <v>1354</v>
      </c>
    </row>
    <row r="212" ht="15.75" customHeight="1">
      <c r="B212" s="105" t="s">
        <v>1355</v>
      </c>
    </row>
    <row r="213" ht="15.75" customHeight="1">
      <c r="B213" s="105" t="s">
        <v>1356</v>
      </c>
    </row>
    <row r="214" ht="15.75" customHeight="1">
      <c r="B214" s="105" t="s">
        <v>1357</v>
      </c>
    </row>
    <row r="215" ht="15.75" customHeight="1">
      <c r="B215" s="105" t="s">
        <v>1358</v>
      </c>
    </row>
    <row r="216" ht="15.75" customHeight="1">
      <c r="B216" s="105" t="s">
        <v>1359</v>
      </c>
    </row>
    <row r="217" ht="15.75" customHeight="1">
      <c r="B217" s="105" t="s">
        <v>1360</v>
      </c>
    </row>
    <row r="218" ht="15.75" customHeight="1">
      <c r="B218" s="105" t="s">
        <v>1361</v>
      </c>
    </row>
    <row r="219" ht="15.75" customHeight="1">
      <c r="B219" s="105" t="s">
        <v>1362</v>
      </c>
    </row>
    <row r="220" ht="15.75" customHeight="1">
      <c r="B220" s="105" t="s">
        <v>1363</v>
      </c>
    </row>
    <row r="221" ht="15.75" customHeight="1">
      <c r="B221" s="105" t="s">
        <v>1364</v>
      </c>
    </row>
    <row r="222" ht="15.75" customHeight="1">
      <c r="B222" s="105" t="s">
        <v>1365</v>
      </c>
    </row>
    <row r="223" ht="15.75" customHeight="1">
      <c r="B223" s="105" t="s">
        <v>1366</v>
      </c>
    </row>
    <row r="224" ht="15.75" customHeight="1">
      <c r="B224" s="105" t="s">
        <v>1367</v>
      </c>
    </row>
    <row r="225" ht="15.75" customHeight="1">
      <c r="B225" s="105" t="s">
        <v>1368</v>
      </c>
    </row>
    <row r="226" ht="15.75" customHeight="1">
      <c r="B226" s="105" t="s">
        <v>1369</v>
      </c>
    </row>
    <row r="227" ht="15.75" customHeight="1">
      <c r="B227" s="105" t="s">
        <v>1370</v>
      </c>
    </row>
    <row r="228" ht="15.75" customHeight="1">
      <c r="B228" s="105" t="s">
        <v>1371</v>
      </c>
    </row>
    <row r="229" ht="15.75" customHeight="1">
      <c r="B229" s="105" t="s">
        <v>1372</v>
      </c>
    </row>
    <row r="230" ht="15.75" customHeight="1">
      <c r="B230" s="105" t="s">
        <v>1373</v>
      </c>
    </row>
    <row r="231" ht="15.75" customHeight="1">
      <c r="B231" s="105" t="s">
        <v>1374</v>
      </c>
    </row>
    <row r="232" ht="15.75" customHeight="1">
      <c r="B232" s="105" t="s">
        <v>1375</v>
      </c>
    </row>
    <row r="233" ht="15.75" customHeight="1">
      <c r="B233" s="105" t="s">
        <v>1376</v>
      </c>
    </row>
    <row r="234" ht="15.75" customHeight="1">
      <c r="B234" s="105" t="s">
        <v>1377</v>
      </c>
    </row>
    <row r="235" ht="15.75" customHeight="1">
      <c r="B235" s="105" t="s">
        <v>1378</v>
      </c>
    </row>
    <row r="236" ht="15.75" customHeight="1">
      <c r="B236" s="105" t="s">
        <v>1379</v>
      </c>
    </row>
    <row r="237" ht="15.75" customHeight="1">
      <c r="B237" s="105" t="s">
        <v>1380</v>
      </c>
    </row>
    <row r="238" ht="15.75" customHeight="1">
      <c r="B238" s="105" t="s">
        <v>1381</v>
      </c>
    </row>
    <row r="239" ht="15.75" customHeight="1">
      <c r="B239" s="105" t="s">
        <v>1382</v>
      </c>
    </row>
    <row r="240" ht="15.75" customHeight="1">
      <c r="B240" s="105" t="s">
        <v>1383</v>
      </c>
    </row>
    <row r="241" ht="15.75" customHeight="1">
      <c r="B241" s="105" t="s">
        <v>1384</v>
      </c>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12" width="11.29"/>
    <col customWidth="1" min="13" max="13" width="13.29"/>
    <col customWidth="1" min="14" max="26" width="11.29"/>
  </cols>
  <sheetData>
    <row r="1">
      <c r="A1" s="162" t="str">
        <f>#REF!</f>
        <v>#REF!</v>
      </c>
      <c r="B1" s="30"/>
      <c r="C1" s="30"/>
      <c r="D1" s="30"/>
      <c r="E1" s="30"/>
      <c r="F1" s="30"/>
      <c r="G1" s="31"/>
      <c r="I1" s="163" t="str">
        <f>#REF!</f>
        <v>#REF!</v>
      </c>
      <c r="J1" s="30"/>
      <c r="K1" s="30"/>
      <c r="L1" s="30"/>
      <c r="M1" s="31"/>
    </row>
    <row r="2" ht="15.0" customHeight="1">
      <c r="A2" s="164"/>
      <c r="B2" s="162" t="s">
        <v>1385</v>
      </c>
      <c r="C2" s="31"/>
      <c r="D2" s="162" t="s">
        <v>1386</v>
      </c>
      <c r="E2" s="31"/>
      <c r="F2" s="165" t="s">
        <v>1388</v>
      </c>
      <c r="G2" s="31"/>
      <c r="I2" s="166"/>
      <c r="J2" s="167" t="s">
        <v>1385</v>
      </c>
      <c r="K2" s="167" t="s">
        <v>1386</v>
      </c>
      <c r="L2" s="167" t="s">
        <v>1389</v>
      </c>
      <c r="M2" s="167" t="s">
        <v>1390</v>
      </c>
    </row>
    <row r="3">
      <c r="A3" s="164"/>
      <c r="B3" s="140" t="s">
        <v>1391</v>
      </c>
      <c r="C3" s="140" t="s">
        <v>64</v>
      </c>
      <c r="D3" s="140" t="s">
        <v>1391</v>
      </c>
      <c r="E3" s="140" t="s">
        <v>64</v>
      </c>
      <c r="F3" s="168" t="s">
        <v>1391</v>
      </c>
      <c r="G3" s="168" t="s">
        <v>64</v>
      </c>
      <c r="I3" s="169"/>
      <c r="J3" s="169"/>
      <c r="K3" s="169"/>
      <c r="L3" s="169"/>
      <c r="M3" s="169"/>
    </row>
    <row r="4">
      <c r="A4" s="170" t="s">
        <v>132</v>
      </c>
      <c r="B4" s="140" t="str">
        <f t="shared" ref="B4:B6" si="3">COUNTIF(#REF!,A4)</f>
        <v>#REF!</v>
      </c>
      <c r="C4" s="171" t="str">
        <f t="shared" ref="C4:C6" si="4">B4/B$7</f>
        <v>#REF!</v>
      </c>
      <c r="D4" s="140" t="str">
        <f t="shared" ref="D4:D5" si="5">COUNTIF(#REF!,A4)</f>
        <v>#REF!</v>
      </c>
      <c r="E4" s="171" t="str">
        <f t="shared" ref="E4:E6" si="6">D4/D$7</f>
        <v>#REF!</v>
      </c>
      <c r="F4" s="140" t="str">
        <f t="shared" ref="F4:G4" si="1">D4-B4</f>
        <v>#REF!</v>
      </c>
      <c r="G4" s="172" t="str">
        <f t="shared" si="1"/>
        <v>#REF!</v>
      </c>
      <c r="I4" s="170" t="s">
        <v>1392</v>
      </c>
      <c r="J4" s="140" t="str">
        <f t="shared" ref="J4:K4" si="2">AVERAGE(#REF!)</f>
        <v>#REF!</v>
      </c>
      <c r="K4" s="140" t="str">
        <f t="shared" si="2"/>
        <v>#REF!</v>
      </c>
      <c r="L4" s="140" t="str">
        <f>K4-J4</f>
        <v>#REF!</v>
      </c>
      <c r="M4" s="172" t="str">
        <f>(K4-J4)/J4</f>
        <v>#REF!</v>
      </c>
    </row>
    <row r="5">
      <c r="A5" s="170" t="s">
        <v>168</v>
      </c>
      <c r="B5" s="140" t="str">
        <f t="shared" si="3"/>
        <v>#REF!</v>
      </c>
      <c r="C5" s="171" t="str">
        <f t="shared" si="4"/>
        <v>#REF!</v>
      </c>
      <c r="D5" s="140" t="str">
        <f t="shared" si="5"/>
        <v>#REF!</v>
      </c>
      <c r="E5" s="171" t="str">
        <f t="shared" si="6"/>
        <v>#REF!</v>
      </c>
      <c r="F5" s="140" t="str">
        <f t="shared" ref="F5:G5" si="7">D5-B5</f>
        <v>#REF!</v>
      </c>
      <c r="G5" s="171" t="str">
        <f t="shared" si="7"/>
        <v>#REF!</v>
      </c>
    </row>
    <row r="6">
      <c r="A6" s="170" t="s">
        <v>1394</v>
      </c>
      <c r="B6" s="140" t="str">
        <f t="shared" si="3"/>
        <v>#REF!</v>
      </c>
      <c r="C6" s="171" t="str">
        <f t="shared" si="4"/>
        <v>#REF!</v>
      </c>
      <c r="D6" s="140" t="str">
        <f>COUNTIF(#REF!, A6)</f>
        <v>#REF!</v>
      </c>
      <c r="E6" s="171" t="str">
        <f t="shared" si="6"/>
        <v>#REF!</v>
      </c>
      <c r="F6" s="140" t="str">
        <f t="shared" ref="F6:G6" si="8">D6-B6</f>
        <v>#REF!</v>
      </c>
      <c r="G6" s="171" t="str">
        <f t="shared" si="8"/>
        <v>#REF!</v>
      </c>
      <c r="I6" s="163" t="str">
        <f>#REF!</f>
        <v>#REF!</v>
      </c>
      <c r="J6" s="30"/>
      <c r="K6" s="30"/>
      <c r="L6" s="31"/>
      <c r="M6" s="25"/>
    </row>
    <row r="7">
      <c r="A7" s="170" t="s">
        <v>1395</v>
      </c>
      <c r="B7" s="140" t="str">
        <f t="shared" ref="B7:E7" si="9">SUM(B4:B6)</f>
        <v>#REF!</v>
      </c>
      <c r="C7" s="171" t="str">
        <f t="shared" si="9"/>
        <v>#REF!</v>
      </c>
      <c r="D7" s="140" t="str">
        <f t="shared" si="9"/>
        <v>#REF!</v>
      </c>
      <c r="E7" s="171" t="str">
        <f t="shared" si="9"/>
        <v>#REF!</v>
      </c>
      <c r="F7" s="140"/>
      <c r="G7" s="171"/>
      <c r="I7" s="166"/>
      <c r="J7" s="167" t="s">
        <v>1385</v>
      </c>
      <c r="K7" s="167" t="s">
        <v>1386</v>
      </c>
      <c r="L7" s="167" t="s">
        <v>1389</v>
      </c>
      <c r="M7" s="173"/>
    </row>
    <row r="8">
      <c r="I8" s="169"/>
      <c r="J8" s="169"/>
      <c r="K8" s="169"/>
      <c r="L8" s="169"/>
    </row>
    <row r="9">
      <c r="A9" s="162" t="str">
        <f>#REF!</f>
        <v>#REF!</v>
      </c>
      <c r="B9" s="30"/>
      <c r="C9" s="30"/>
      <c r="D9" s="30"/>
      <c r="E9" s="30"/>
      <c r="F9" s="30"/>
      <c r="G9" s="31"/>
      <c r="I9" s="170" t="s">
        <v>1392</v>
      </c>
      <c r="J9" s="140" t="str">
        <f t="shared" ref="J9:K9" si="10">AVERAGE(#REF!)</f>
        <v>#REF!</v>
      </c>
      <c r="K9" s="140" t="str">
        <f t="shared" si="10"/>
        <v>#REF!</v>
      </c>
      <c r="L9" s="172" t="str">
        <f>K9-J9</f>
        <v>#REF!</v>
      </c>
      <c r="M9" s="174"/>
    </row>
    <row r="10">
      <c r="A10" s="164"/>
      <c r="B10" s="162" t="s">
        <v>1385</v>
      </c>
      <c r="C10" s="31"/>
      <c r="D10" s="162" t="s">
        <v>1386</v>
      </c>
      <c r="E10" s="31"/>
      <c r="F10" s="165" t="s">
        <v>1388</v>
      </c>
      <c r="G10" s="31"/>
    </row>
    <row r="11">
      <c r="A11" s="164"/>
      <c r="B11" s="140" t="s">
        <v>1391</v>
      </c>
      <c r="C11" s="140" t="s">
        <v>64</v>
      </c>
      <c r="D11" s="140" t="s">
        <v>1391</v>
      </c>
      <c r="E11" s="140" t="s">
        <v>64</v>
      </c>
      <c r="F11" s="168" t="s">
        <v>1391</v>
      </c>
      <c r="G11" s="168" t="s">
        <v>64</v>
      </c>
      <c r="I11" s="163" t="str">
        <f>#REF!</f>
        <v>#REF!</v>
      </c>
      <c r="J11" s="30"/>
      <c r="K11" s="30"/>
      <c r="L11" s="30"/>
      <c r="M11" s="31"/>
    </row>
    <row r="12">
      <c r="A12" s="170" t="s">
        <v>132</v>
      </c>
      <c r="B12" s="140" t="str">
        <f t="shared" ref="B12:B13" si="12">COUNTIF(#REF!,A12)</f>
        <v>#REF!</v>
      </c>
      <c r="C12" s="171" t="str">
        <f t="shared" ref="C12:C13" si="13">B12/B$14</f>
        <v>#REF!</v>
      </c>
      <c r="D12" s="140" t="str">
        <f t="shared" ref="D12:D13" si="14">COUNTIF(#REF!,A12)</f>
        <v>#REF!</v>
      </c>
      <c r="E12" s="171" t="str">
        <f t="shared" ref="E12:E13" si="15">D12/D$14</f>
        <v>#REF!</v>
      </c>
      <c r="F12" s="140" t="str">
        <f t="shared" ref="F12:G12" si="11">D12-B12</f>
        <v>#REF!</v>
      </c>
      <c r="G12" s="172" t="str">
        <f t="shared" si="11"/>
        <v>#REF!</v>
      </c>
      <c r="I12" s="166"/>
      <c r="J12" s="167" t="s">
        <v>1385</v>
      </c>
      <c r="K12" s="167" t="s">
        <v>1386</v>
      </c>
      <c r="L12" s="167" t="s">
        <v>1389</v>
      </c>
      <c r="M12" s="167" t="s">
        <v>1390</v>
      </c>
    </row>
    <row r="13">
      <c r="A13" s="170" t="s">
        <v>168</v>
      </c>
      <c r="B13" s="140" t="str">
        <f t="shared" si="12"/>
        <v>#REF!</v>
      </c>
      <c r="C13" s="171" t="str">
        <f t="shared" si="13"/>
        <v>#REF!</v>
      </c>
      <c r="D13" s="140" t="str">
        <f t="shared" si="14"/>
        <v>#REF!</v>
      </c>
      <c r="E13" s="171" t="str">
        <f t="shared" si="15"/>
        <v>#REF!</v>
      </c>
      <c r="F13" s="140" t="str">
        <f t="shared" ref="F13:G13" si="16">D13-B13</f>
        <v>#REF!</v>
      </c>
      <c r="G13" s="171" t="str">
        <f t="shared" si="16"/>
        <v>#REF!</v>
      </c>
      <c r="I13" s="169"/>
      <c r="J13" s="169"/>
      <c r="K13" s="169"/>
      <c r="L13" s="169"/>
      <c r="M13" s="169"/>
    </row>
    <row r="14">
      <c r="A14" s="170" t="s">
        <v>1395</v>
      </c>
      <c r="B14" s="140" t="str">
        <f t="shared" ref="B14:E14" si="17">SUM(B12:B13)</f>
        <v>#REF!</v>
      </c>
      <c r="C14" s="171" t="str">
        <f t="shared" si="17"/>
        <v>#REF!</v>
      </c>
      <c r="D14" s="140" t="str">
        <f t="shared" si="17"/>
        <v>#REF!</v>
      </c>
      <c r="E14" s="171" t="str">
        <f t="shared" si="17"/>
        <v>#REF!</v>
      </c>
      <c r="F14" s="140"/>
      <c r="G14" s="171"/>
      <c r="I14" s="170" t="s">
        <v>1392</v>
      </c>
      <c r="J14" s="175" t="str">
        <f t="shared" ref="J14:K14" si="18">AVERAGE(#REF!)</f>
        <v>#REF!</v>
      </c>
      <c r="K14" s="175" t="str">
        <f t="shared" si="18"/>
        <v>#REF!</v>
      </c>
      <c r="L14" s="175" t="str">
        <f>K14-J14</f>
        <v>#REF!</v>
      </c>
      <c r="M14" s="172" t="str">
        <f>(K14-J14)/J14</f>
        <v>#REF!</v>
      </c>
    </row>
    <row r="16">
      <c r="A16" s="162" t="str">
        <f>#REF!</f>
        <v>#REF!</v>
      </c>
      <c r="B16" s="30"/>
      <c r="C16" s="30"/>
      <c r="D16" s="30"/>
      <c r="E16" s="30"/>
      <c r="F16" s="30"/>
      <c r="G16" s="31"/>
      <c r="I16" s="163" t="str">
        <f>#REF!</f>
        <v>#REF!</v>
      </c>
      <c r="J16" s="30"/>
      <c r="K16" s="30"/>
      <c r="L16" s="30"/>
      <c r="M16" s="30"/>
      <c r="N16" s="30"/>
      <c r="O16" s="31"/>
    </row>
    <row r="17" ht="15.0" customHeight="1">
      <c r="A17" s="164"/>
      <c r="B17" s="162" t="s">
        <v>1385</v>
      </c>
      <c r="C17" s="31"/>
      <c r="D17" s="162" t="s">
        <v>1386</v>
      </c>
      <c r="E17" s="31"/>
      <c r="F17" s="165" t="s">
        <v>1388</v>
      </c>
      <c r="G17" s="31"/>
      <c r="I17" s="140"/>
      <c r="J17" s="177" t="s">
        <v>1385</v>
      </c>
      <c r="K17" s="31"/>
      <c r="L17" s="177" t="s">
        <v>1386</v>
      </c>
      <c r="M17" s="31"/>
      <c r="N17" s="167" t="s">
        <v>1399</v>
      </c>
      <c r="O17" s="167" t="s">
        <v>1400</v>
      </c>
    </row>
    <row r="18">
      <c r="A18" s="164"/>
      <c r="B18" s="140" t="s">
        <v>1391</v>
      </c>
      <c r="C18" s="140" t="s">
        <v>64</v>
      </c>
      <c r="D18" s="140" t="s">
        <v>1391</v>
      </c>
      <c r="E18" s="140" t="s">
        <v>64</v>
      </c>
      <c r="F18" s="168" t="s">
        <v>1391</v>
      </c>
      <c r="G18" s="168" t="s">
        <v>64</v>
      </c>
      <c r="I18" s="140"/>
      <c r="J18" s="140" t="s">
        <v>1391</v>
      </c>
      <c r="K18" s="140" t="s">
        <v>64</v>
      </c>
      <c r="L18" s="140" t="s">
        <v>1391</v>
      </c>
      <c r="M18" s="140" t="s">
        <v>64</v>
      </c>
      <c r="N18" s="169"/>
      <c r="O18" s="169"/>
    </row>
    <row r="19">
      <c r="A19" s="170" t="s">
        <v>132</v>
      </c>
      <c r="B19" s="140" t="str">
        <f t="shared" ref="B19:B20" si="21">COUNTIF(#REF!,A19)</f>
        <v>#REF!</v>
      </c>
      <c r="C19" s="171" t="str">
        <f t="shared" ref="C19:C20" si="22">B19/B$7</f>
        <v>#REF!</v>
      </c>
      <c r="D19" s="140" t="str">
        <f t="shared" ref="D19:D20" si="23">COUNTIF(#REF!,A19)</f>
        <v>#REF!</v>
      </c>
      <c r="E19" s="171" t="str">
        <f t="shared" ref="E19:E20" si="24">D19/D$7</f>
        <v>#REF!</v>
      </c>
      <c r="F19" s="140" t="str">
        <f t="shared" ref="F19:G19" si="19">D19-B19</f>
        <v>#REF!</v>
      </c>
      <c r="G19" s="171" t="str">
        <f t="shared" si="19"/>
        <v>#REF!</v>
      </c>
      <c r="I19" s="140" t="s">
        <v>132</v>
      </c>
      <c r="J19" s="140" t="str">
        <f t="shared" ref="J19:J20" si="26">COUNTIF(#REF!,I19)</f>
        <v>#REF!</v>
      </c>
      <c r="K19" s="171" t="str">
        <f t="shared" ref="K19:K20" si="27">J19/J$21</f>
        <v>#REF!</v>
      </c>
      <c r="L19" s="140" t="str">
        <f t="shared" ref="L19:L20" si="28">COUNTIF(#REF!,I19)</f>
        <v>#REF!</v>
      </c>
      <c r="M19" s="171" t="str">
        <f t="shared" ref="M19:M20" si="29">L19/L$21</f>
        <v>#REF!</v>
      </c>
      <c r="N19" s="178" t="str">
        <f t="shared" ref="N19:O19" si="20">L19-J19</f>
        <v>#REF!</v>
      </c>
      <c r="O19" s="171" t="str">
        <f t="shared" si="20"/>
        <v>#REF!</v>
      </c>
    </row>
    <row r="20">
      <c r="A20" s="170" t="s">
        <v>168</v>
      </c>
      <c r="B20" s="140" t="str">
        <f t="shared" si="21"/>
        <v>#REF!</v>
      </c>
      <c r="C20" s="171" t="str">
        <f t="shared" si="22"/>
        <v>#REF!</v>
      </c>
      <c r="D20" s="140" t="str">
        <f t="shared" si="23"/>
        <v>#REF!</v>
      </c>
      <c r="E20" s="171" t="str">
        <f t="shared" si="24"/>
        <v>#REF!</v>
      </c>
      <c r="F20" s="140" t="str">
        <f t="shared" ref="F20:G20" si="25">D20-B20</f>
        <v>#REF!</v>
      </c>
      <c r="G20" s="171" t="str">
        <f t="shared" si="25"/>
        <v>#REF!</v>
      </c>
      <c r="I20" s="140" t="s">
        <v>168</v>
      </c>
      <c r="J20" s="140" t="str">
        <f t="shared" si="26"/>
        <v>#REF!</v>
      </c>
      <c r="K20" s="171" t="str">
        <f t="shared" si="27"/>
        <v>#REF!</v>
      </c>
      <c r="L20" s="140" t="str">
        <f t="shared" si="28"/>
        <v>#REF!</v>
      </c>
      <c r="M20" s="171" t="str">
        <f t="shared" si="29"/>
        <v>#REF!</v>
      </c>
      <c r="O20" s="174"/>
    </row>
    <row r="21" ht="15.75" customHeight="1">
      <c r="A21" s="170" t="s">
        <v>1395</v>
      </c>
      <c r="B21" s="140" t="str">
        <f t="shared" ref="B21:E21" si="30">SUM(B19:B20)</f>
        <v>#REF!</v>
      </c>
      <c r="C21" s="171" t="str">
        <f t="shared" si="30"/>
        <v>#REF!</v>
      </c>
      <c r="D21" s="140" t="str">
        <f t="shared" si="30"/>
        <v>#REF!</v>
      </c>
      <c r="E21" s="171" t="str">
        <f t="shared" si="30"/>
        <v>#REF!</v>
      </c>
      <c r="F21" s="140"/>
      <c r="G21" s="171"/>
      <c r="I21" s="140" t="s">
        <v>1395</v>
      </c>
      <c r="J21" s="140" t="str">
        <f>SUM(J19:J20)</f>
        <v>#REF!</v>
      </c>
      <c r="K21" s="171" t="str">
        <f>K19+K20</f>
        <v>#REF!</v>
      </c>
      <c r="L21" s="140" t="str">
        <f>SUM(L19:L20)</f>
        <v>#REF!</v>
      </c>
      <c r="M21" s="171" t="str">
        <f>M19+M20</f>
        <v>#REF!</v>
      </c>
    </row>
    <row r="22" ht="15.0" customHeight="1"/>
    <row r="23" ht="15.0" customHeight="1">
      <c r="A23" s="162" t="str">
        <f>#REF!</f>
        <v>#REF!</v>
      </c>
      <c r="B23" s="30"/>
      <c r="C23" s="30"/>
      <c r="D23" s="30"/>
      <c r="E23" s="30"/>
      <c r="F23" s="30"/>
      <c r="G23" s="31"/>
      <c r="I23" s="163" t="str">
        <f>#REF!</f>
        <v>#REF!</v>
      </c>
      <c r="J23" s="30"/>
      <c r="K23" s="30"/>
      <c r="L23" s="30"/>
      <c r="M23" s="31"/>
    </row>
    <row r="24" ht="15.75" customHeight="1">
      <c r="A24" s="164"/>
      <c r="B24" s="162" t="s">
        <v>1385</v>
      </c>
      <c r="C24" s="31"/>
      <c r="D24" s="162" t="s">
        <v>1386</v>
      </c>
      <c r="E24" s="31"/>
      <c r="F24" s="165" t="s">
        <v>1388</v>
      </c>
      <c r="G24" s="31"/>
      <c r="I24" s="166"/>
      <c r="J24" s="167" t="s">
        <v>1385</v>
      </c>
      <c r="K24" s="167" t="s">
        <v>1386</v>
      </c>
      <c r="L24" s="167" t="s">
        <v>1389</v>
      </c>
      <c r="M24" s="167" t="s">
        <v>1390</v>
      </c>
    </row>
    <row r="25" ht="15.75" customHeight="1">
      <c r="A25" s="164"/>
      <c r="B25" s="140" t="s">
        <v>1391</v>
      </c>
      <c r="C25" s="140" t="s">
        <v>64</v>
      </c>
      <c r="D25" s="140" t="s">
        <v>1391</v>
      </c>
      <c r="E25" s="140" t="s">
        <v>64</v>
      </c>
      <c r="F25" s="168" t="s">
        <v>1391</v>
      </c>
      <c r="G25" s="168" t="s">
        <v>64</v>
      </c>
      <c r="I25" s="169"/>
      <c r="J25" s="169"/>
      <c r="K25" s="169"/>
      <c r="L25" s="169"/>
      <c r="M25" s="169"/>
    </row>
    <row r="26" ht="15.75" customHeight="1">
      <c r="A26" s="170" t="s">
        <v>132</v>
      </c>
      <c r="B26" s="140" t="str">
        <f t="shared" ref="B26:B27" si="33">COUNTIF(#REF!,A26)</f>
        <v>#REF!</v>
      </c>
      <c r="C26" s="171" t="str">
        <f t="shared" ref="C26:C27" si="34">B26/B$7</f>
        <v>#REF!</v>
      </c>
      <c r="D26" s="140" t="str">
        <f t="shared" ref="D26:D27" si="35">COUNTIF(#REF!,A26)</f>
        <v>#REF!</v>
      </c>
      <c r="E26" s="171" t="str">
        <f t="shared" ref="E26:E27" si="36">D26/D$7</f>
        <v>#REF!</v>
      </c>
      <c r="F26" s="140" t="str">
        <f t="shared" ref="F26:G26" si="31">D26-B26</f>
        <v>#REF!</v>
      </c>
      <c r="G26" s="171" t="str">
        <f t="shared" si="31"/>
        <v>#REF!</v>
      </c>
      <c r="I26" s="170" t="s">
        <v>1392</v>
      </c>
      <c r="J26" s="140" t="str">
        <f t="shared" ref="J26:K26" si="32">AVERAGE(#REF!)</f>
        <v>#REF!</v>
      </c>
      <c r="K26" s="140" t="str">
        <f t="shared" si="32"/>
        <v>#REF!</v>
      </c>
      <c r="L26" s="140" t="str">
        <f>K26-J26</f>
        <v>#REF!</v>
      </c>
      <c r="M26" s="171" t="str">
        <f>(K26-J26)/J26</f>
        <v>#REF!</v>
      </c>
    </row>
    <row r="27" ht="15.75" customHeight="1">
      <c r="A27" s="170" t="s">
        <v>168</v>
      </c>
      <c r="B27" s="140" t="str">
        <f t="shared" si="33"/>
        <v>#REF!</v>
      </c>
      <c r="C27" s="171" t="str">
        <f t="shared" si="34"/>
        <v>#REF!</v>
      </c>
      <c r="D27" s="140" t="str">
        <f t="shared" si="35"/>
        <v>#REF!</v>
      </c>
      <c r="E27" s="171" t="str">
        <f t="shared" si="36"/>
        <v>#REF!</v>
      </c>
      <c r="F27" s="140" t="str">
        <f t="shared" ref="F27:G27" si="37">D27-B27</f>
        <v>#REF!</v>
      </c>
      <c r="G27" s="171" t="str">
        <f t="shared" si="37"/>
        <v>#REF!</v>
      </c>
    </row>
    <row r="28" ht="15.75" customHeight="1">
      <c r="A28" s="170" t="s">
        <v>1395</v>
      </c>
      <c r="B28" s="140" t="str">
        <f t="shared" ref="B28:E28" si="38">SUM(B26:B27)</f>
        <v>#REF!</v>
      </c>
      <c r="C28" s="171" t="str">
        <f t="shared" si="38"/>
        <v>#REF!</v>
      </c>
      <c r="D28" s="140" t="str">
        <f t="shared" si="38"/>
        <v>#REF!</v>
      </c>
      <c r="E28" s="171" t="str">
        <f t="shared" si="38"/>
        <v>#REF!</v>
      </c>
      <c r="F28" s="140"/>
      <c r="G28" s="171"/>
      <c r="I28" s="163" t="str">
        <f>#REF!</f>
        <v>#REF!</v>
      </c>
      <c r="J28" s="30"/>
      <c r="K28" s="30"/>
      <c r="L28" s="30"/>
      <c r="M28" s="30"/>
      <c r="N28" s="30"/>
      <c r="O28" s="31"/>
    </row>
    <row r="29" ht="15.75" customHeight="1">
      <c r="I29" s="140"/>
      <c r="J29" s="177" t="s">
        <v>1385</v>
      </c>
      <c r="K29" s="31"/>
      <c r="L29" s="177" t="s">
        <v>1386</v>
      </c>
      <c r="M29" s="31"/>
      <c r="N29" s="167" t="s">
        <v>1399</v>
      </c>
      <c r="O29" s="167" t="s">
        <v>1400</v>
      </c>
    </row>
    <row r="30" ht="15.75" customHeight="1">
      <c r="A30" s="162" t="str">
        <f>#REF!</f>
        <v>#REF!</v>
      </c>
      <c r="B30" s="30"/>
      <c r="C30" s="30"/>
      <c r="D30" s="30"/>
      <c r="E30" s="30"/>
      <c r="F30" s="30"/>
      <c r="G30" s="31"/>
      <c r="I30" s="140"/>
      <c r="J30" s="140" t="s">
        <v>1391</v>
      </c>
      <c r="K30" s="140" t="s">
        <v>64</v>
      </c>
      <c r="L30" s="140" t="s">
        <v>1391</v>
      </c>
      <c r="M30" s="140" t="s">
        <v>64</v>
      </c>
      <c r="N30" s="169"/>
      <c r="O30" s="169"/>
    </row>
    <row r="31" ht="15.75" customHeight="1">
      <c r="A31" s="164"/>
      <c r="B31" s="162" t="s">
        <v>1385</v>
      </c>
      <c r="C31" s="31"/>
      <c r="D31" s="162" t="s">
        <v>1386</v>
      </c>
      <c r="E31" s="31"/>
      <c r="F31" s="165" t="s">
        <v>1388</v>
      </c>
      <c r="G31" s="31"/>
      <c r="I31" s="140" t="s">
        <v>132</v>
      </c>
      <c r="J31" s="140" t="str">
        <f t="shared" ref="J31:J32" si="40">COUNTIF(#REF!,I31)</f>
        <v>#REF!</v>
      </c>
      <c r="K31" s="171" t="str">
        <f t="shared" ref="K31:K32" si="41">J31/J$33</f>
        <v>#REF!</v>
      </c>
      <c r="L31" s="140" t="str">
        <f t="shared" ref="L31:L32" si="42">COUNTIF(#REF!,I31)</f>
        <v>#REF!</v>
      </c>
      <c r="M31" s="171" t="str">
        <f t="shared" ref="M31:M32" si="43">L31/L$33</f>
        <v>#REF!</v>
      </c>
      <c r="N31" s="178" t="str">
        <f t="shared" ref="N31:O31" si="39">L31-J31</f>
        <v>#REF!</v>
      </c>
      <c r="O31" s="171" t="str">
        <f t="shared" si="39"/>
        <v>#REF!</v>
      </c>
    </row>
    <row r="32" ht="15.75" customHeight="1">
      <c r="A32" s="164"/>
      <c r="B32" s="140" t="s">
        <v>1391</v>
      </c>
      <c r="C32" s="140" t="s">
        <v>64</v>
      </c>
      <c r="D32" s="140" t="s">
        <v>1391</v>
      </c>
      <c r="E32" s="140" t="s">
        <v>64</v>
      </c>
      <c r="F32" s="168" t="s">
        <v>1391</v>
      </c>
      <c r="G32" s="168" t="s">
        <v>64</v>
      </c>
      <c r="I32" s="140" t="s">
        <v>168</v>
      </c>
      <c r="J32" s="140" t="str">
        <f t="shared" si="40"/>
        <v>#REF!</v>
      </c>
      <c r="K32" s="171" t="str">
        <f t="shared" si="41"/>
        <v>#REF!</v>
      </c>
      <c r="L32" s="140" t="str">
        <f t="shared" si="42"/>
        <v>#REF!</v>
      </c>
      <c r="M32" s="171" t="str">
        <f t="shared" si="43"/>
        <v>#REF!</v>
      </c>
      <c r="O32" s="174"/>
    </row>
    <row r="33" ht="15.75" customHeight="1">
      <c r="A33" s="170" t="s">
        <v>132</v>
      </c>
      <c r="B33" s="140" t="str">
        <f t="shared" ref="B33:B34" si="45">COUNTIF(#REF!,A33)</f>
        <v>#REF!</v>
      </c>
      <c r="C33" s="171" t="str">
        <f t="shared" ref="C33:C34" si="46">B33/B$7</f>
        <v>#REF!</v>
      </c>
      <c r="D33" s="140" t="str">
        <f t="shared" ref="D33:D34" si="47">COUNTIF(#REF!,A33)</f>
        <v>#REF!</v>
      </c>
      <c r="E33" s="171" t="str">
        <f t="shared" ref="E33:E34" si="48">D33/D$7</f>
        <v>#REF!</v>
      </c>
      <c r="F33" s="140" t="str">
        <f t="shared" ref="F33:G33" si="44">D33-B33</f>
        <v>#REF!</v>
      </c>
      <c r="G33" s="171" t="str">
        <f t="shared" si="44"/>
        <v>#REF!</v>
      </c>
      <c r="I33" s="140" t="s">
        <v>1395</v>
      </c>
      <c r="J33" s="140" t="str">
        <f>SUM(J31:J32)</f>
        <v>#REF!</v>
      </c>
      <c r="K33" s="171" t="str">
        <f>K31+K32</f>
        <v>#REF!</v>
      </c>
      <c r="L33" s="140" t="str">
        <f>SUM(L31:L32)</f>
        <v>#REF!</v>
      </c>
      <c r="M33" s="171" t="str">
        <f>M31+M32</f>
        <v>#REF!</v>
      </c>
    </row>
    <row r="34" ht="15.75" customHeight="1">
      <c r="A34" s="170" t="s">
        <v>168</v>
      </c>
      <c r="B34" s="140" t="str">
        <f t="shared" si="45"/>
        <v>#REF!</v>
      </c>
      <c r="C34" s="171" t="str">
        <f t="shared" si="46"/>
        <v>#REF!</v>
      </c>
      <c r="D34" s="140" t="str">
        <f t="shared" si="47"/>
        <v>#REF!</v>
      </c>
      <c r="E34" s="171" t="str">
        <f t="shared" si="48"/>
        <v>#REF!</v>
      </c>
      <c r="F34" s="140" t="str">
        <f t="shared" ref="F34:G34" si="49">D34-B34</f>
        <v>#REF!</v>
      </c>
      <c r="G34" s="171" t="str">
        <f t="shared" si="49"/>
        <v>#REF!</v>
      </c>
    </row>
    <row r="35" ht="15.75" customHeight="1">
      <c r="A35" s="170" t="s">
        <v>1395</v>
      </c>
      <c r="B35" s="140" t="str">
        <f t="shared" ref="B35:E35" si="50">SUM(B33:B34)</f>
        <v>#REF!</v>
      </c>
      <c r="C35" s="171" t="str">
        <f t="shared" si="50"/>
        <v>#REF!</v>
      </c>
      <c r="D35" s="140" t="str">
        <f t="shared" si="50"/>
        <v>#REF!</v>
      </c>
      <c r="E35" s="171" t="str">
        <f t="shared" si="50"/>
        <v>#REF!</v>
      </c>
      <c r="F35" s="140"/>
      <c r="G35" s="171"/>
      <c r="I35" s="163" t="str">
        <f>#REF!</f>
        <v>#REF!</v>
      </c>
      <c r="J35" s="30"/>
      <c r="K35" s="31"/>
      <c r="L35" s="25"/>
      <c r="M35" s="25"/>
      <c r="N35" s="25"/>
      <c r="O35" s="25"/>
    </row>
    <row r="36" ht="15.75" customHeight="1">
      <c r="I36" s="140"/>
      <c r="J36" s="140" t="s">
        <v>1391</v>
      </c>
      <c r="K36" s="140" t="s">
        <v>64</v>
      </c>
    </row>
    <row r="37" ht="15.75" customHeight="1">
      <c r="A37" s="162" t="str">
        <f>#REF!</f>
        <v>#REF!</v>
      </c>
      <c r="B37" s="30"/>
      <c r="C37" s="30"/>
      <c r="D37" s="30"/>
      <c r="E37" s="30"/>
      <c r="F37" s="30"/>
      <c r="G37" s="31"/>
      <c r="I37" s="181" t="s">
        <v>1408</v>
      </c>
      <c r="J37" s="140" t="str">
        <f t="shared" ref="J37:J41" si="51">COUNTIF(#REF!,I37)</f>
        <v>#REF!</v>
      </c>
      <c r="K37" s="171" t="str">
        <f t="shared" ref="K37:K41" si="52">J37/J$42</f>
        <v>#REF!</v>
      </c>
    </row>
    <row r="38" ht="15.75" customHeight="1">
      <c r="A38" s="164"/>
      <c r="B38" s="162" t="s">
        <v>1385</v>
      </c>
      <c r="C38" s="31"/>
      <c r="D38" s="162" t="s">
        <v>1386</v>
      </c>
      <c r="E38" s="31"/>
      <c r="F38" s="165" t="s">
        <v>1388</v>
      </c>
      <c r="G38" s="31"/>
      <c r="I38" s="181" t="s">
        <v>1410</v>
      </c>
      <c r="J38" s="140" t="str">
        <f t="shared" si="51"/>
        <v>#REF!</v>
      </c>
      <c r="K38" s="171" t="str">
        <f t="shared" si="52"/>
        <v>#REF!</v>
      </c>
    </row>
    <row r="39" ht="15.75" customHeight="1">
      <c r="A39" s="164"/>
      <c r="B39" s="140" t="s">
        <v>1391</v>
      </c>
      <c r="C39" s="140" t="s">
        <v>64</v>
      </c>
      <c r="D39" s="140" t="s">
        <v>1391</v>
      </c>
      <c r="E39" s="140" t="s">
        <v>64</v>
      </c>
      <c r="F39" s="168" t="s">
        <v>1391</v>
      </c>
      <c r="G39" s="168" t="s">
        <v>64</v>
      </c>
      <c r="I39" s="181" t="s">
        <v>1411</v>
      </c>
      <c r="J39" s="140" t="str">
        <f t="shared" si="51"/>
        <v>#REF!</v>
      </c>
      <c r="K39" s="171" t="str">
        <f t="shared" si="52"/>
        <v>#REF!</v>
      </c>
    </row>
    <row r="40" ht="15.75" customHeight="1">
      <c r="A40" s="170" t="s">
        <v>132</v>
      </c>
      <c r="B40" s="140" t="str">
        <f t="shared" ref="B40:B41" si="54">COUNTIF(#REF!,A40)</f>
        <v>#REF!</v>
      </c>
      <c r="C40" s="171" t="str">
        <f t="shared" ref="C40:C41" si="55">B40/B$7</f>
        <v>#REF!</v>
      </c>
      <c r="D40" s="140" t="str">
        <f t="shared" ref="D40:D41" si="56">COUNTIF(#REF!,A40)</f>
        <v>#REF!</v>
      </c>
      <c r="E40" s="171" t="str">
        <f t="shared" ref="E40:E41" si="57">D40/D$7</f>
        <v>#REF!</v>
      </c>
      <c r="F40" s="140" t="str">
        <f t="shared" ref="F40:G40" si="53">D40-B40</f>
        <v>#REF!</v>
      </c>
      <c r="G40" s="171" t="str">
        <f t="shared" si="53"/>
        <v>#REF!</v>
      </c>
      <c r="I40" s="181" t="s">
        <v>1412</v>
      </c>
      <c r="J40" s="140" t="str">
        <f t="shared" si="51"/>
        <v>#REF!</v>
      </c>
      <c r="K40" s="171" t="str">
        <f t="shared" si="52"/>
        <v>#REF!</v>
      </c>
    </row>
    <row r="41" ht="15.75" customHeight="1">
      <c r="A41" s="170" t="s">
        <v>168</v>
      </c>
      <c r="B41" s="140" t="str">
        <f t="shared" si="54"/>
        <v>#REF!</v>
      </c>
      <c r="C41" s="171" t="str">
        <f t="shared" si="55"/>
        <v>#REF!</v>
      </c>
      <c r="D41" s="140" t="str">
        <f t="shared" si="56"/>
        <v>#REF!</v>
      </c>
      <c r="E41" s="171" t="str">
        <f t="shared" si="57"/>
        <v>#REF!</v>
      </c>
      <c r="F41" s="140" t="str">
        <f t="shared" ref="F41:G41" si="58">D41-B41</f>
        <v>#REF!</v>
      </c>
      <c r="G41" s="171" t="str">
        <f t="shared" si="58"/>
        <v>#REF!</v>
      </c>
      <c r="I41" s="181" t="s">
        <v>1414</v>
      </c>
      <c r="J41" s="140" t="str">
        <f t="shared" si="51"/>
        <v>#REF!</v>
      </c>
      <c r="K41" s="171" t="str">
        <f t="shared" si="52"/>
        <v>#REF!</v>
      </c>
    </row>
    <row r="42" ht="15.75" customHeight="1">
      <c r="A42" s="170" t="s">
        <v>1395</v>
      </c>
      <c r="B42" s="140" t="str">
        <f t="shared" ref="B42:E42" si="59">SUM(B40:B41)</f>
        <v>#REF!</v>
      </c>
      <c r="C42" s="171" t="str">
        <f t="shared" si="59"/>
        <v>#REF!</v>
      </c>
      <c r="D42" s="140" t="str">
        <f t="shared" si="59"/>
        <v>#REF!</v>
      </c>
      <c r="E42" s="171" t="str">
        <f t="shared" si="59"/>
        <v>#REF!</v>
      </c>
      <c r="F42" s="140"/>
      <c r="G42" s="171"/>
      <c r="I42" s="140" t="s">
        <v>1395</v>
      </c>
      <c r="J42" s="140" t="str">
        <f t="shared" ref="J42:K42" si="60">SUM(J37:J41)</f>
        <v>#REF!</v>
      </c>
      <c r="K42" s="171" t="str">
        <f t="shared" si="60"/>
        <v>#REF!</v>
      </c>
    </row>
    <row r="43" ht="15.75" customHeight="1"/>
    <row r="44" ht="15.75" customHeight="1">
      <c r="A44" s="163" t="s">
        <v>1415</v>
      </c>
      <c r="B44" s="30"/>
      <c r="C44" s="30"/>
      <c r="D44" s="30"/>
      <c r="E44" s="30"/>
      <c r="F44" s="30"/>
      <c r="G44" s="31"/>
      <c r="I44" s="163" t="str">
        <f>#REF!</f>
        <v>#REF!</v>
      </c>
      <c r="J44" s="30"/>
      <c r="K44" s="30"/>
      <c r="L44" s="30"/>
      <c r="M44" s="30"/>
      <c r="N44" s="30"/>
      <c r="O44" s="31"/>
    </row>
    <row r="45" ht="15.0" customHeight="1">
      <c r="A45" s="164"/>
      <c r="B45" s="162" t="s">
        <v>1385</v>
      </c>
      <c r="C45" s="31"/>
      <c r="D45" s="162" t="s">
        <v>1386</v>
      </c>
      <c r="E45" s="31"/>
      <c r="F45" s="165" t="s">
        <v>1388</v>
      </c>
      <c r="G45" s="31"/>
      <c r="I45" s="140"/>
      <c r="J45" s="177" t="s">
        <v>1385</v>
      </c>
      <c r="K45" s="31"/>
      <c r="L45" s="177" t="s">
        <v>1386</v>
      </c>
      <c r="M45" s="31"/>
      <c r="N45" s="167" t="s">
        <v>1399</v>
      </c>
      <c r="O45" s="167" t="s">
        <v>1400</v>
      </c>
    </row>
    <row r="46" ht="15.75" customHeight="1">
      <c r="A46" s="164"/>
      <c r="B46" s="164" t="s">
        <v>1391</v>
      </c>
      <c r="C46" s="164" t="s">
        <v>64</v>
      </c>
      <c r="D46" s="164" t="s">
        <v>1391</v>
      </c>
      <c r="E46" s="164" t="s">
        <v>64</v>
      </c>
      <c r="F46" s="168" t="s">
        <v>1391</v>
      </c>
      <c r="G46" s="168" t="s">
        <v>64</v>
      </c>
      <c r="I46" s="140"/>
      <c r="J46" s="140" t="s">
        <v>1391</v>
      </c>
      <c r="K46" s="140" t="s">
        <v>64</v>
      </c>
      <c r="L46" s="140" t="s">
        <v>1391</v>
      </c>
      <c r="M46" s="140" t="s">
        <v>64</v>
      </c>
      <c r="N46" s="169"/>
      <c r="O46" s="169"/>
    </row>
    <row r="47" ht="15.75" customHeight="1">
      <c r="A47" s="140" t="s">
        <v>1417</v>
      </c>
      <c r="B47" s="140" t="str">
        <f t="shared" ref="B47:B48" si="63">SUM(#REF!)</f>
        <v>#REF!</v>
      </c>
      <c r="C47" s="171" t="str">
        <f t="shared" ref="C47:C48" si="64">B47/B$49</f>
        <v>#REF!</v>
      </c>
      <c r="D47" s="140" t="str">
        <f t="shared" ref="D47:D48" si="65">SUM(#REF!)</f>
        <v>#REF!</v>
      </c>
      <c r="E47" s="171" t="str">
        <f t="shared" ref="E47:E48" si="66">D47/D$49</f>
        <v>#REF!</v>
      </c>
      <c r="F47" s="140" t="str">
        <f t="shared" ref="F47:G47" si="61">D47-B47</f>
        <v>#REF!</v>
      </c>
      <c r="G47" s="171" t="str">
        <f t="shared" si="61"/>
        <v>#REF!</v>
      </c>
      <c r="I47" s="140" t="s">
        <v>132</v>
      </c>
      <c r="J47" s="140" t="str">
        <f t="shared" ref="J47:J48" si="68">COUNTIF(#REF!,I47)</f>
        <v>#REF!</v>
      </c>
      <c r="K47" s="171" t="str">
        <f t="shared" ref="K47:K48" si="69">J47/J$49</f>
        <v>#REF!</v>
      </c>
      <c r="L47" s="140" t="str">
        <f t="shared" ref="L47:L48" si="70">COUNTIF(#REF!,J46)</f>
        <v>#REF!</v>
      </c>
      <c r="M47" s="171" t="str">
        <f t="shared" ref="M47:M48" si="71">L47/L$49</f>
        <v>#REF!</v>
      </c>
      <c r="N47" s="178" t="str">
        <f t="shared" ref="N47:O47" si="62">L47-J47</f>
        <v>#REF!</v>
      </c>
      <c r="O47" s="171" t="str">
        <f t="shared" si="62"/>
        <v>#REF!</v>
      </c>
    </row>
    <row r="48" ht="15.75" customHeight="1">
      <c r="A48" s="140" t="s">
        <v>1418</v>
      </c>
      <c r="B48" s="140" t="str">
        <f t="shared" si="63"/>
        <v>#REF!</v>
      </c>
      <c r="C48" s="171" t="str">
        <f t="shared" si="64"/>
        <v>#REF!</v>
      </c>
      <c r="D48" s="140" t="str">
        <f t="shared" si="65"/>
        <v>#REF!</v>
      </c>
      <c r="E48" s="171" t="str">
        <f t="shared" si="66"/>
        <v>#REF!</v>
      </c>
      <c r="F48" s="140" t="str">
        <f t="shared" ref="F48:G48" si="67">D48-B48</f>
        <v>#REF!</v>
      </c>
      <c r="G48" s="171" t="str">
        <f t="shared" si="67"/>
        <v>#REF!</v>
      </c>
      <c r="I48" s="140" t="s">
        <v>168</v>
      </c>
      <c r="J48" s="140" t="str">
        <f t="shared" si="68"/>
        <v>#REF!</v>
      </c>
      <c r="K48" s="171" t="str">
        <f t="shared" si="69"/>
        <v>#REF!</v>
      </c>
      <c r="L48" s="140" t="str">
        <f t="shared" si="70"/>
        <v>#REF!</v>
      </c>
      <c r="M48" s="171" t="str">
        <f t="shared" si="71"/>
        <v>#REF!</v>
      </c>
      <c r="O48" s="174"/>
    </row>
    <row r="49" ht="15.75" customHeight="1">
      <c r="A49" s="140" t="s">
        <v>1395</v>
      </c>
      <c r="B49" s="140" t="str">
        <f t="shared" ref="B49:E49" si="72">SUM(B47:B48)</f>
        <v>#REF!</v>
      </c>
      <c r="C49" s="171" t="str">
        <f t="shared" si="72"/>
        <v>#REF!</v>
      </c>
      <c r="D49" s="140" t="str">
        <f t="shared" si="72"/>
        <v>#REF!</v>
      </c>
      <c r="E49" s="171" t="str">
        <f t="shared" si="72"/>
        <v>#REF!</v>
      </c>
      <c r="F49" s="140" t="str">
        <f t="shared" ref="F49:G49" si="73">D49-B49</f>
        <v>#REF!</v>
      </c>
      <c r="G49" s="171" t="str">
        <f t="shared" si="73"/>
        <v>#REF!</v>
      </c>
      <c r="I49" s="140" t="s">
        <v>1395</v>
      </c>
      <c r="J49" s="140" t="str">
        <f>SUM(J47:J48)</f>
        <v>#REF!</v>
      </c>
      <c r="K49" s="171" t="str">
        <f>K47+K48</f>
        <v>#REF!</v>
      </c>
      <c r="L49" s="140" t="str">
        <f>SUM(L47:L48)</f>
        <v>#REF!</v>
      </c>
      <c r="M49" s="171" t="str">
        <f>M47+M48</f>
        <v>#REF!</v>
      </c>
    </row>
    <row r="50" ht="15.75" customHeight="1">
      <c r="M50" s="174"/>
    </row>
    <row r="51" ht="15.0" customHeight="1">
      <c r="I51" s="163" t="str">
        <f>#REF!</f>
        <v>#REF!</v>
      </c>
      <c r="J51" s="30"/>
      <c r="K51" s="30"/>
      <c r="L51" s="30"/>
      <c r="M51" s="31"/>
    </row>
    <row r="52" ht="15.0" customHeight="1">
      <c r="I52" s="166"/>
      <c r="J52" s="167" t="s">
        <v>1385</v>
      </c>
      <c r="K52" s="167" t="s">
        <v>1386</v>
      </c>
      <c r="L52" s="167" t="s">
        <v>1389</v>
      </c>
      <c r="M52" s="167" t="s">
        <v>1390</v>
      </c>
    </row>
    <row r="53" ht="15.75" customHeight="1">
      <c r="I53" s="169"/>
      <c r="J53" s="169"/>
      <c r="K53" s="169"/>
      <c r="L53" s="169"/>
      <c r="M53" s="169"/>
    </row>
    <row r="54" ht="15.75" customHeight="1">
      <c r="I54" s="170" t="s">
        <v>1420</v>
      </c>
      <c r="J54" s="140" t="str">
        <f t="shared" ref="J54:K54" si="74">AVERAGE(#REF!)</f>
        <v>#REF!</v>
      </c>
      <c r="K54" s="140" t="str">
        <f t="shared" si="74"/>
        <v>#REF!</v>
      </c>
      <c r="L54" s="140" t="str">
        <f>K54-J54</f>
        <v>#REF!</v>
      </c>
      <c r="M54" s="171" t="str">
        <f>(K54-J54)/J54</f>
        <v>#REF!</v>
      </c>
    </row>
    <row r="55" ht="15.75" customHeight="1">
      <c r="M55" s="174"/>
    </row>
    <row r="56" ht="15.75" customHeight="1">
      <c r="I56" s="163" t="str">
        <f>#REF!</f>
        <v>#REF!</v>
      </c>
      <c r="J56" s="30"/>
      <c r="K56" s="31"/>
    </row>
    <row r="57" ht="15.75" customHeight="1">
      <c r="I57" s="140"/>
      <c r="J57" s="140" t="s">
        <v>1391</v>
      </c>
      <c r="K57" s="140" t="s">
        <v>64</v>
      </c>
    </row>
    <row r="58" ht="15.0" customHeight="1">
      <c r="I58" s="181" t="s">
        <v>1421</v>
      </c>
      <c r="J58" s="140" t="str">
        <f t="shared" ref="J58:J63" si="75">COUNTIF(#REF!,I58)</f>
        <v>#REF!</v>
      </c>
      <c r="K58" s="171" t="str">
        <f t="shared" ref="K58:K63" si="76">J58/J$64</f>
        <v>#REF!</v>
      </c>
    </row>
    <row r="59" ht="15.75" customHeight="1">
      <c r="I59" s="181" t="s">
        <v>1422</v>
      </c>
      <c r="J59" s="140" t="str">
        <f t="shared" si="75"/>
        <v>#REF!</v>
      </c>
      <c r="K59" s="171" t="str">
        <f t="shared" si="76"/>
        <v>#REF!</v>
      </c>
    </row>
    <row r="60" ht="15.75" customHeight="1">
      <c r="I60" s="181" t="s">
        <v>1423</v>
      </c>
      <c r="J60" s="140" t="str">
        <f t="shared" si="75"/>
        <v>#REF!</v>
      </c>
      <c r="K60" s="171" t="str">
        <f t="shared" si="76"/>
        <v>#REF!</v>
      </c>
    </row>
    <row r="61" ht="15.75" customHeight="1">
      <c r="I61" s="181" t="s">
        <v>1424</v>
      </c>
      <c r="J61" s="140" t="str">
        <f t="shared" si="75"/>
        <v>#REF!</v>
      </c>
      <c r="K61" s="171" t="str">
        <f t="shared" si="76"/>
        <v>#REF!</v>
      </c>
    </row>
    <row r="62" ht="15.75" customHeight="1">
      <c r="I62" s="181" t="s">
        <v>1426</v>
      </c>
      <c r="J62" s="140" t="str">
        <f t="shared" si="75"/>
        <v>#REF!</v>
      </c>
      <c r="K62" s="171" t="str">
        <f t="shared" si="76"/>
        <v>#REF!</v>
      </c>
    </row>
    <row r="63" ht="15.75" customHeight="1">
      <c r="I63" s="181" t="s">
        <v>1427</v>
      </c>
      <c r="J63" s="140" t="str">
        <f t="shared" si="75"/>
        <v>#REF!</v>
      </c>
      <c r="K63" s="171" t="str">
        <f t="shared" si="76"/>
        <v>#REF!</v>
      </c>
    </row>
    <row r="64" ht="15.75" customHeight="1">
      <c r="I64" s="140" t="s">
        <v>1395</v>
      </c>
      <c r="J64" s="140" t="str">
        <f t="shared" ref="J64:K64" si="77">SUM(J58:J62)</f>
        <v>#REF!</v>
      </c>
      <c r="K64" s="171" t="str">
        <f t="shared" si="77"/>
        <v>#REF!</v>
      </c>
    </row>
    <row r="65" ht="15.75" customHeight="1"/>
    <row r="66" ht="15.75" customHeight="1">
      <c r="I66" s="163" t="str">
        <f>#REF!</f>
        <v>#REF!</v>
      </c>
      <c r="J66" s="30"/>
      <c r="K66" s="31"/>
    </row>
    <row r="67" ht="15.75" customHeight="1">
      <c r="I67" s="140"/>
      <c r="J67" s="140" t="s">
        <v>1391</v>
      </c>
      <c r="K67" s="140" t="s">
        <v>64</v>
      </c>
      <c r="L67" s="25"/>
      <c r="M67" s="163" t="str">
        <f>#REF!</f>
        <v>#REF!</v>
      </c>
      <c r="N67" s="30"/>
      <c r="O67" s="31"/>
    </row>
    <row r="68" ht="15.75" customHeight="1">
      <c r="I68" s="140" t="s">
        <v>132</v>
      </c>
      <c r="J68" s="140" t="str">
        <f t="shared" ref="J68:J69" si="78">COUNTIF(#REF!,I68)</f>
        <v>#REF!</v>
      </c>
      <c r="K68" s="171" t="str">
        <f t="shared" ref="K68:K69" si="79">J68/J$70</f>
        <v>#REF!</v>
      </c>
      <c r="M68" s="140"/>
      <c r="N68" s="140" t="s">
        <v>1391</v>
      </c>
      <c r="O68" s="140" t="s">
        <v>64</v>
      </c>
    </row>
    <row r="69" ht="15.75" customHeight="1">
      <c r="I69" s="140" t="s">
        <v>168</v>
      </c>
      <c r="J69" s="140" t="str">
        <f t="shared" si="78"/>
        <v>#REF!</v>
      </c>
      <c r="K69" s="171" t="str">
        <f t="shared" si="79"/>
        <v>#REF!</v>
      </c>
      <c r="M69" s="140" t="s">
        <v>132</v>
      </c>
      <c r="N69" s="140" t="str">
        <f t="shared" ref="N69:N71" si="80">COUNTIF(#REF!,M69)</f>
        <v>#REF!</v>
      </c>
      <c r="O69" s="171" t="str">
        <f t="shared" ref="O69:O71" si="81">N69/N$72</f>
        <v>#REF!</v>
      </c>
    </row>
    <row r="70" ht="15.75" customHeight="1">
      <c r="I70" s="140" t="s">
        <v>1395</v>
      </c>
      <c r="J70" s="140" t="str">
        <f>SUM(J68:J69)</f>
        <v>#REF!</v>
      </c>
      <c r="K70" s="171" t="str">
        <f>K68+K69</f>
        <v>#REF!</v>
      </c>
      <c r="M70" s="140" t="s">
        <v>168</v>
      </c>
      <c r="N70" s="140" t="str">
        <f t="shared" si="80"/>
        <v>#REF!</v>
      </c>
      <c r="O70" s="171" t="str">
        <f t="shared" si="81"/>
        <v>#REF!</v>
      </c>
    </row>
    <row r="71" ht="15.75" customHeight="1">
      <c r="M71" s="140" t="s">
        <v>1429</v>
      </c>
      <c r="N71" s="140" t="str">
        <f t="shared" si="80"/>
        <v>#REF!</v>
      </c>
      <c r="O71" s="171" t="str">
        <f t="shared" si="81"/>
        <v>#REF!</v>
      </c>
    </row>
    <row r="72" ht="15.75" customHeight="1">
      <c r="M72" s="140" t="s">
        <v>1395</v>
      </c>
      <c r="N72" s="140" t="str">
        <f>SUM(N70:N71)</f>
        <v>#REF!</v>
      </c>
      <c r="O72" s="171" t="str">
        <f>SUM(O69:O71)</f>
        <v>#REF!</v>
      </c>
    </row>
    <row r="73" ht="15.75" customHeight="1"/>
    <row r="74" ht="15.75" customHeight="1">
      <c r="I74" s="163" t="str">
        <f>#REF!</f>
        <v>#REF!</v>
      </c>
      <c r="J74" s="30"/>
      <c r="K74" s="30"/>
      <c r="L74" s="30"/>
      <c r="M74" s="31"/>
    </row>
    <row r="75" ht="15.75" customHeight="1">
      <c r="I75" s="166"/>
      <c r="J75" s="167" t="s">
        <v>1385</v>
      </c>
      <c r="K75" s="167" t="s">
        <v>1386</v>
      </c>
      <c r="L75" s="167" t="s">
        <v>1389</v>
      </c>
      <c r="M75" s="167" t="s">
        <v>1390</v>
      </c>
    </row>
    <row r="76" ht="15.75" customHeight="1">
      <c r="I76" s="169"/>
      <c r="J76" s="169"/>
      <c r="K76" s="169"/>
      <c r="L76" s="169"/>
      <c r="M76" s="169"/>
    </row>
    <row r="77" ht="15.75" customHeight="1">
      <c r="I77" s="170" t="s">
        <v>1420</v>
      </c>
      <c r="J77" s="140" t="str">
        <f t="shared" ref="J77:K77" si="82">AVERAGE(#REF!)</f>
        <v>#REF!</v>
      </c>
      <c r="K77" s="140" t="str">
        <f t="shared" si="82"/>
        <v>#REF!</v>
      </c>
      <c r="L77" s="140" t="str">
        <f>K77-J77</f>
        <v>#REF!</v>
      </c>
      <c r="M77" s="171" t="str">
        <f>(K77-J77)/J77</f>
        <v>#REF!</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3">
    <mergeCell ref="A30:G30"/>
    <mergeCell ref="B31:C31"/>
    <mergeCell ref="D31:E31"/>
    <mergeCell ref="F31:G31"/>
    <mergeCell ref="A37:G37"/>
    <mergeCell ref="B38:C38"/>
    <mergeCell ref="D38:E38"/>
    <mergeCell ref="F38:G38"/>
    <mergeCell ref="A44:G44"/>
    <mergeCell ref="I44:O44"/>
    <mergeCell ref="B45:C45"/>
    <mergeCell ref="D45:E45"/>
    <mergeCell ref="F45:G45"/>
    <mergeCell ref="J45:K45"/>
    <mergeCell ref="L52:L53"/>
    <mergeCell ref="M52:M53"/>
    <mergeCell ref="L45:M45"/>
    <mergeCell ref="N45:N46"/>
    <mergeCell ref="O45:O46"/>
    <mergeCell ref="I51:M51"/>
    <mergeCell ref="I52:I53"/>
    <mergeCell ref="J52:J53"/>
    <mergeCell ref="K52:K53"/>
    <mergeCell ref="L75:L76"/>
    <mergeCell ref="M75:M76"/>
    <mergeCell ref="I56:K56"/>
    <mergeCell ref="I66:K66"/>
    <mergeCell ref="M67:O67"/>
    <mergeCell ref="I74:M74"/>
    <mergeCell ref="I75:I76"/>
    <mergeCell ref="J75:J76"/>
    <mergeCell ref="K75:K76"/>
    <mergeCell ref="A1:G1"/>
    <mergeCell ref="I1:M1"/>
    <mergeCell ref="B2:C2"/>
    <mergeCell ref="D2:E2"/>
    <mergeCell ref="F2:G2"/>
    <mergeCell ref="I2:I3"/>
    <mergeCell ref="J2:J3"/>
    <mergeCell ref="M2:M3"/>
    <mergeCell ref="I11:M11"/>
    <mergeCell ref="I12:I13"/>
    <mergeCell ref="J12:J13"/>
    <mergeCell ref="K12:K13"/>
    <mergeCell ref="L12:L13"/>
    <mergeCell ref="M12:M13"/>
    <mergeCell ref="I16:O16"/>
    <mergeCell ref="I23:M23"/>
    <mergeCell ref="K2:K3"/>
    <mergeCell ref="L2:L3"/>
    <mergeCell ref="I6:L6"/>
    <mergeCell ref="J7:J8"/>
    <mergeCell ref="K7:K8"/>
    <mergeCell ref="L7:L8"/>
    <mergeCell ref="M7:M8"/>
    <mergeCell ref="D17:E17"/>
    <mergeCell ref="F17:G17"/>
    <mergeCell ref="J17:K17"/>
    <mergeCell ref="L17:M17"/>
    <mergeCell ref="N17:N18"/>
    <mergeCell ref="O17:O18"/>
    <mergeCell ref="I7:I8"/>
    <mergeCell ref="A9:G9"/>
    <mergeCell ref="B10:C10"/>
    <mergeCell ref="D10:E10"/>
    <mergeCell ref="F10:G10"/>
    <mergeCell ref="A16:G16"/>
    <mergeCell ref="B17:C17"/>
    <mergeCell ref="L24:L25"/>
    <mergeCell ref="M24:M25"/>
    <mergeCell ref="I28:O28"/>
    <mergeCell ref="J29:K29"/>
    <mergeCell ref="L29:M29"/>
    <mergeCell ref="N29:N30"/>
    <mergeCell ref="O29:O30"/>
    <mergeCell ref="I35:K35"/>
    <mergeCell ref="A23:G23"/>
    <mergeCell ref="B24:C24"/>
    <mergeCell ref="D24:E24"/>
    <mergeCell ref="F24:G24"/>
    <mergeCell ref="I24:I25"/>
    <mergeCell ref="J24:J25"/>
    <mergeCell ref="K24:K25"/>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2017-05-05T18:52:11Z</dcterms:created>
  <dc:creator>Hernando Grueso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0x0101000519CF427F7D3347898FB5867AB97824</vt:lpwstr>
  </property>
  <property fmtid="{D5CDD505-2E9C-101B-9397-08002B2CF9AE}" pid="3" name="Order">
    <vt:r8>13700.0</vt:r8>
  </property>
  <property fmtid="{D5CDD505-2E9C-101B-9397-08002B2CF9AE}" pid="4" name="ComplianceAssetId">
    <vt:lpwstr/>
  </property>
  <property fmtid="{D5CDD505-2E9C-101B-9397-08002B2CF9AE}" pid="5" name="_SourceUrl">
    <vt:lpwstr/>
  </property>
  <property fmtid="{D5CDD505-2E9C-101B-9397-08002B2CF9AE}" pid="6" name="_SharedFileIndex">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ies>
</file>